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137" documentId="8_{8B2B9B30-56F3-4334-B440-E7911329D97C}" xr6:coauthVersionLast="47" xr6:coauthVersionMax="47" xr10:uidLastSave="{D17C1A8D-BBD1-4546-B85C-FFC3255FCCB1}"/>
  <bookViews>
    <workbookView xWindow="-98" yWindow="-98" windowWidth="28996" windowHeight="15675" xr2:uid="{00000000-000D-0000-FFFF-FFFF00000000}"/>
  </bookViews>
  <sheets>
    <sheet name="OMEGA" sheetId="1" r:id="rId1"/>
    <sheet name="θ-scan2_ther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" i="1" l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0" i="1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5" i="2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<sst xmlns="http://schemas.openxmlformats.org/spreadsheetml/2006/main" count="194" uniqueCount="83">
  <si>
    <t>Axis (deg)</t>
  </si>
  <si>
    <t xml:space="preserve">       I (cts)</t>
  </si>
  <si>
    <t xml:space="preserve">        I0 (cts)</t>
  </si>
  <si>
    <t xml:space="preserve">         Atten.</t>
  </si>
  <si>
    <t>表</t>
    <phoneticPr fontId="1" type="noConversion"/>
  </si>
  <si>
    <t>Si_Thermo_2θ-scan</t>
    <phoneticPr fontId="1" type="noConversion"/>
  </si>
  <si>
    <t>Si_Thermo_2θ-scan_2</t>
    <phoneticPr fontId="1" type="noConversion"/>
  </si>
  <si>
    <t>Si_RoughTEOS_2thome.dat</t>
  </si>
  <si>
    <t>Si_RoughTEOS_2thome_2.dat</t>
  </si>
  <si>
    <t>Si_RoughTEOS-2θ-scan</t>
    <phoneticPr fontId="1" type="noConversion"/>
  </si>
  <si>
    <t>Si_RoughTEOS-2θ-scan_2</t>
    <phoneticPr fontId="1" type="noConversion"/>
  </si>
  <si>
    <t>Si_TEOS_2thome.dat</t>
  </si>
  <si>
    <t>Si_TEOS_2thome_2.dat</t>
    <phoneticPr fontId="1" type="noConversion"/>
  </si>
  <si>
    <t>Si_TEOS-2θ-scan</t>
    <phoneticPr fontId="1" type="noConversion"/>
  </si>
  <si>
    <t>Si_TEOS-2θ-scan_2</t>
    <phoneticPr fontId="1" type="noConversion"/>
  </si>
  <si>
    <t>2025/08/21 12:29:03 - 12:38:53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</si>
  <si>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</si>
  <si>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</si>
  <si>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</si>
  <si>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</si>
  <si>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</si>
  <si>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</si>
  <si>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</si>
  <si>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</si>
  <si>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</si>
  <si>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</si>
  <si>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</si>
  <si>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</si>
  <si>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</si>
  <si>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</si>
  <si>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34.7634 deg</t>
  </si>
  <si>
    <t xml:space="preserve"> End: 34.9634 deg</t>
  </si>
  <si>
    <t>Step: 0.0010 deg</t>
  </si>
  <si>
    <t xml:space="preserve"> Time: 1.0 sec</t>
  </si>
  <si>
    <t>2025/08/21 14:22:05 - 14:31:54</t>
  </si>
  <si>
    <t>θ : 35.1681 deg</t>
  </si>
  <si>
    <t>2θ : 69.5820 deg</t>
  </si>
  <si>
    <t>χ : 89.4615 deg</t>
  </si>
  <si>
    <t>Sz : 11.610 mm</t>
  </si>
  <si>
    <t>Ry : 0.0021 deg</t>
  </si>
  <si>
    <t>Start: 35.0681 deg</t>
  </si>
  <si>
    <t xml:space="preserve"> End: 35.2681 deg</t>
  </si>
  <si>
    <t>2025/08/21 11:31:59 - 11:41:30</t>
  </si>
  <si>
    <t>θ : 35.0306 deg</t>
  </si>
  <si>
    <t>2θ : 69.5871 deg</t>
  </si>
  <si>
    <t>χ : 89.6348 deg</t>
  </si>
  <si>
    <t>Sz : 11.590 mm</t>
  </si>
  <si>
    <t>Ry : 0.1356 deg</t>
  </si>
  <si>
    <t>Start: 34.9306 deg</t>
  </si>
  <si>
    <t xml:space="preserve"> End: 35.1306 deg</t>
  </si>
  <si>
    <t>2025/08/21 15:52:48 - 16:02:31</t>
  </si>
  <si>
    <t>θ : 34.4348 deg</t>
  </si>
  <si>
    <t>2θ : 69.5846 deg</t>
  </si>
  <si>
    <t>χ : 89.5004 deg</t>
  </si>
  <si>
    <t>Sz : 11.594 mm</t>
  </si>
  <si>
    <t>Ry : 0.2031 deg</t>
  </si>
  <si>
    <t>Start: 34.3348 deg</t>
  </si>
  <si>
    <t xml:space="preserve"> End: 34.5348 deg</t>
  </si>
  <si>
    <t>Sz : 11.584 mm</t>
  </si>
  <si>
    <t>Ry : 0.1147 deg</t>
  </si>
  <si>
    <t>Start: 34.3596 deg</t>
  </si>
  <si>
    <t>2025/08/21 17:29:34 - 17:42:26</t>
  </si>
  <si>
    <t>θ : 34.4588 deg</t>
  </si>
  <si>
    <t>2θ : 69.5890 deg</t>
  </si>
  <si>
    <t>χ : 89.6532 deg</t>
  </si>
  <si>
    <t>Sz : 11.600 mm</t>
  </si>
  <si>
    <t>Ry : 0.0877 deg</t>
  </si>
  <si>
    <t>Start: 34.3588 deg</t>
  </si>
  <si>
    <t xml:space="preserve"> End: 34.5588 deg</t>
  </si>
  <si>
    <t xml:space="preserve"> Time: 2.0 sec</t>
  </si>
  <si>
    <t>X100</t>
    <phoneticPr fontId="1" type="noConversion"/>
  </si>
  <si>
    <t>Si_RoughTEOS_omega</t>
    <phoneticPr fontId="1" type="noConversion"/>
  </si>
  <si>
    <t>Si_RoughTEOS_omega_2</t>
    <phoneticPr fontId="1" type="noConversion"/>
  </si>
  <si>
    <t>Si_TEOS_omega</t>
    <phoneticPr fontId="1" type="noConversion"/>
  </si>
  <si>
    <t>Si_TEOS_omega_2</t>
    <phoneticPr fontId="1" type="noConversion"/>
  </si>
  <si>
    <t>Si_Thermo_omega</t>
    <phoneticPr fontId="1" type="noConversion"/>
  </si>
  <si>
    <t>Si_Thermo_omega_2</t>
    <phoneticPr fontId="1" type="noConversion"/>
  </si>
  <si>
    <t xml:space="preserve"> </t>
    <phoneticPr fontId="1" type="noConversion"/>
  </si>
  <si>
    <t>2025/08/21 10:24:53 - 10:34:20</t>
  </si>
  <si>
    <t>θ : 34.4596 deg</t>
  </si>
  <si>
    <t>2θ : 69.5889 deg</t>
  </si>
  <si>
    <t>χ : 89.6743 deg</t>
  </si>
  <si>
    <t xml:space="preserve"> End: 34.5596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</si>
</sst>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11" fontId="0" fillId="2" borderId="0" xfId="0" applyNumberForma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11" fontId="0" fillId="3" borderId="0" xfId="0" applyNumberForma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11" fontId="0" fillId="4" borderId="0" xfId="0" applyNumberFormat="1" applyFill="1" applyAlignment="1">
      <alignment vertical="center"/>
    </xf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 applyAlignment="1">
      <alignment vertical="center"/>
    </xf>
    <xf numFmtId="0" fontId="0" fillId="4" borderId="5" xfId="0" applyFill="1" applyBorder="1"/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11" fontId="0" fillId="4" borderId="7" xfId="0" applyNumberFormat="1" applyFill="1" applyBorder="1" applyAlignment="1">
      <alignment vertical="center"/>
    </xf>
    <xf numFmtId="0" fontId="0" fillId="4" borderId="8" xfId="0" applyFill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vertical="center"/>
    </xf>
    <xf numFmtId="0" fontId="0" fillId="3" borderId="5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1" fontId="0" fillId="3" borderId="7" xfId="0" applyNumberFormat="1" applyFill="1" applyBorder="1" applyAlignment="1">
      <alignment vertical="center"/>
    </xf>
    <xf numFmtId="0" fontId="0" fillId="3" borderId="8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240418330936124E-2"/>
          <c:y val="7.984309966291786E-2"/>
          <c:w val="0.91947191321009414"/>
          <c:h val="0.81966218048124917"/>
        </c:manualLayout>
      </c:layout>
      <c:scatterChart>
        <c:scatterStyle val="lineMarker"/>
        <c:varyColors val="0"/>
        <c:ser>
          <c:idx val="0"/>
          <c:order val="0"/>
          <c:tx>
            <c:strRef>
              <c:f>OMEGA!$A$1</c:f>
              <c:strCache>
                <c:ptCount val="1"/>
                <c:pt idx="0">
                  <c:v>Si_RoughTEOS_omega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0.00E+00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768.15033303490304</c:v>
                </c:pt>
                <c:pt idx="87">
                  <c:v>915.41328120512117</c:v>
                </c:pt>
                <c:pt idx="88">
                  <c:v>1090.2063463359493</c:v>
                </c:pt>
                <c:pt idx="89">
                  <c:v>1327.3068035101505</c:v>
                </c:pt>
                <c:pt idx="90">
                  <c:v>1636.5759097146376</c:v>
                </c:pt>
                <c:pt idx="91">
                  <c:v>2036.418878483674</c:v>
                </c:pt>
                <c:pt idx="92">
                  <c:v>2558.920930944852</c:v>
                </c:pt>
                <c:pt idx="93">
                  <c:v>3263.8071811057057</c:v>
                </c:pt>
                <c:pt idx="94">
                  <c:v>4254.7117465186948</c:v>
                </c:pt>
                <c:pt idx="95">
                  <c:v>5602.5513131895159</c:v>
                </c:pt>
                <c:pt idx="96">
                  <c:v>7390.0752899747486</c:v>
                </c:pt>
                <c:pt idx="97">
                  <c:v>9596.2242336462114</c:v>
                </c:pt>
                <c:pt idx="98">
                  <c:v>11900.75087649251</c:v>
                </c:pt>
                <c:pt idx="99">
                  <c:v>13690.541602090849</c:v>
                </c:pt>
                <c:pt idx="100">
                  <c:v>14719.365772523828</c:v>
                </c:pt>
                <c:pt idx="101">
                  <c:v>14611.36737254523</c:v>
                </c:pt>
                <c:pt idx="102">
                  <c:v>13511.023148890125</c:v>
                </c:pt>
                <c:pt idx="103">
                  <c:v>11439.950249225247</c:v>
                </c:pt>
                <c:pt idx="104">
                  <c:v>9265.650166362122</c:v>
                </c:pt>
                <c:pt idx="105">
                  <c:v>7180.9472133402114</c:v>
                </c:pt>
                <c:pt idx="106">
                  <c:v>5455.1824232108438</c:v>
                </c:pt>
                <c:pt idx="107">
                  <c:v>4077.0170605566786</c:v>
                </c:pt>
                <c:pt idx="108">
                  <c:v>3088.4430487766872</c:v>
                </c:pt>
                <c:pt idx="109">
                  <c:v>2413.405701400407</c:v>
                </c:pt>
                <c:pt idx="110">
                  <c:v>1887.9689770634839</c:v>
                </c:pt>
                <c:pt idx="111">
                  <c:v>1502.6793989119133</c:v>
                </c:pt>
                <c:pt idx="112">
                  <c:v>1206.694783350033</c:v>
                </c:pt>
                <c:pt idx="113">
                  <c:v>980.37763570566653</c:v>
                </c:pt>
                <c:pt idx="114">
                  <c:v>800.30958949828596</c:v>
                </c:pt>
                <c:pt idx="115">
                  <c:v>670.18709083578506</c:v>
                </c:pt>
                <c:pt idx="116">
                  <c:v>555.88606302709616</c:v>
                </c:pt>
                <c:pt idx="117">
                  <c:v>466.74050260938668</c:v>
                </c:pt>
                <c:pt idx="118">
                  <c:v>403.20644423064488</c:v>
                </c:pt>
                <c:pt idx="119">
                  <c:v>343.35612719772644</c:v>
                </c:pt>
                <c:pt idx="120">
                  <c:v>301.70115056113116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4-4D07-BC15-FBF155B6C817}"/>
            </c:ext>
          </c:extLst>
        </c:ser>
        <c:ser>
          <c:idx val="1"/>
          <c:order val="1"/>
          <c:tx>
            <c:strRef>
              <c:f>OMEGA!$G$1</c:f>
              <c:strCache>
                <c:ptCount val="1"/>
                <c:pt idx="0">
                  <c:v>Si_RoughTEOS_omega_2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OMEGA!$K$20:$K$220</c:f>
              <c:numCache>
                <c:formatCode>0.00E+00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619.01345118724294</c:v>
                </c:pt>
                <c:pt idx="80">
                  <c:v>700.41593410981011</c:v>
                </c:pt>
                <c:pt idx="81">
                  <c:v>813.05027332382269</c:v>
                </c:pt>
                <c:pt idx="82">
                  <c:v>942.86436137603766</c:v>
                </c:pt>
                <c:pt idx="83">
                  <c:v>1124.8541388437579</c:v>
                </c:pt>
                <c:pt idx="84">
                  <c:v>1343.5417305243168</c:v>
                </c:pt>
                <c:pt idx="85">
                  <c:v>1671.8998694156762</c:v>
                </c:pt>
                <c:pt idx="86">
                  <c:v>2093.0803219921504</c:v>
                </c:pt>
                <c:pt idx="87">
                  <c:v>2636.9716986741796</c:v>
                </c:pt>
                <c:pt idx="88">
                  <c:v>3285.4172883884844</c:v>
                </c:pt>
                <c:pt idx="89">
                  <c:v>4057.1525923601994</c:v>
                </c:pt>
                <c:pt idx="90">
                  <c:v>4867.1887702399008</c:v>
                </c:pt>
                <c:pt idx="91">
                  <c:v>5677.2272951780515</c:v>
                </c:pt>
                <c:pt idx="92">
                  <c:v>6477.205636580592</c:v>
                </c:pt>
                <c:pt idx="93">
                  <c:v>7227.7253989949404</c:v>
                </c:pt>
                <c:pt idx="94">
                  <c:v>7982.9768591373486</c:v>
                </c:pt>
                <c:pt idx="95">
                  <c:v>8698.8604460729875</c:v>
                </c:pt>
                <c:pt idx="96">
                  <c:v>9398.7035911550156</c:v>
                </c:pt>
                <c:pt idx="97">
                  <c:v>10013.12436964128</c:v>
                </c:pt>
                <c:pt idx="98">
                  <c:v>10453.972991970066</c:v>
                </c:pt>
                <c:pt idx="99">
                  <c:v>10597.792496793154</c:v>
                </c:pt>
                <c:pt idx="100">
                  <c:v>10522.185612214087</c:v>
                </c:pt>
                <c:pt idx="101">
                  <c:v>10199.05304709568</c:v>
                </c:pt>
                <c:pt idx="102">
                  <c:v>9697.4725646781844</c:v>
                </c:pt>
                <c:pt idx="103">
                  <c:v>9019.5235239378344</c:v>
                </c:pt>
                <c:pt idx="104">
                  <c:v>8228.284367881146</c:v>
                </c:pt>
                <c:pt idx="105">
                  <c:v>7246.8538253972856</c:v>
                </c:pt>
                <c:pt idx="106">
                  <c:v>6185.3569138648145</c:v>
                </c:pt>
                <c:pt idx="107">
                  <c:v>5127.772108675842</c:v>
                </c:pt>
                <c:pt idx="108">
                  <c:v>4169.8557586003481</c:v>
                </c:pt>
                <c:pt idx="109">
                  <c:v>3364.2116256915879</c:v>
                </c:pt>
                <c:pt idx="110">
                  <c:v>2713.1460398976328</c:v>
                </c:pt>
                <c:pt idx="111">
                  <c:v>2213.0932344374769</c:v>
                </c:pt>
                <c:pt idx="112">
                  <c:v>1805.0644331621463</c:v>
                </c:pt>
                <c:pt idx="113">
                  <c:v>1512.5093418347783</c:v>
                </c:pt>
                <c:pt idx="114">
                  <c:v>1255.3696514359265</c:v>
                </c:pt>
                <c:pt idx="115">
                  <c:v>1060.7015148790283</c:v>
                </c:pt>
                <c:pt idx="116">
                  <c:v>899.4902405734955</c:v>
                </c:pt>
                <c:pt idx="117">
                  <c:v>770.59026101780978</c:v>
                </c:pt>
                <c:pt idx="118">
                  <c:v>664.62164293857938</c:v>
                </c:pt>
                <c:pt idx="119">
                  <c:v>579.66282146885317</c:v>
                </c:pt>
                <c:pt idx="120">
                  <c:v>512.95270822002749</c:v>
                </c:pt>
                <c:pt idx="121">
                  <c:v>455.69823345196318</c:v>
                </c:pt>
                <c:pt idx="122">
                  <c:v>398.75387444792136</c:v>
                </c:pt>
                <c:pt idx="123">
                  <c:v>355.91012298061759</c:v>
                </c:pt>
                <c:pt idx="124">
                  <c:v>317.93263663704221</c:v>
                </c:pt>
                <c:pt idx="125">
                  <c:v>285.92148210680489</c:v>
                </c:pt>
                <c:pt idx="126">
                  <c:v>255.28714566694788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4-4D07-BC15-FBF155B6C817}"/>
            </c:ext>
          </c:extLst>
        </c:ser>
        <c:ser>
          <c:idx val="2"/>
          <c:order val="2"/>
          <c:tx>
            <c:strRef>
              <c:f>OMEGA!$M$1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OMEGA!$Q$20:$Q$220</c:f>
              <c:numCache>
                <c:formatCode>0.00E+00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1248.8622331261781</c:v>
                </c:pt>
                <c:pt idx="96">
                  <c:v>4236.628685814735</c:v>
                </c:pt>
                <c:pt idx="97">
                  <c:v>10279.526745940746</c:v>
                </c:pt>
                <c:pt idx="98">
                  <c:v>18120.07151591259</c:v>
                </c:pt>
                <c:pt idx="99">
                  <c:v>21369.391362351616</c:v>
                </c:pt>
                <c:pt idx="100">
                  <c:v>20939.632311172063</c:v>
                </c:pt>
                <c:pt idx="101">
                  <c:v>15582.28153026262</c:v>
                </c:pt>
                <c:pt idx="102">
                  <c:v>7343.2430301002196</c:v>
                </c:pt>
                <c:pt idx="103">
                  <c:v>1877.031523921584</c:v>
                </c:pt>
                <c:pt idx="104">
                  <c:v>466.07109582146103</c:v>
                </c:pt>
                <c:pt idx="105">
                  <c:v>149.73393002324343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64-4D07-BC15-FBF155B6C817}"/>
            </c:ext>
          </c:extLst>
        </c:ser>
        <c:ser>
          <c:idx val="3"/>
          <c:order val="3"/>
          <c:tx>
            <c:strRef>
              <c:f>OMEGA!$S$1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OMEGA!$W$20:$W$220</c:f>
              <c:numCache>
                <c:formatCode>0.00E+00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1000.2904761592704</c:v>
                </c:pt>
                <c:pt idx="96">
                  <c:v>2057.9164434623472</c:v>
                </c:pt>
                <c:pt idx="97">
                  <c:v>3503.748661309548</c:v>
                </c:pt>
                <c:pt idx="98">
                  <c:v>5163.9457273206199</c:v>
                </c:pt>
                <c:pt idx="99">
                  <c:v>6720.1313656690145</c:v>
                </c:pt>
                <c:pt idx="100">
                  <c:v>7885.8609392296958</c:v>
                </c:pt>
                <c:pt idx="101">
                  <c:v>8565.9493783493726</c:v>
                </c:pt>
                <c:pt idx="102">
                  <c:v>8817.2211807466119</c:v>
                </c:pt>
                <c:pt idx="103">
                  <c:v>8891.8067816101375</c:v>
                </c:pt>
                <c:pt idx="104">
                  <c:v>8850.0762465228581</c:v>
                </c:pt>
                <c:pt idx="105">
                  <c:v>8804.1611698254383</c:v>
                </c:pt>
                <c:pt idx="106">
                  <c:v>8727.6170888412435</c:v>
                </c:pt>
                <c:pt idx="107">
                  <c:v>8625.7542474102047</c:v>
                </c:pt>
                <c:pt idx="108">
                  <c:v>8499.2691601378283</c:v>
                </c:pt>
                <c:pt idx="109">
                  <c:v>8355.7603495793355</c:v>
                </c:pt>
                <c:pt idx="110">
                  <c:v>8119.4800610910679</c:v>
                </c:pt>
                <c:pt idx="111">
                  <c:v>7842.6858327575728</c:v>
                </c:pt>
                <c:pt idx="112">
                  <c:v>7435.6609132433177</c:v>
                </c:pt>
                <c:pt idx="113">
                  <c:v>6860.8435712142655</c:v>
                </c:pt>
                <c:pt idx="114">
                  <c:v>5948.55873472851</c:v>
                </c:pt>
                <c:pt idx="115">
                  <c:v>4759.6869602631041</c:v>
                </c:pt>
                <c:pt idx="116">
                  <c:v>3465.0981456628688</c:v>
                </c:pt>
                <c:pt idx="117">
                  <c:v>2184.6675529462018</c:v>
                </c:pt>
                <c:pt idx="118">
                  <c:v>1134.3795245553224</c:v>
                </c:pt>
                <c:pt idx="119">
                  <c:v>462.97809260970456</c:v>
                </c:pt>
                <c:pt idx="120">
                  <c:v>152.03359901846341</c:v>
                </c:pt>
                <c:pt idx="121">
                  <c:v>54.777687041822254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64-4D07-BC15-FBF155B6C817}"/>
            </c:ext>
          </c:extLst>
        </c:ser>
        <c:ser>
          <c:idx val="4"/>
          <c:order val="4"/>
          <c:tx>
            <c:strRef>
              <c:f>OMEGA!$Y$1</c:f>
              <c:strCache>
                <c:ptCount val="1"/>
                <c:pt idx="0">
                  <c:v>Si_Thermo_omega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OMEGA!$AD$20:$AD$220</c:f>
              <c:numCache>
                <c:formatCode>0.00E+00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1.5897812983232285</c:v>
                </c:pt>
                <c:pt idx="88">
                  <c:v>1.9553009822022844</c:v>
                </c:pt>
                <c:pt idx="89">
                  <c:v>2.4653218682104234</c:v>
                </c:pt>
                <c:pt idx="90">
                  <c:v>3.2697142066105331</c:v>
                </c:pt>
                <c:pt idx="91">
                  <c:v>4.5815449823152274</c:v>
                </c:pt>
                <c:pt idx="92">
                  <c:v>7.9494170198175729</c:v>
                </c:pt>
                <c:pt idx="93">
                  <c:v>24.803879445128096</c:v>
                </c:pt>
                <c:pt idx="94">
                  <c:v>146.19885753608386</c:v>
                </c:pt>
                <c:pt idx="95">
                  <c:v>866.48527317751928</c:v>
                </c:pt>
                <c:pt idx="96">
                  <c:v>3348.6995710815409</c:v>
                </c:pt>
                <c:pt idx="97">
                  <c:v>8985.7523320378059</c:v>
                </c:pt>
                <c:pt idx="98">
                  <c:v>16401.353282043317</c:v>
                </c:pt>
                <c:pt idx="99">
                  <c:v>20162.346285589239</c:v>
                </c:pt>
                <c:pt idx="100">
                  <c:v>20515.619631616981</c:v>
                </c:pt>
                <c:pt idx="101">
                  <c:v>16364.632110330273</c:v>
                </c:pt>
                <c:pt idx="102">
                  <c:v>9082.8589648711877</c:v>
                </c:pt>
                <c:pt idx="103">
                  <c:v>2884.0251808422531</c:v>
                </c:pt>
                <c:pt idx="104">
                  <c:v>665.90499087893033</c:v>
                </c:pt>
                <c:pt idx="105">
                  <c:v>192.28158879492639</c:v>
                </c:pt>
                <c:pt idx="106">
                  <c:v>50.722211903099435</c:v>
                </c:pt>
                <c:pt idx="107">
                  <c:v>26.199046101421064</c:v>
                </c:pt>
                <c:pt idx="108">
                  <c:v>18.40322937810252</c:v>
                </c:pt>
                <c:pt idx="109">
                  <c:v>14.251318851725063</c:v>
                </c:pt>
                <c:pt idx="110">
                  <c:v>11.314474800020076</c:v>
                </c:pt>
                <c:pt idx="111">
                  <c:v>9.3752196237392464</c:v>
                </c:pt>
                <c:pt idx="112">
                  <c:v>7.8021410768196864</c:v>
                </c:pt>
                <c:pt idx="113">
                  <c:v>6.6202069291363337</c:v>
                </c:pt>
                <c:pt idx="114">
                  <c:v>5.6183659647813187</c:v>
                </c:pt>
                <c:pt idx="115">
                  <c:v>4.9295127555090028</c:v>
                </c:pt>
                <c:pt idx="116">
                  <c:v>4.2879667576625939</c:v>
                </c:pt>
                <c:pt idx="117">
                  <c:v>3.7570057769773362</c:v>
                </c:pt>
                <c:pt idx="118">
                  <c:v>3.3103734230211881</c:v>
                </c:pt>
                <c:pt idx="119">
                  <c:v>2.9414672184030533</c:v>
                </c:pt>
                <c:pt idx="120">
                  <c:v>2.6424514891245701</c:v>
                </c:pt>
                <c:pt idx="121">
                  <c:v>2.3705244249909616</c:v>
                </c:pt>
                <c:pt idx="122">
                  <c:v>2.159842611563255</c:v>
                </c:pt>
                <c:pt idx="123">
                  <c:v>1.9710264640649797</c:v>
                </c:pt>
                <c:pt idx="124">
                  <c:v>1.7435863135765401</c:v>
                </c:pt>
                <c:pt idx="125">
                  <c:v>1.5439383201371755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64-4D07-BC15-FBF155B6C817}"/>
            </c:ext>
          </c:extLst>
        </c:ser>
        <c:ser>
          <c:idx val="5"/>
          <c:order val="5"/>
          <c:tx>
            <c:strRef>
              <c:f>OMEGA!$AF$1</c:f>
              <c:strCache>
                <c:ptCount val="1"/>
                <c:pt idx="0">
                  <c:v>Si_Thermo_omega_2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OMEGA!$AJ$20:$AJ$220</c:f>
              <c:numCache>
                <c:formatCode>0.00E+00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3084.9727682149287</c:v>
                </c:pt>
                <c:pt idx="100">
                  <c:v>9071.7800270856442</c:v>
                </c:pt>
                <c:pt idx="101">
                  <c:v>16629.301759878668</c:v>
                </c:pt>
                <c:pt idx="102">
                  <c:v>20865.261919724631</c:v>
                </c:pt>
                <c:pt idx="103">
                  <c:v>21112.86719558575</c:v>
                </c:pt>
                <c:pt idx="104">
                  <c:v>17441.866422104384</c:v>
                </c:pt>
                <c:pt idx="105">
                  <c:v>10415.902067426265</c:v>
                </c:pt>
                <c:pt idx="106">
                  <c:v>3711.6760343033434</c:v>
                </c:pt>
                <c:pt idx="107">
                  <c:v>789.80587087788547</c:v>
                </c:pt>
                <c:pt idx="108">
                  <c:v>197.93448123385096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64-4D07-BC15-FBF155B6C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</c:scatterChart>
      <c:valAx>
        <c:axId val="4425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74276119185112"/>
          <c:y val="5.9857370687387682E-2"/>
          <c:w val="0.83496957034917907"/>
          <c:h val="0.7397192645791284"/>
        </c:manualLayout>
      </c:layout>
      <c:scatterChart>
        <c:scatterStyle val="lineMarker"/>
        <c:varyColors val="0"/>
        <c:ser>
          <c:idx val="0"/>
          <c:order val="0"/>
          <c:tx>
            <c:strRef>
              <c:f>OMEGA!$A$1</c:f>
              <c:strCache>
                <c:ptCount val="1"/>
                <c:pt idx="0">
                  <c:v>Si_RoughTEOS_omega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0.00E+00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768.15033303490304</c:v>
                </c:pt>
                <c:pt idx="87">
                  <c:v>915.41328120512117</c:v>
                </c:pt>
                <c:pt idx="88">
                  <c:v>1090.2063463359493</c:v>
                </c:pt>
                <c:pt idx="89">
                  <c:v>1327.3068035101505</c:v>
                </c:pt>
                <c:pt idx="90">
                  <c:v>1636.5759097146376</c:v>
                </c:pt>
                <c:pt idx="91">
                  <c:v>2036.418878483674</c:v>
                </c:pt>
                <c:pt idx="92">
                  <c:v>2558.920930944852</c:v>
                </c:pt>
                <c:pt idx="93">
                  <c:v>3263.8071811057057</c:v>
                </c:pt>
                <c:pt idx="94">
                  <c:v>4254.7117465186948</c:v>
                </c:pt>
                <c:pt idx="95">
                  <c:v>5602.5513131895159</c:v>
                </c:pt>
                <c:pt idx="96">
                  <c:v>7390.0752899747486</c:v>
                </c:pt>
                <c:pt idx="97">
                  <c:v>9596.2242336462114</c:v>
                </c:pt>
                <c:pt idx="98">
                  <c:v>11900.75087649251</c:v>
                </c:pt>
                <c:pt idx="99">
                  <c:v>13690.541602090849</c:v>
                </c:pt>
                <c:pt idx="100">
                  <c:v>14719.365772523828</c:v>
                </c:pt>
                <c:pt idx="101">
                  <c:v>14611.36737254523</c:v>
                </c:pt>
                <c:pt idx="102">
                  <c:v>13511.023148890125</c:v>
                </c:pt>
                <c:pt idx="103">
                  <c:v>11439.950249225247</c:v>
                </c:pt>
                <c:pt idx="104">
                  <c:v>9265.650166362122</c:v>
                </c:pt>
                <c:pt idx="105">
                  <c:v>7180.9472133402114</c:v>
                </c:pt>
                <c:pt idx="106">
                  <c:v>5455.1824232108438</c:v>
                </c:pt>
                <c:pt idx="107">
                  <c:v>4077.0170605566786</c:v>
                </c:pt>
                <c:pt idx="108">
                  <c:v>3088.4430487766872</c:v>
                </c:pt>
                <c:pt idx="109">
                  <c:v>2413.405701400407</c:v>
                </c:pt>
                <c:pt idx="110">
                  <c:v>1887.9689770634839</c:v>
                </c:pt>
                <c:pt idx="111">
                  <c:v>1502.6793989119133</c:v>
                </c:pt>
                <c:pt idx="112">
                  <c:v>1206.694783350033</c:v>
                </c:pt>
                <c:pt idx="113">
                  <c:v>980.37763570566653</c:v>
                </c:pt>
                <c:pt idx="114">
                  <c:v>800.30958949828596</c:v>
                </c:pt>
                <c:pt idx="115">
                  <c:v>670.18709083578506</c:v>
                </c:pt>
                <c:pt idx="116">
                  <c:v>555.88606302709616</c:v>
                </c:pt>
                <c:pt idx="117">
                  <c:v>466.74050260938668</c:v>
                </c:pt>
                <c:pt idx="118">
                  <c:v>403.20644423064488</c:v>
                </c:pt>
                <c:pt idx="119">
                  <c:v>343.35612719772644</c:v>
                </c:pt>
                <c:pt idx="120">
                  <c:v>301.70115056113116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2-4FD7-8661-E7A895ADE3CF}"/>
            </c:ext>
          </c:extLst>
        </c:ser>
        <c:ser>
          <c:idx val="2"/>
          <c:order val="2"/>
          <c:tx>
            <c:strRef>
              <c:f>OMEGA!$M$1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OMEGA!$Q$20:$Q$220</c:f>
              <c:numCache>
                <c:formatCode>0.00E+00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1248.8622331261781</c:v>
                </c:pt>
                <c:pt idx="96">
                  <c:v>4236.628685814735</c:v>
                </c:pt>
                <c:pt idx="97">
                  <c:v>10279.526745940746</c:v>
                </c:pt>
                <c:pt idx="98">
                  <c:v>18120.07151591259</c:v>
                </c:pt>
                <c:pt idx="99">
                  <c:v>21369.391362351616</c:v>
                </c:pt>
                <c:pt idx="100">
                  <c:v>20939.632311172063</c:v>
                </c:pt>
                <c:pt idx="101">
                  <c:v>15582.28153026262</c:v>
                </c:pt>
                <c:pt idx="102">
                  <c:v>7343.2430301002196</c:v>
                </c:pt>
                <c:pt idx="103">
                  <c:v>1877.031523921584</c:v>
                </c:pt>
                <c:pt idx="104">
                  <c:v>466.07109582146103</c:v>
                </c:pt>
                <c:pt idx="105">
                  <c:v>149.73393002324343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2-4FD7-8661-E7A895ADE3CF}"/>
            </c:ext>
          </c:extLst>
        </c:ser>
        <c:ser>
          <c:idx val="4"/>
          <c:order val="4"/>
          <c:tx>
            <c:strRef>
              <c:f>OMEGA!$Y$1</c:f>
              <c:strCache>
                <c:ptCount val="1"/>
                <c:pt idx="0">
                  <c:v>Si_Thermo_omega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OMEGA!$AD$20:$AD$220</c:f>
              <c:numCache>
                <c:formatCode>0.00E+00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1.5897812983232285</c:v>
                </c:pt>
                <c:pt idx="88">
                  <c:v>1.9553009822022844</c:v>
                </c:pt>
                <c:pt idx="89">
                  <c:v>2.4653218682104234</c:v>
                </c:pt>
                <c:pt idx="90">
                  <c:v>3.2697142066105331</c:v>
                </c:pt>
                <c:pt idx="91">
                  <c:v>4.5815449823152274</c:v>
                </c:pt>
                <c:pt idx="92">
                  <c:v>7.9494170198175729</c:v>
                </c:pt>
                <c:pt idx="93">
                  <c:v>24.803879445128096</c:v>
                </c:pt>
                <c:pt idx="94">
                  <c:v>146.19885753608386</c:v>
                </c:pt>
                <c:pt idx="95">
                  <c:v>866.48527317751928</c:v>
                </c:pt>
                <c:pt idx="96">
                  <c:v>3348.6995710815409</c:v>
                </c:pt>
                <c:pt idx="97">
                  <c:v>8985.7523320378059</c:v>
                </c:pt>
                <c:pt idx="98">
                  <c:v>16401.353282043317</c:v>
                </c:pt>
                <c:pt idx="99">
                  <c:v>20162.346285589239</c:v>
                </c:pt>
                <c:pt idx="100">
                  <c:v>20515.619631616981</c:v>
                </c:pt>
                <c:pt idx="101">
                  <c:v>16364.632110330273</c:v>
                </c:pt>
                <c:pt idx="102">
                  <c:v>9082.8589648711877</c:v>
                </c:pt>
                <c:pt idx="103">
                  <c:v>2884.0251808422531</c:v>
                </c:pt>
                <c:pt idx="104">
                  <c:v>665.90499087893033</c:v>
                </c:pt>
                <c:pt idx="105">
                  <c:v>192.28158879492639</c:v>
                </c:pt>
                <c:pt idx="106">
                  <c:v>50.722211903099435</c:v>
                </c:pt>
                <c:pt idx="107">
                  <c:v>26.199046101421064</c:v>
                </c:pt>
                <c:pt idx="108">
                  <c:v>18.40322937810252</c:v>
                </c:pt>
                <c:pt idx="109">
                  <c:v>14.251318851725063</c:v>
                </c:pt>
                <c:pt idx="110">
                  <c:v>11.314474800020076</c:v>
                </c:pt>
                <c:pt idx="111">
                  <c:v>9.3752196237392464</c:v>
                </c:pt>
                <c:pt idx="112">
                  <c:v>7.8021410768196864</c:v>
                </c:pt>
                <c:pt idx="113">
                  <c:v>6.6202069291363337</c:v>
                </c:pt>
                <c:pt idx="114">
                  <c:v>5.6183659647813187</c:v>
                </c:pt>
                <c:pt idx="115">
                  <c:v>4.9295127555090028</c:v>
                </c:pt>
                <c:pt idx="116">
                  <c:v>4.2879667576625939</c:v>
                </c:pt>
                <c:pt idx="117">
                  <c:v>3.7570057769773362</c:v>
                </c:pt>
                <c:pt idx="118">
                  <c:v>3.3103734230211881</c:v>
                </c:pt>
                <c:pt idx="119">
                  <c:v>2.9414672184030533</c:v>
                </c:pt>
                <c:pt idx="120">
                  <c:v>2.6424514891245701</c:v>
                </c:pt>
                <c:pt idx="121">
                  <c:v>2.3705244249909616</c:v>
                </c:pt>
                <c:pt idx="122">
                  <c:v>2.159842611563255</c:v>
                </c:pt>
                <c:pt idx="123">
                  <c:v>1.9710264640649797</c:v>
                </c:pt>
                <c:pt idx="124">
                  <c:v>1.7435863135765401</c:v>
                </c:pt>
                <c:pt idx="125">
                  <c:v>1.5439383201371755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02-4FD7-8661-E7A895AD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OMEGA!$G$1</c15:sqref>
                        </c15:formulaRef>
                      </c:ext>
                    </c:extLst>
                    <c:strCache>
                      <c:ptCount val="1"/>
                      <c:pt idx="0">
                        <c:v>Si_RoughTEOS_omega_2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OMEGA!$K$20:$K$220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2.7545381848502912</c:v>
                      </c:pt>
                      <c:pt idx="1">
                        <c:v>2.8128607858624473</c:v>
                      </c:pt>
                      <c:pt idx="2">
                        <c:v>2.9780773624242016</c:v>
                      </c:pt>
                      <c:pt idx="3">
                        <c:v>3.0649709279906037</c:v>
                      </c:pt>
                      <c:pt idx="4">
                        <c:v>3.2303323076173669</c:v>
                      </c:pt>
                      <c:pt idx="5">
                        <c:v>3.3336427708438081</c:v>
                      </c:pt>
                      <c:pt idx="6">
                        <c:v>3.523030607896676</c:v>
                      </c:pt>
                      <c:pt idx="7">
                        <c:v>3.6536649776582921</c:v>
                      </c:pt>
                      <c:pt idx="8">
                        <c:v>3.8505526471415332</c:v>
                      </c:pt>
                      <c:pt idx="9">
                        <c:v>3.9438076226920034</c:v>
                      </c:pt>
                      <c:pt idx="10">
                        <c:v>4.2030903456724218</c:v>
                      </c:pt>
                      <c:pt idx="11">
                        <c:v>4.3318472872198095</c:v>
                      </c:pt>
                      <c:pt idx="12">
                        <c:v>4.5971135298538508</c:v>
                      </c:pt>
                      <c:pt idx="13">
                        <c:v>4.8303272574485936</c:v>
                      </c:pt>
                      <c:pt idx="14">
                        <c:v>5.0029436343413467</c:v>
                      </c:pt>
                      <c:pt idx="15">
                        <c:v>5.2979531129175603</c:v>
                      </c:pt>
                      <c:pt idx="16">
                        <c:v>5.4871163470822495</c:v>
                      </c:pt>
                      <c:pt idx="17">
                        <c:v>5.7868151329474911</c:v>
                      </c:pt>
                      <c:pt idx="18">
                        <c:v>6.0980413901163324</c:v>
                      </c:pt>
                      <c:pt idx="19">
                        <c:v>6.4043656392840349</c:v>
                      </c:pt>
                      <c:pt idx="20">
                        <c:v>6.7304419338972812</c:v>
                      </c:pt>
                      <c:pt idx="21">
                        <c:v>7.0624617051536767</c:v>
                      </c:pt>
                      <c:pt idx="22">
                        <c:v>7.4717550260849066</c:v>
                      </c:pt>
                      <c:pt idx="23">
                        <c:v>7.8798254941418451</c:v>
                      </c:pt>
                      <c:pt idx="24">
                        <c:v>8.2540018316964545</c:v>
                      </c:pt>
                      <c:pt idx="25">
                        <c:v>8.6155619177186527</c:v>
                      </c:pt>
                      <c:pt idx="26">
                        <c:v>9.1449186956635593</c:v>
                      </c:pt>
                      <c:pt idx="27">
                        <c:v>9.7025424088417989</c:v>
                      </c:pt>
                      <c:pt idx="28">
                        <c:v>10.101795049717156</c:v>
                      </c:pt>
                      <c:pt idx="29">
                        <c:v>10.812411525256339</c:v>
                      </c:pt>
                      <c:pt idx="30">
                        <c:v>11.414574446612294</c:v>
                      </c:pt>
                      <c:pt idx="31">
                        <c:v>12.095135730052549</c:v>
                      </c:pt>
                      <c:pt idx="32">
                        <c:v>12.723703625860679</c:v>
                      </c:pt>
                      <c:pt idx="33">
                        <c:v>13.550596729532858</c:v>
                      </c:pt>
                      <c:pt idx="34">
                        <c:v>14.417127895394071</c:v>
                      </c:pt>
                      <c:pt idx="35">
                        <c:v>15.223356675269002</c:v>
                      </c:pt>
                      <c:pt idx="36">
                        <c:v>16.078473660714042</c:v>
                      </c:pt>
                      <c:pt idx="37">
                        <c:v>17.090905553644575</c:v>
                      </c:pt>
                      <c:pt idx="38">
                        <c:v>18.191865768703604</c:v>
                      </c:pt>
                      <c:pt idx="39">
                        <c:v>19.399527468362407</c:v>
                      </c:pt>
                      <c:pt idx="40">
                        <c:v>20.598633613405383</c:v>
                      </c:pt>
                      <c:pt idx="41">
                        <c:v>22.196093695551525</c:v>
                      </c:pt>
                      <c:pt idx="42">
                        <c:v>23.554071822713116</c:v>
                      </c:pt>
                      <c:pt idx="43">
                        <c:v>25.128022422926147</c:v>
                      </c:pt>
                      <c:pt idx="44">
                        <c:v>26.786619096446753</c:v>
                      </c:pt>
                      <c:pt idx="45">
                        <c:v>28.921889560477386</c:v>
                      </c:pt>
                      <c:pt idx="46">
                        <c:v>30.904986885981007</c:v>
                      </c:pt>
                      <c:pt idx="47">
                        <c:v>32.908564776934384</c:v>
                      </c:pt>
                      <c:pt idx="48">
                        <c:v>35.369472949632168</c:v>
                      </c:pt>
                      <c:pt idx="49">
                        <c:v>37.885257790558647</c:v>
                      </c:pt>
                      <c:pt idx="50">
                        <c:v>40.597227304082338</c:v>
                      </c:pt>
                      <c:pt idx="51">
                        <c:v>43.452404997986022</c:v>
                      </c:pt>
                      <c:pt idx="52">
                        <c:v>46.911539527811577</c:v>
                      </c:pt>
                      <c:pt idx="53">
                        <c:v>50.132750478442226</c:v>
                      </c:pt>
                      <c:pt idx="54">
                        <c:v>53.914696245077714</c:v>
                      </c:pt>
                      <c:pt idx="55">
                        <c:v>57.918365829170646</c:v>
                      </c:pt>
                      <c:pt idx="56">
                        <c:v>62.309429242555844</c:v>
                      </c:pt>
                      <c:pt idx="57">
                        <c:v>67.464201435727148</c:v>
                      </c:pt>
                      <c:pt idx="58">
                        <c:v>72.962554826903215</c:v>
                      </c:pt>
                      <c:pt idx="59">
                        <c:v>79.091720471835032</c:v>
                      </c:pt>
                      <c:pt idx="60">
                        <c:v>85.939438190189335</c:v>
                      </c:pt>
                      <c:pt idx="61">
                        <c:v>93.577549893318306</c:v>
                      </c:pt>
                      <c:pt idx="62">
                        <c:v>101.33638921975016</c:v>
                      </c:pt>
                      <c:pt idx="63">
                        <c:v>111.00647727473913</c:v>
                      </c:pt>
                      <c:pt idx="64">
                        <c:v>121.06808150465305</c:v>
                      </c:pt>
                      <c:pt idx="65">
                        <c:v>132.46686684166676</c:v>
                      </c:pt>
                      <c:pt idx="66">
                        <c:v>144.83607208755188</c:v>
                      </c:pt>
                      <c:pt idx="67">
                        <c:v>159.28486183057962</c:v>
                      </c:pt>
                      <c:pt idx="68">
                        <c:v>174.32392247106793</c:v>
                      </c:pt>
                      <c:pt idx="69">
                        <c:v>191.54606787130399</c:v>
                      </c:pt>
                      <c:pt idx="70">
                        <c:v>211.0077715576256</c:v>
                      </c:pt>
                      <c:pt idx="71">
                        <c:v>233.0030618411962</c:v>
                      </c:pt>
                      <c:pt idx="72">
                        <c:v>257.77257136141009</c:v>
                      </c:pt>
                      <c:pt idx="73">
                        <c:v>287.14640102974499</c:v>
                      </c:pt>
                      <c:pt idx="74">
                        <c:v>319.82066305926122</c:v>
                      </c:pt>
                      <c:pt idx="75">
                        <c:v>358.38871084049453</c:v>
                      </c:pt>
                      <c:pt idx="76">
                        <c:v>403.27447315282853</c:v>
                      </c:pt>
                      <c:pt idx="77">
                        <c:v>456.71746068501602</c:v>
                      </c:pt>
                      <c:pt idx="78">
                        <c:v>519.11122689805939</c:v>
                      </c:pt>
                      <c:pt idx="79">
                        <c:v>619.01345118724294</c:v>
                      </c:pt>
                      <c:pt idx="80">
                        <c:v>700.41593410981011</c:v>
                      </c:pt>
                      <c:pt idx="81">
                        <c:v>813.05027332382269</c:v>
                      </c:pt>
                      <c:pt idx="82">
                        <c:v>942.86436137603766</c:v>
                      </c:pt>
                      <c:pt idx="83">
                        <c:v>1124.8541388437579</c:v>
                      </c:pt>
                      <c:pt idx="84">
                        <c:v>1343.5417305243168</c:v>
                      </c:pt>
                      <c:pt idx="85">
                        <c:v>1671.8998694156762</c:v>
                      </c:pt>
                      <c:pt idx="86">
                        <c:v>2093.0803219921504</c:v>
                      </c:pt>
                      <c:pt idx="87">
                        <c:v>2636.9716986741796</c:v>
                      </c:pt>
                      <c:pt idx="88">
                        <c:v>3285.4172883884844</c:v>
                      </c:pt>
                      <c:pt idx="89">
                        <c:v>4057.1525923601994</c:v>
                      </c:pt>
                      <c:pt idx="90">
                        <c:v>4867.1887702399008</c:v>
                      </c:pt>
                      <c:pt idx="91">
                        <c:v>5677.2272951780515</c:v>
                      </c:pt>
                      <c:pt idx="92">
                        <c:v>6477.205636580592</c:v>
                      </c:pt>
                      <c:pt idx="93">
                        <c:v>7227.7253989949404</c:v>
                      </c:pt>
                      <c:pt idx="94">
                        <c:v>7982.9768591373486</c:v>
                      </c:pt>
                      <c:pt idx="95">
                        <c:v>8698.8604460729875</c:v>
                      </c:pt>
                      <c:pt idx="96">
                        <c:v>9398.7035911550156</c:v>
                      </c:pt>
                      <c:pt idx="97">
                        <c:v>10013.12436964128</c:v>
                      </c:pt>
                      <c:pt idx="98">
                        <c:v>10453.972991970066</c:v>
                      </c:pt>
                      <c:pt idx="99">
                        <c:v>10597.792496793154</c:v>
                      </c:pt>
                      <c:pt idx="100">
                        <c:v>10522.185612214087</c:v>
                      </c:pt>
                      <c:pt idx="101">
                        <c:v>10199.05304709568</c:v>
                      </c:pt>
                      <c:pt idx="102">
                        <c:v>9697.4725646781844</c:v>
                      </c:pt>
                      <c:pt idx="103">
                        <c:v>9019.5235239378344</c:v>
                      </c:pt>
                      <c:pt idx="104">
                        <c:v>8228.284367881146</c:v>
                      </c:pt>
                      <c:pt idx="105">
                        <c:v>7246.8538253972856</c:v>
                      </c:pt>
                      <c:pt idx="106">
                        <c:v>6185.3569138648145</c:v>
                      </c:pt>
                      <c:pt idx="107">
                        <c:v>5127.772108675842</c:v>
                      </c:pt>
                      <c:pt idx="108">
                        <c:v>4169.8557586003481</c:v>
                      </c:pt>
                      <c:pt idx="109">
                        <c:v>3364.2116256915879</c:v>
                      </c:pt>
                      <c:pt idx="110">
                        <c:v>2713.1460398976328</c:v>
                      </c:pt>
                      <c:pt idx="111">
                        <c:v>2213.0932344374769</c:v>
                      </c:pt>
                      <c:pt idx="112">
                        <c:v>1805.0644331621463</c:v>
                      </c:pt>
                      <c:pt idx="113">
                        <c:v>1512.5093418347783</c:v>
                      </c:pt>
                      <c:pt idx="114">
                        <c:v>1255.3696514359265</c:v>
                      </c:pt>
                      <c:pt idx="115">
                        <c:v>1060.7015148790283</c:v>
                      </c:pt>
                      <c:pt idx="116">
                        <c:v>899.4902405734955</c:v>
                      </c:pt>
                      <c:pt idx="117">
                        <c:v>770.59026101780978</c:v>
                      </c:pt>
                      <c:pt idx="118">
                        <c:v>664.62164293857938</c:v>
                      </c:pt>
                      <c:pt idx="119">
                        <c:v>579.66282146885317</c:v>
                      </c:pt>
                      <c:pt idx="120">
                        <c:v>512.95270822002749</c:v>
                      </c:pt>
                      <c:pt idx="121">
                        <c:v>455.69823345196318</c:v>
                      </c:pt>
                      <c:pt idx="122">
                        <c:v>398.75387444792136</c:v>
                      </c:pt>
                      <c:pt idx="123">
                        <c:v>355.91012298061759</c:v>
                      </c:pt>
                      <c:pt idx="124">
                        <c:v>317.93263663704221</c:v>
                      </c:pt>
                      <c:pt idx="125">
                        <c:v>285.92148210680489</c:v>
                      </c:pt>
                      <c:pt idx="126">
                        <c:v>255.28714566694788</c:v>
                      </c:pt>
                      <c:pt idx="127">
                        <c:v>223.8232538612331</c:v>
                      </c:pt>
                      <c:pt idx="128">
                        <c:v>202.50358481922299</c:v>
                      </c:pt>
                      <c:pt idx="129">
                        <c:v>183.84515005502467</c:v>
                      </c:pt>
                      <c:pt idx="130">
                        <c:v>167.29746644471609</c:v>
                      </c:pt>
                      <c:pt idx="131">
                        <c:v>153.0218285755976</c:v>
                      </c:pt>
                      <c:pt idx="132">
                        <c:v>140.06450383416671</c:v>
                      </c:pt>
                      <c:pt idx="133">
                        <c:v>128.91876340445691</c:v>
                      </c:pt>
                      <c:pt idx="134">
                        <c:v>118.54725757124874</c:v>
                      </c:pt>
                      <c:pt idx="135">
                        <c:v>109.14827628708053</c:v>
                      </c:pt>
                      <c:pt idx="136">
                        <c:v>100.88640395748698</c:v>
                      </c:pt>
                      <c:pt idx="137">
                        <c:v>92.119669175340121</c:v>
                      </c:pt>
                      <c:pt idx="138">
                        <c:v>84.596370570769366</c:v>
                      </c:pt>
                      <c:pt idx="139">
                        <c:v>77.634709902268952</c:v>
                      </c:pt>
                      <c:pt idx="140">
                        <c:v>70.932751240874225</c:v>
                      </c:pt>
                      <c:pt idx="141">
                        <c:v>65.52799510669</c:v>
                      </c:pt>
                      <c:pt idx="142">
                        <c:v>60.244021481714825</c:v>
                      </c:pt>
                      <c:pt idx="143">
                        <c:v>56.005327419770403</c:v>
                      </c:pt>
                      <c:pt idx="144">
                        <c:v>51.58972514273637</c:v>
                      </c:pt>
                      <c:pt idx="145">
                        <c:v>48.220331813695537</c:v>
                      </c:pt>
                      <c:pt idx="146">
                        <c:v>44.806630924870213</c:v>
                      </c:pt>
                      <c:pt idx="147">
                        <c:v>41.754012410855331</c:v>
                      </c:pt>
                      <c:pt idx="148">
                        <c:v>38.692409641936244</c:v>
                      </c:pt>
                      <c:pt idx="149">
                        <c:v>36.14261083718538</c:v>
                      </c:pt>
                      <c:pt idx="150">
                        <c:v>33.624264266371597</c:v>
                      </c:pt>
                      <c:pt idx="151">
                        <c:v>31.201702358109927</c:v>
                      </c:pt>
                      <c:pt idx="152">
                        <c:v>28.998805103683519</c:v>
                      </c:pt>
                      <c:pt idx="153">
                        <c:v>27.07800695674301</c:v>
                      </c:pt>
                      <c:pt idx="154">
                        <c:v>25.349080042975256</c:v>
                      </c:pt>
                      <c:pt idx="155">
                        <c:v>23.673525083578546</c:v>
                      </c:pt>
                      <c:pt idx="156">
                        <c:v>22.132481270276937</c:v>
                      </c:pt>
                      <c:pt idx="157">
                        <c:v>20.598402395542767</c:v>
                      </c:pt>
                      <c:pt idx="158">
                        <c:v>19.343097187534561</c:v>
                      </c:pt>
                      <c:pt idx="159">
                        <c:v>17.972493976042134</c:v>
                      </c:pt>
                      <c:pt idx="160">
                        <c:v>17.072137021366686</c:v>
                      </c:pt>
                      <c:pt idx="161">
                        <c:v>15.962872102698229</c:v>
                      </c:pt>
                      <c:pt idx="162">
                        <c:v>14.852143187439058</c:v>
                      </c:pt>
                      <c:pt idx="163">
                        <c:v>14.088056422048998</c:v>
                      </c:pt>
                      <c:pt idx="164">
                        <c:v>13.18122372929073</c:v>
                      </c:pt>
                      <c:pt idx="165">
                        <c:v>12.440855468430559</c:v>
                      </c:pt>
                      <c:pt idx="166">
                        <c:v>11.652309170659821</c:v>
                      </c:pt>
                      <c:pt idx="167">
                        <c:v>11.084407243193967</c:v>
                      </c:pt>
                      <c:pt idx="168">
                        <c:v>10.643654437055888</c:v>
                      </c:pt>
                      <c:pt idx="169">
                        <c:v>9.949876229854695</c:v>
                      </c:pt>
                      <c:pt idx="170">
                        <c:v>9.4116557376917722</c:v>
                      </c:pt>
                      <c:pt idx="171">
                        <c:v>8.8648205537597313</c:v>
                      </c:pt>
                      <c:pt idx="172">
                        <c:v>8.3918252481759978</c:v>
                      </c:pt>
                      <c:pt idx="173">
                        <c:v>7.9269777595429831</c:v>
                      </c:pt>
                      <c:pt idx="174">
                        <c:v>7.4968764058678481</c:v>
                      </c:pt>
                      <c:pt idx="175">
                        <c:v>7.068097647138937</c:v>
                      </c:pt>
                      <c:pt idx="176">
                        <c:v>6.7014349570628831</c:v>
                      </c:pt>
                      <c:pt idx="177">
                        <c:v>6.3983266523703</c:v>
                      </c:pt>
                      <c:pt idx="178">
                        <c:v>6.1129702245050055</c:v>
                      </c:pt>
                      <c:pt idx="179">
                        <c:v>5.7432833961010878</c:v>
                      </c:pt>
                      <c:pt idx="180">
                        <c:v>5.4503743788520662</c:v>
                      </c:pt>
                      <c:pt idx="181">
                        <c:v>5.2382132745727192</c:v>
                      </c:pt>
                      <c:pt idx="182">
                        <c:v>5.0338320749923149</c:v>
                      </c:pt>
                      <c:pt idx="183">
                        <c:v>4.6815228127206847</c:v>
                      </c:pt>
                      <c:pt idx="184">
                        <c:v>4.4477555792490451</c:v>
                      </c:pt>
                      <c:pt idx="185">
                        <c:v>4.2544837599922225</c:v>
                      </c:pt>
                      <c:pt idx="186">
                        <c:v>4.0745578080931706</c:v>
                      </c:pt>
                      <c:pt idx="187">
                        <c:v>3.8562366277334905</c:v>
                      </c:pt>
                      <c:pt idx="188">
                        <c:v>3.7388261536435698</c:v>
                      </c:pt>
                      <c:pt idx="189">
                        <c:v>3.5318400173393107</c:v>
                      </c:pt>
                      <c:pt idx="190">
                        <c:v>3.4138955791759198</c:v>
                      </c:pt>
                      <c:pt idx="191">
                        <c:v>3.19624055825392</c:v>
                      </c:pt>
                      <c:pt idx="192">
                        <c:v>3.045240907301034</c:v>
                      </c:pt>
                      <c:pt idx="193">
                        <c:v>2.9259521835408004</c:v>
                      </c:pt>
                      <c:pt idx="194">
                        <c:v>2.8309285257220855</c:v>
                      </c:pt>
                      <c:pt idx="195">
                        <c:v>2.6892624006266286</c:v>
                      </c:pt>
                      <c:pt idx="196">
                        <c:v>2.5739805215625702</c:v>
                      </c:pt>
                      <c:pt idx="197">
                        <c:v>2.4721866441881319</c:v>
                      </c:pt>
                      <c:pt idx="198">
                        <c:v>2.33393486768778</c:v>
                      </c:pt>
                      <c:pt idx="199">
                        <c:v>2.2371219009483361</c:v>
                      </c:pt>
                      <c:pt idx="200">
                        <c:v>2.204376938853716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402-4FD7-8661-E7A895ADE3C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OMEGA!$S$1</c15:sqref>
                        </c15:formulaRef>
                      </c:ext>
                    </c:extLst>
                    <c:strCache>
                      <c:ptCount val="1"/>
                      <c:pt idx="0">
                        <c:v>Si_TEOS_omega_2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OMEGA!$W$20:$W$220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2.1127832235875686E-2</c:v>
                      </c:pt>
                      <c:pt idx="1">
                        <c:v>2.5135675521279634E-2</c:v>
                      </c:pt>
                      <c:pt idx="2">
                        <c:v>2.4284234335090381E-2</c:v>
                      </c:pt>
                      <c:pt idx="3">
                        <c:v>2.2576118598809484E-2</c:v>
                      </c:pt>
                      <c:pt idx="4">
                        <c:v>2.0275843425824783E-2</c:v>
                      </c:pt>
                      <c:pt idx="5">
                        <c:v>2.1705080279666535E-2</c:v>
                      </c:pt>
                      <c:pt idx="6">
                        <c:v>1.684992819931443E-2</c:v>
                      </c:pt>
                      <c:pt idx="7">
                        <c:v>2.2843605736383478E-2</c:v>
                      </c:pt>
                      <c:pt idx="8">
                        <c:v>2.027047957242421E-2</c:v>
                      </c:pt>
                      <c:pt idx="9">
                        <c:v>2.3128508876764538E-2</c:v>
                      </c:pt>
                      <c:pt idx="10">
                        <c:v>2.7975459926552426E-2</c:v>
                      </c:pt>
                      <c:pt idx="11">
                        <c:v>2.5695786216540447E-2</c:v>
                      </c:pt>
                      <c:pt idx="12">
                        <c:v>2.5981927713423336E-2</c:v>
                      </c:pt>
                      <c:pt idx="13">
                        <c:v>2.4851965837630795E-2</c:v>
                      </c:pt>
                      <c:pt idx="14">
                        <c:v>2.5428940511479422E-2</c:v>
                      </c:pt>
                      <c:pt idx="15">
                        <c:v>2.6287186368150903E-2</c:v>
                      </c:pt>
                      <c:pt idx="16">
                        <c:v>2.5142029610911092E-2</c:v>
                      </c:pt>
                      <c:pt idx="17">
                        <c:v>2.5437799535448617E-2</c:v>
                      </c:pt>
                      <c:pt idx="18">
                        <c:v>2.8017232198786952E-2</c:v>
                      </c:pt>
                      <c:pt idx="19">
                        <c:v>2.9162061610230119E-2</c:v>
                      </c:pt>
                      <c:pt idx="20">
                        <c:v>3.2881984726861366E-2</c:v>
                      </c:pt>
                      <c:pt idx="21">
                        <c:v>3.4597357808362032E-2</c:v>
                      </c:pt>
                      <c:pt idx="22">
                        <c:v>3.0024934421253945E-2</c:v>
                      </c:pt>
                      <c:pt idx="23">
                        <c:v>3.2325852835382078E-2</c:v>
                      </c:pt>
                      <c:pt idx="24">
                        <c:v>3.0305525440630903E-2</c:v>
                      </c:pt>
                      <c:pt idx="25">
                        <c:v>2.8606910949089195E-2</c:v>
                      </c:pt>
                      <c:pt idx="26">
                        <c:v>3.8027932059353765E-2</c:v>
                      </c:pt>
                      <c:pt idx="27">
                        <c:v>3.4886662954573218E-2</c:v>
                      </c:pt>
                      <c:pt idx="28">
                        <c:v>3.8334174158160796E-2</c:v>
                      </c:pt>
                      <c:pt idx="29">
                        <c:v>3.4035294600500719E-2</c:v>
                      </c:pt>
                      <c:pt idx="30">
                        <c:v>3.8043630609504733E-2</c:v>
                      </c:pt>
                      <c:pt idx="31">
                        <c:v>3.9181819544211904E-2</c:v>
                      </c:pt>
                      <c:pt idx="32">
                        <c:v>4.2913829573791001E-2</c:v>
                      </c:pt>
                      <c:pt idx="33">
                        <c:v>4.6054191308996274E-2</c:v>
                      </c:pt>
                      <c:pt idx="34">
                        <c:v>4.6917623695597085E-2</c:v>
                      </c:pt>
                      <c:pt idx="35">
                        <c:v>3.7199880307954347E-2</c:v>
                      </c:pt>
                      <c:pt idx="36">
                        <c:v>3.9484716439078284E-2</c:v>
                      </c:pt>
                      <c:pt idx="37">
                        <c:v>5.0370950569097295E-2</c:v>
                      </c:pt>
                      <c:pt idx="38">
                        <c:v>5.2666585052541931E-2</c:v>
                      </c:pt>
                      <c:pt idx="39">
                        <c:v>4.6955639690136303E-2</c:v>
                      </c:pt>
                      <c:pt idx="40">
                        <c:v>4.9523988589902042E-2</c:v>
                      </c:pt>
                      <c:pt idx="41">
                        <c:v>5.1544084667687985E-2</c:v>
                      </c:pt>
                      <c:pt idx="42">
                        <c:v>4.3236589126759484E-2</c:v>
                      </c:pt>
                      <c:pt idx="43">
                        <c:v>5.2687573057476476E-2</c:v>
                      </c:pt>
                      <c:pt idx="44">
                        <c:v>5.698016629217717E-2</c:v>
                      </c:pt>
                      <c:pt idx="45">
                        <c:v>6.3275616618020794E-2</c:v>
                      </c:pt>
                      <c:pt idx="46">
                        <c:v>5.5002355361280106E-2</c:v>
                      </c:pt>
                      <c:pt idx="47">
                        <c:v>5.8183790958880911E-2</c:v>
                      </c:pt>
                      <c:pt idx="48">
                        <c:v>6.5595294050383654E-2</c:v>
                      </c:pt>
                      <c:pt idx="49">
                        <c:v>6.5029390849642793E-2</c:v>
                      </c:pt>
                      <c:pt idx="50">
                        <c:v>6.7060064696913876E-2</c:v>
                      </c:pt>
                      <c:pt idx="51">
                        <c:v>6.304324110116713E-2</c:v>
                      </c:pt>
                      <c:pt idx="52">
                        <c:v>6.1913775436672695E-2</c:v>
                      </c:pt>
                      <c:pt idx="53">
                        <c:v>7.7392154963630416E-2</c:v>
                      </c:pt>
                      <c:pt idx="54">
                        <c:v>7.4789954133126405E-2</c:v>
                      </c:pt>
                      <c:pt idx="55">
                        <c:v>8.658591755741929E-2</c:v>
                      </c:pt>
                      <c:pt idx="56">
                        <c:v>8.0250882602072957E-2</c:v>
                      </c:pt>
                      <c:pt idx="57">
                        <c:v>8.3670726463918932E-2</c:v>
                      </c:pt>
                      <c:pt idx="58">
                        <c:v>8.0841441295109701E-2</c:v>
                      </c:pt>
                      <c:pt idx="59">
                        <c:v>8.9478855357803144E-2</c:v>
                      </c:pt>
                      <c:pt idx="60">
                        <c:v>9.0593364173684451E-2</c:v>
                      </c:pt>
                      <c:pt idx="61">
                        <c:v>0.10461331536621138</c:v>
                      </c:pt>
                      <c:pt idx="62">
                        <c:v>8.9737450296418844E-2</c:v>
                      </c:pt>
                      <c:pt idx="63">
                        <c:v>0.10698017230060201</c:v>
                      </c:pt>
                      <c:pt idx="64">
                        <c:v>0.1164646874477917</c:v>
                      </c:pt>
                      <c:pt idx="65">
                        <c:v>0.11135175782094711</c:v>
                      </c:pt>
                      <c:pt idx="66">
                        <c:v>0.1293917340486315</c:v>
                      </c:pt>
                      <c:pt idx="67">
                        <c:v>0.11911119285296105</c:v>
                      </c:pt>
                      <c:pt idx="68">
                        <c:v>0.11883772229650856</c:v>
                      </c:pt>
                      <c:pt idx="69">
                        <c:v>0.12426443632762028</c:v>
                      </c:pt>
                      <c:pt idx="70">
                        <c:v>0.1277081921189237</c:v>
                      </c:pt>
                      <c:pt idx="71">
                        <c:v>0.13866633930309627</c:v>
                      </c:pt>
                      <c:pt idx="72">
                        <c:v>0.16157464043830982</c:v>
                      </c:pt>
                      <c:pt idx="73">
                        <c:v>0.16332397411375288</c:v>
                      </c:pt>
                      <c:pt idx="74">
                        <c:v>0.18137921906144058</c:v>
                      </c:pt>
                      <c:pt idx="75">
                        <c:v>0.18309568775791238</c:v>
                      </c:pt>
                      <c:pt idx="76">
                        <c:v>0.18543043772318749</c:v>
                      </c:pt>
                      <c:pt idx="77">
                        <c:v>0.19635536876916188</c:v>
                      </c:pt>
                      <c:pt idx="78">
                        <c:v>0.21763237395833981</c:v>
                      </c:pt>
                      <c:pt idx="79">
                        <c:v>0.23772334761673586</c:v>
                      </c:pt>
                      <c:pt idx="80">
                        <c:v>0.24415267274505331</c:v>
                      </c:pt>
                      <c:pt idx="81">
                        <c:v>0.2608781451098951</c:v>
                      </c:pt>
                      <c:pt idx="82">
                        <c:v>0.29920816368512815</c:v>
                      </c:pt>
                      <c:pt idx="83">
                        <c:v>0.33414653806962513</c:v>
                      </c:pt>
                      <c:pt idx="84">
                        <c:v>0.35412165293648273</c:v>
                      </c:pt>
                      <c:pt idx="85">
                        <c:v>0.4212840029963717</c:v>
                      </c:pt>
                      <c:pt idx="86">
                        <c:v>0.49604913228863889</c:v>
                      </c:pt>
                      <c:pt idx="87">
                        <c:v>0.57837531101313888</c:v>
                      </c:pt>
                      <c:pt idx="88">
                        <c:v>0.72760215506968506</c:v>
                      </c:pt>
                      <c:pt idx="89">
                        <c:v>0.98782414110644179</c:v>
                      </c:pt>
                      <c:pt idx="90">
                        <c:v>1.6725604648419574</c:v>
                      </c:pt>
                      <c:pt idx="91">
                        <c:v>4.8493048568455395</c:v>
                      </c:pt>
                      <c:pt idx="92">
                        <c:v>21.653946157238348</c:v>
                      </c:pt>
                      <c:pt idx="93">
                        <c:v>101.52027881647878</c:v>
                      </c:pt>
                      <c:pt idx="94">
                        <c:v>364.82792803699107</c:v>
                      </c:pt>
                      <c:pt idx="95">
                        <c:v>1000.2904761592704</c:v>
                      </c:pt>
                      <c:pt idx="96">
                        <c:v>2057.9164434623472</c:v>
                      </c:pt>
                      <c:pt idx="97">
                        <c:v>3503.748661309548</c:v>
                      </c:pt>
                      <c:pt idx="98">
                        <c:v>5163.9457273206199</c:v>
                      </c:pt>
                      <c:pt idx="99">
                        <c:v>6720.1313656690145</c:v>
                      </c:pt>
                      <c:pt idx="100">
                        <c:v>7885.8609392296958</c:v>
                      </c:pt>
                      <c:pt idx="101">
                        <c:v>8565.9493783493726</c:v>
                      </c:pt>
                      <c:pt idx="102">
                        <c:v>8817.2211807466119</c:v>
                      </c:pt>
                      <c:pt idx="103">
                        <c:v>8891.8067816101375</c:v>
                      </c:pt>
                      <c:pt idx="104">
                        <c:v>8850.0762465228581</c:v>
                      </c:pt>
                      <c:pt idx="105">
                        <c:v>8804.1611698254383</c:v>
                      </c:pt>
                      <c:pt idx="106">
                        <c:v>8727.6170888412435</c:v>
                      </c:pt>
                      <c:pt idx="107">
                        <c:v>8625.7542474102047</c:v>
                      </c:pt>
                      <c:pt idx="108">
                        <c:v>8499.2691601378283</c:v>
                      </c:pt>
                      <c:pt idx="109">
                        <c:v>8355.7603495793355</c:v>
                      </c:pt>
                      <c:pt idx="110">
                        <c:v>8119.4800610910679</c:v>
                      </c:pt>
                      <c:pt idx="111">
                        <c:v>7842.6858327575728</c:v>
                      </c:pt>
                      <c:pt idx="112">
                        <c:v>7435.6609132433177</c:v>
                      </c:pt>
                      <c:pt idx="113">
                        <c:v>6860.8435712142655</c:v>
                      </c:pt>
                      <c:pt idx="114">
                        <c:v>5948.55873472851</c:v>
                      </c:pt>
                      <c:pt idx="115">
                        <c:v>4759.6869602631041</c:v>
                      </c:pt>
                      <c:pt idx="116">
                        <c:v>3465.0981456628688</c:v>
                      </c:pt>
                      <c:pt idx="117">
                        <c:v>2184.6675529462018</c:v>
                      </c:pt>
                      <c:pt idx="118">
                        <c:v>1134.3795245553224</c:v>
                      </c:pt>
                      <c:pt idx="119">
                        <c:v>462.97809260970456</c:v>
                      </c:pt>
                      <c:pt idx="120">
                        <c:v>152.03359901846341</c:v>
                      </c:pt>
                      <c:pt idx="121">
                        <c:v>54.777687041822254</c:v>
                      </c:pt>
                      <c:pt idx="122">
                        <c:v>19.795014252381481</c:v>
                      </c:pt>
                      <c:pt idx="123">
                        <c:v>11.68208694082074</c:v>
                      </c:pt>
                      <c:pt idx="124">
                        <c:v>8.3938074963722418</c:v>
                      </c:pt>
                      <c:pt idx="125">
                        <c:v>6.6274451190429851</c:v>
                      </c:pt>
                      <c:pt idx="126">
                        <c:v>5.2289393279741603</c:v>
                      </c:pt>
                      <c:pt idx="127">
                        <c:v>3.9016917680207932</c:v>
                      </c:pt>
                      <c:pt idx="128">
                        <c:v>2.7500523414719016</c:v>
                      </c:pt>
                      <c:pt idx="129">
                        <c:v>1.8311484021407114</c:v>
                      </c:pt>
                      <c:pt idx="130">
                        <c:v>1.1299358181470172</c:v>
                      </c:pt>
                      <c:pt idx="131">
                        <c:v>0.64940295839637685</c:v>
                      </c:pt>
                      <c:pt idx="132">
                        <c:v>0.41555128944671765</c:v>
                      </c:pt>
                      <c:pt idx="133">
                        <c:v>0.2984670175075394</c:v>
                      </c:pt>
                      <c:pt idx="134">
                        <c:v>0.2496915689219803</c:v>
                      </c:pt>
                      <c:pt idx="135">
                        <c:v>0.23257888336486021</c:v>
                      </c:pt>
                      <c:pt idx="136">
                        <c:v>0.20304949772793668</c:v>
                      </c:pt>
                      <c:pt idx="137">
                        <c:v>0.20665993191636101</c:v>
                      </c:pt>
                      <c:pt idx="138">
                        <c:v>0.18167407469140279</c:v>
                      </c:pt>
                      <c:pt idx="139">
                        <c:v>0.17534270342053529</c:v>
                      </c:pt>
                      <c:pt idx="140">
                        <c:v>0.16807247423467708</c:v>
                      </c:pt>
                      <c:pt idx="141">
                        <c:v>0.16702538180011819</c:v>
                      </c:pt>
                      <c:pt idx="142">
                        <c:v>0.14910634252812832</c:v>
                      </c:pt>
                      <c:pt idx="143">
                        <c:v>0.13989832017019943</c:v>
                      </c:pt>
                      <c:pt idx="144">
                        <c:v>0.13733851688135618</c:v>
                      </c:pt>
                      <c:pt idx="145">
                        <c:v>0.14435579106208415</c:v>
                      </c:pt>
                      <c:pt idx="146">
                        <c:v>0.13877852966311727</c:v>
                      </c:pt>
                      <c:pt idx="147">
                        <c:v>0.12903161742258218</c:v>
                      </c:pt>
                      <c:pt idx="148">
                        <c:v>0.1186891862311303</c:v>
                      </c:pt>
                      <c:pt idx="149">
                        <c:v>0.11510482212468154</c:v>
                      </c:pt>
                      <c:pt idx="150">
                        <c:v>9.9866487742095778E-2</c:v>
                      </c:pt>
                      <c:pt idx="151">
                        <c:v>0.10908445846881955</c:v>
                      </c:pt>
                      <c:pt idx="152">
                        <c:v>0.10537089602733246</c:v>
                      </c:pt>
                      <c:pt idx="153">
                        <c:v>0.10013912412204033</c:v>
                      </c:pt>
                      <c:pt idx="154">
                        <c:v>9.6372440355918992E-2</c:v>
                      </c:pt>
                      <c:pt idx="155">
                        <c:v>8.9774240589306983E-2</c:v>
                      </c:pt>
                      <c:pt idx="156">
                        <c:v>8.3996358541371774E-2</c:v>
                      </c:pt>
                      <c:pt idx="157">
                        <c:v>8.6276534182171308E-2</c:v>
                      </c:pt>
                      <c:pt idx="158">
                        <c:v>8.0562696070183459E-2</c:v>
                      </c:pt>
                      <c:pt idx="159">
                        <c:v>7.8544623568538668E-2</c:v>
                      </c:pt>
                      <c:pt idx="160">
                        <c:v>8.435094174648855E-2</c:v>
                      </c:pt>
                      <c:pt idx="161">
                        <c:v>7.7978956425532431E-2</c:v>
                      </c:pt>
                      <c:pt idx="162">
                        <c:v>6.7875189714765638E-2</c:v>
                      </c:pt>
                      <c:pt idx="163">
                        <c:v>7.4535843203626814E-2</c:v>
                      </c:pt>
                      <c:pt idx="164">
                        <c:v>6.5294843198189956E-2</c:v>
                      </c:pt>
                      <c:pt idx="165">
                        <c:v>6.67553038389328E-2</c:v>
                      </c:pt>
                      <c:pt idx="166">
                        <c:v>6.0976901400668325E-2</c:v>
                      </c:pt>
                      <c:pt idx="167">
                        <c:v>6.2753214280364358E-2</c:v>
                      </c:pt>
                      <c:pt idx="168">
                        <c:v>6.4171506966380756E-2</c:v>
                      </c:pt>
                      <c:pt idx="169">
                        <c:v>5.5503458429167138E-2</c:v>
                      </c:pt>
                      <c:pt idx="170">
                        <c:v>5.95560242942322E-2</c:v>
                      </c:pt>
                      <c:pt idx="171">
                        <c:v>4.65604575394944E-2</c:v>
                      </c:pt>
                      <c:pt idx="172">
                        <c:v>4.7432972365521381E-2</c:v>
                      </c:pt>
                      <c:pt idx="173">
                        <c:v>5.1771168312435473E-2</c:v>
                      </c:pt>
                      <c:pt idx="174">
                        <c:v>4.8285785231535254E-2</c:v>
                      </c:pt>
                      <c:pt idx="175">
                        <c:v>4.0790555684532784E-2</c:v>
                      </c:pt>
                      <c:pt idx="176">
                        <c:v>4.8572355824309736E-2</c:v>
                      </c:pt>
                      <c:pt idx="177">
                        <c:v>3.4130913979886421E-2</c:v>
                      </c:pt>
                      <c:pt idx="178">
                        <c:v>4.3103344781948133E-2</c:v>
                      </c:pt>
                      <c:pt idx="179">
                        <c:v>4.3405539605948888E-2</c:v>
                      </c:pt>
                      <c:pt idx="180">
                        <c:v>3.876770653517355E-2</c:v>
                      </c:pt>
                      <c:pt idx="181">
                        <c:v>3.5318058658953051E-2</c:v>
                      </c:pt>
                      <c:pt idx="182">
                        <c:v>4.1078932967194684E-2</c:v>
                      </c:pt>
                      <c:pt idx="183">
                        <c:v>3.9639100170436557E-2</c:v>
                      </c:pt>
                      <c:pt idx="184">
                        <c:v>3.8480983710507732E-2</c:v>
                      </c:pt>
                      <c:pt idx="185">
                        <c:v>3.7336674840311189E-2</c:v>
                      </c:pt>
                      <c:pt idx="186">
                        <c:v>3.5022196257557051E-2</c:v>
                      </c:pt>
                      <c:pt idx="187">
                        <c:v>3.1832404589167806E-2</c:v>
                      </c:pt>
                      <c:pt idx="188">
                        <c:v>3.4450371677533058E-2</c:v>
                      </c:pt>
                      <c:pt idx="189">
                        <c:v>3.1856308817606184E-2</c:v>
                      </c:pt>
                      <c:pt idx="190">
                        <c:v>3.4462850856800051E-2</c:v>
                      </c:pt>
                      <c:pt idx="191">
                        <c:v>3.2419305742883181E-2</c:v>
                      </c:pt>
                      <c:pt idx="192">
                        <c:v>3.7928306120690536E-2</c:v>
                      </c:pt>
                      <c:pt idx="193">
                        <c:v>2.5770927151090604E-2</c:v>
                      </c:pt>
                      <c:pt idx="194">
                        <c:v>3.1552696012873964E-2</c:v>
                      </c:pt>
                      <c:pt idx="195">
                        <c:v>2.9829535787261541E-2</c:v>
                      </c:pt>
                      <c:pt idx="196">
                        <c:v>2.3733114757134983E-2</c:v>
                      </c:pt>
                      <c:pt idx="197">
                        <c:v>2.9249482038008919E-2</c:v>
                      </c:pt>
                      <c:pt idx="198">
                        <c:v>5.0947171604084435E-2</c:v>
                      </c:pt>
                      <c:pt idx="199">
                        <c:v>2.4318346611826091E-2</c:v>
                      </c:pt>
                      <c:pt idx="200">
                        <c:v>2.1716270440765299E-2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2-4FD7-8661-E7A895ADE3C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OMEGA!$AF$1</c15:sqref>
                        </c15:formulaRef>
                      </c:ext>
                    </c:extLst>
                    <c:strCache>
                      <c:ptCount val="1"/>
                      <c:pt idx="0">
                        <c:v>Si_Thermo_omega_2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OMEGA!$AJ$20:$AJ$220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2.1948558877729639E-2</c:v>
                      </c:pt>
                      <c:pt idx="1">
                        <c:v>2.1114863803347015E-2</c:v>
                      </c:pt>
                      <c:pt idx="2">
                        <c:v>2.0787346567798692E-2</c:v>
                      </c:pt>
                      <c:pt idx="3">
                        <c:v>2.2129123435244653E-2</c:v>
                      </c:pt>
                      <c:pt idx="4">
                        <c:v>2.5150366496170654E-2</c:v>
                      </c:pt>
                      <c:pt idx="5">
                        <c:v>2.0457297052462336E-2</c:v>
                      </c:pt>
                      <c:pt idx="6">
                        <c:v>2.4980218684546376E-2</c:v>
                      </c:pt>
                      <c:pt idx="7">
                        <c:v>1.9962799742067206E-2</c:v>
                      </c:pt>
                      <c:pt idx="8">
                        <c:v>2.5329541104032835E-2</c:v>
                      </c:pt>
                      <c:pt idx="9">
                        <c:v>2.5331435835439481E-2</c:v>
                      </c:pt>
                      <c:pt idx="10">
                        <c:v>2.3323584242915366E-2</c:v>
                      </c:pt>
                      <c:pt idx="11">
                        <c:v>2.7516550911751689E-2</c:v>
                      </c:pt>
                      <c:pt idx="12">
                        <c:v>2.4497051209407674E-2</c:v>
                      </c:pt>
                      <c:pt idx="13">
                        <c:v>2.902783141494604E-2</c:v>
                      </c:pt>
                      <c:pt idx="14">
                        <c:v>2.7344934217566733E-2</c:v>
                      </c:pt>
                      <c:pt idx="15">
                        <c:v>2.4822457789955614E-2</c:v>
                      </c:pt>
                      <c:pt idx="16">
                        <c:v>2.7007058940675118E-2</c:v>
                      </c:pt>
                      <c:pt idx="17">
                        <c:v>2.9688334381622269E-2</c:v>
                      </c:pt>
                      <c:pt idx="18">
                        <c:v>2.7502933841927424E-2</c:v>
                      </c:pt>
                      <c:pt idx="19">
                        <c:v>2.9850692204012107E-2</c:v>
                      </c:pt>
                      <c:pt idx="20">
                        <c:v>2.8674446731580917E-2</c:v>
                      </c:pt>
                      <c:pt idx="21">
                        <c:v>2.8179476494769005E-2</c:v>
                      </c:pt>
                      <c:pt idx="22">
                        <c:v>3.3712180531175487E-2</c:v>
                      </c:pt>
                      <c:pt idx="23">
                        <c:v>3.2386901917962403E-2</c:v>
                      </c:pt>
                      <c:pt idx="24">
                        <c:v>3.3560328684489486E-2</c:v>
                      </c:pt>
                      <c:pt idx="25">
                        <c:v>3.5752032763229961E-2</c:v>
                      </c:pt>
                      <c:pt idx="26">
                        <c:v>3.9117054545559547E-2</c:v>
                      </c:pt>
                      <c:pt idx="27">
                        <c:v>3.7106429231189036E-2</c:v>
                      </c:pt>
                      <c:pt idx="28">
                        <c:v>3.7090075160771625E-2</c:v>
                      </c:pt>
                      <c:pt idx="29">
                        <c:v>3.4581124960590529E-2</c:v>
                      </c:pt>
                      <c:pt idx="30">
                        <c:v>4.0295520632397899E-2</c:v>
                      </c:pt>
                      <c:pt idx="31">
                        <c:v>3.8612692949095626E-2</c:v>
                      </c:pt>
                      <c:pt idx="32">
                        <c:v>4.3999465423288794E-2</c:v>
                      </c:pt>
                      <c:pt idx="33">
                        <c:v>4.1316352424455319E-2</c:v>
                      </c:pt>
                      <c:pt idx="34">
                        <c:v>4.3015899130001756E-2</c:v>
                      </c:pt>
                      <c:pt idx="35">
                        <c:v>4.4374085372781986E-2</c:v>
                      </c:pt>
                      <c:pt idx="36">
                        <c:v>4.3563720207818797E-2</c:v>
                      </c:pt>
                      <c:pt idx="37">
                        <c:v>4.5941047841593655E-2</c:v>
                      </c:pt>
                      <c:pt idx="38">
                        <c:v>4.8631024052416504E-2</c:v>
                      </c:pt>
                      <c:pt idx="39">
                        <c:v>5.6538797781215656E-2</c:v>
                      </c:pt>
                      <c:pt idx="40">
                        <c:v>4.9642487426525536E-2</c:v>
                      </c:pt>
                      <c:pt idx="41">
                        <c:v>5.3179631184784797E-2</c:v>
                      </c:pt>
                      <c:pt idx="42">
                        <c:v>5.2352197709909502E-2</c:v>
                      </c:pt>
                      <c:pt idx="43">
                        <c:v>5.6076212995845913E-2</c:v>
                      </c:pt>
                      <c:pt idx="44">
                        <c:v>5.6921729455937396E-2</c:v>
                      </c:pt>
                      <c:pt idx="45">
                        <c:v>5.6415521772593888E-2</c:v>
                      </c:pt>
                      <c:pt idx="46">
                        <c:v>6.3321077336726261E-2</c:v>
                      </c:pt>
                      <c:pt idx="47">
                        <c:v>6.2970507762689337E-2</c:v>
                      </c:pt>
                      <c:pt idx="48">
                        <c:v>6.4484097169351856E-2</c:v>
                      </c:pt>
                      <c:pt idx="49">
                        <c:v>5.9098424739065299E-2</c:v>
                      </c:pt>
                      <c:pt idx="50">
                        <c:v>6.8689704160851892E-2</c:v>
                      </c:pt>
                      <c:pt idx="51">
                        <c:v>6.8019245068878326E-2</c:v>
                      </c:pt>
                      <c:pt idx="52">
                        <c:v>7.5582369733869934E-2</c:v>
                      </c:pt>
                      <c:pt idx="53">
                        <c:v>8.2623878603814635E-2</c:v>
                      </c:pt>
                      <c:pt idx="54">
                        <c:v>7.7256301854610743E-2</c:v>
                      </c:pt>
                      <c:pt idx="55">
                        <c:v>8.382239267081236E-2</c:v>
                      </c:pt>
                      <c:pt idx="56">
                        <c:v>8.6045322782526579E-2</c:v>
                      </c:pt>
                      <c:pt idx="57">
                        <c:v>8.3696792690066954E-2</c:v>
                      </c:pt>
                      <c:pt idx="58">
                        <c:v>9.4017197126969251E-2</c:v>
                      </c:pt>
                      <c:pt idx="59">
                        <c:v>9.7074666715788252E-2</c:v>
                      </c:pt>
                      <c:pt idx="60">
                        <c:v>9.6752818646432454E-2</c:v>
                      </c:pt>
                      <c:pt idx="61">
                        <c:v>0.1005207192513824</c:v>
                      </c:pt>
                      <c:pt idx="62">
                        <c:v>0.11079754076679151</c:v>
                      </c:pt>
                      <c:pt idx="63">
                        <c:v>0.11372415127235642</c:v>
                      </c:pt>
                      <c:pt idx="64">
                        <c:v>0.11753944744604429</c:v>
                      </c:pt>
                      <c:pt idx="65">
                        <c:v>0.11132223294695846</c:v>
                      </c:pt>
                      <c:pt idx="66">
                        <c:v>0.11975376329156984</c:v>
                      </c:pt>
                      <c:pt idx="67">
                        <c:v>0.13782648345000362</c:v>
                      </c:pt>
                      <c:pt idx="68">
                        <c:v>0.12872828014355128</c:v>
                      </c:pt>
                      <c:pt idx="69">
                        <c:v>0.14572457356523477</c:v>
                      </c:pt>
                      <c:pt idx="70">
                        <c:v>0.14256050456148853</c:v>
                      </c:pt>
                      <c:pt idx="71">
                        <c:v>0.15433972923475459</c:v>
                      </c:pt>
                      <c:pt idx="72">
                        <c:v>0.15959409530219665</c:v>
                      </c:pt>
                      <c:pt idx="73">
                        <c:v>0.16816472281641739</c:v>
                      </c:pt>
                      <c:pt idx="74">
                        <c:v>0.18506431364821452</c:v>
                      </c:pt>
                      <c:pt idx="75">
                        <c:v>0.18657565061799766</c:v>
                      </c:pt>
                      <c:pt idx="76">
                        <c:v>0.19520864105572075</c:v>
                      </c:pt>
                      <c:pt idx="77">
                        <c:v>0.21015354486965701</c:v>
                      </c:pt>
                      <c:pt idx="78">
                        <c:v>0.22645420057585949</c:v>
                      </c:pt>
                      <c:pt idx="79">
                        <c:v>0.23743751084100803</c:v>
                      </c:pt>
                      <c:pt idx="80">
                        <c:v>0.24708135571072445</c:v>
                      </c:pt>
                      <c:pt idx="81">
                        <c:v>0.27873279585626937</c:v>
                      </c:pt>
                      <c:pt idx="82">
                        <c:v>0.33959197339803149</c:v>
                      </c:pt>
                      <c:pt idx="83">
                        <c:v>0.38363710998492306</c:v>
                      </c:pt>
                      <c:pt idx="84">
                        <c:v>0.45532878051894837</c:v>
                      </c:pt>
                      <c:pt idx="85">
                        <c:v>0.56721616394921526</c:v>
                      </c:pt>
                      <c:pt idx="86">
                        <c:v>0.67208344718029855</c:v>
                      </c:pt>
                      <c:pt idx="87">
                        <c:v>0.8266397768397572</c:v>
                      </c:pt>
                      <c:pt idx="88">
                        <c:v>1.0144080982056705</c:v>
                      </c:pt>
                      <c:pt idx="89">
                        <c:v>1.2188024104706887</c:v>
                      </c:pt>
                      <c:pt idx="90">
                        <c:v>1.4348847037144987</c:v>
                      </c:pt>
                      <c:pt idx="91">
                        <c:v>1.865909824128607</c:v>
                      </c:pt>
                      <c:pt idx="92">
                        <c:v>2.3400029139658929</c:v>
                      </c:pt>
                      <c:pt idx="93">
                        <c:v>3.0172539077870768</c:v>
                      </c:pt>
                      <c:pt idx="94">
                        <c:v>4.2013602489418842</c:v>
                      </c:pt>
                      <c:pt idx="95">
                        <c:v>7.0098732161690673</c:v>
                      </c:pt>
                      <c:pt idx="96">
                        <c:v>19.575459742538566</c:v>
                      </c:pt>
                      <c:pt idx="97">
                        <c:v>109.06392154371206</c:v>
                      </c:pt>
                      <c:pt idx="98">
                        <c:v>691.82807795620249</c:v>
                      </c:pt>
                      <c:pt idx="99">
                        <c:v>3084.9727682149287</c:v>
                      </c:pt>
                      <c:pt idx="100">
                        <c:v>9071.7800270856442</c:v>
                      </c:pt>
                      <c:pt idx="101">
                        <c:v>16629.301759878668</c:v>
                      </c:pt>
                      <c:pt idx="102">
                        <c:v>20865.261919724631</c:v>
                      </c:pt>
                      <c:pt idx="103">
                        <c:v>21112.86719558575</c:v>
                      </c:pt>
                      <c:pt idx="104">
                        <c:v>17441.866422104384</c:v>
                      </c:pt>
                      <c:pt idx="105">
                        <c:v>10415.902067426265</c:v>
                      </c:pt>
                      <c:pt idx="106">
                        <c:v>3711.6760343033434</c:v>
                      </c:pt>
                      <c:pt idx="107">
                        <c:v>789.80587087788547</c:v>
                      </c:pt>
                      <c:pt idx="108">
                        <c:v>197.93448123385096</c:v>
                      </c:pt>
                      <c:pt idx="109">
                        <c:v>51.647463293702572</c:v>
                      </c:pt>
                      <c:pt idx="110">
                        <c:v>27.766691159322303</c:v>
                      </c:pt>
                      <c:pt idx="111">
                        <c:v>19.651859536390983</c:v>
                      </c:pt>
                      <c:pt idx="112">
                        <c:v>15.113635076581344</c:v>
                      </c:pt>
                      <c:pt idx="113">
                        <c:v>11.958909299389072</c:v>
                      </c:pt>
                      <c:pt idx="114">
                        <c:v>9.8192785960152396</c:v>
                      </c:pt>
                      <c:pt idx="115">
                        <c:v>8.3494823583553437</c:v>
                      </c:pt>
                      <c:pt idx="116">
                        <c:v>7.0244053719064228</c:v>
                      </c:pt>
                      <c:pt idx="117">
                        <c:v>5.9527866966922858</c:v>
                      </c:pt>
                      <c:pt idx="118">
                        <c:v>5.1772628935571259</c:v>
                      </c:pt>
                      <c:pt idx="119">
                        <c:v>4.4579100518243484</c:v>
                      </c:pt>
                      <c:pt idx="120">
                        <c:v>3.9370826990307459</c:v>
                      </c:pt>
                      <c:pt idx="121">
                        <c:v>3.4716060224271654</c:v>
                      </c:pt>
                      <c:pt idx="122">
                        <c:v>3.0786917548264787</c:v>
                      </c:pt>
                      <c:pt idx="123">
                        <c:v>2.7892131558430098</c:v>
                      </c:pt>
                      <c:pt idx="124">
                        <c:v>2.496939095027364</c:v>
                      </c:pt>
                      <c:pt idx="125">
                        <c:v>2.2597762008618751</c:v>
                      </c:pt>
                      <c:pt idx="126">
                        <c:v>2.0681477949396672</c:v>
                      </c:pt>
                      <c:pt idx="127">
                        <c:v>1.8717217080243793</c:v>
                      </c:pt>
                      <c:pt idx="128">
                        <c:v>1.6895997693306877</c:v>
                      </c:pt>
                      <c:pt idx="129">
                        <c:v>1.4829163136085268</c:v>
                      </c:pt>
                      <c:pt idx="130">
                        <c:v>1.311653014826226</c:v>
                      </c:pt>
                      <c:pt idx="131">
                        <c:v>1.1663193639979406</c:v>
                      </c:pt>
                      <c:pt idx="132">
                        <c:v>1.0251041650821644</c:v>
                      </c:pt>
                      <c:pt idx="133">
                        <c:v>0.89255672823917176</c:v>
                      </c:pt>
                      <c:pt idx="134">
                        <c:v>0.76242151857408724</c:v>
                      </c:pt>
                      <c:pt idx="135">
                        <c:v>0.65270130011656735</c:v>
                      </c:pt>
                      <c:pt idx="136">
                        <c:v>0.56208920435365983</c:v>
                      </c:pt>
                      <c:pt idx="137">
                        <c:v>0.48654807314502657</c:v>
                      </c:pt>
                      <c:pt idx="138">
                        <c:v>0.42353279795261062</c:v>
                      </c:pt>
                      <c:pt idx="139">
                        <c:v>0.34777578394994918</c:v>
                      </c:pt>
                      <c:pt idx="140">
                        <c:v>0.26896575290950647</c:v>
                      </c:pt>
                      <c:pt idx="141">
                        <c:v>0.22627447657149996</c:v>
                      </c:pt>
                      <c:pt idx="142">
                        <c:v>0.20389770652229577</c:v>
                      </c:pt>
                      <c:pt idx="143">
                        <c:v>0.17068444155664617</c:v>
                      </c:pt>
                      <c:pt idx="144">
                        <c:v>0.15191140187575786</c:v>
                      </c:pt>
                      <c:pt idx="145">
                        <c:v>0.12933217160681898</c:v>
                      </c:pt>
                      <c:pt idx="146">
                        <c:v>0.11850801063217198</c:v>
                      </c:pt>
                      <c:pt idx="147">
                        <c:v>0.11038012674083894</c:v>
                      </c:pt>
                      <c:pt idx="148">
                        <c:v>0.10654021673984354</c:v>
                      </c:pt>
                      <c:pt idx="149">
                        <c:v>9.8893369600579206E-2</c:v>
                      </c:pt>
                      <c:pt idx="150">
                        <c:v>9.2411068827950915E-2</c:v>
                      </c:pt>
                      <c:pt idx="151">
                        <c:v>8.4606985601250198E-2</c:v>
                      </c:pt>
                      <c:pt idx="152">
                        <c:v>8.6858707586285416E-2</c:v>
                      </c:pt>
                      <c:pt idx="153">
                        <c:v>8.248832407536541E-2</c:v>
                      </c:pt>
                      <c:pt idx="154">
                        <c:v>8.6362938412616552E-2</c:v>
                      </c:pt>
                      <c:pt idx="155">
                        <c:v>7.6861654310730609E-2</c:v>
                      </c:pt>
                      <c:pt idx="156">
                        <c:v>7.9572909749731968E-2</c:v>
                      </c:pt>
                      <c:pt idx="157">
                        <c:v>6.5626472345208575E-2</c:v>
                      </c:pt>
                      <c:pt idx="158">
                        <c:v>7.1242603457735115E-2</c:v>
                      </c:pt>
                      <c:pt idx="159">
                        <c:v>6.3068638789569004E-2</c:v>
                      </c:pt>
                      <c:pt idx="160">
                        <c:v>6.6123893193967956E-2</c:v>
                      </c:pt>
                      <c:pt idx="161">
                        <c:v>6.4955914913668922E-2</c:v>
                      </c:pt>
                      <c:pt idx="162">
                        <c:v>6.1695095698781087E-2</c:v>
                      </c:pt>
                      <c:pt idx="163">
                        <c:v>5.6941359034883739E-2</c:v>
                      </c:pt>
                      <c:pt idx="164">
                        <c:v>5.338322295870291E-2</c:v>
                      </c:pt>
                      <c:pt idx="165">
                        <c:v>5.1874428913561692E-2</c:v>
                      </c:pt>
                      <c:pt idx="166">
                        <c:v>5.5642439438054248E-2</c:v>
                      </c:pt>
                      <c:pt idx="167">
                        <c:v>5.3286294303744514E-2</c:v>
                      </c:pt>
                      <c:pt idx="168">
                        <c:v>5.5847941855209381E-2</c:v>
                      </c:pt>
                      <c:pt idx="169">
                        <c:v>5.3644350219609754E-2</c:v>
                      </c:pt>
                      <c:pt idx="170">
                        <c:v>5.2961363595377023E-2</c:v>
                      </c:pt>
                      <c:pt idx="171">
                        <c:v>4.5285294375268507E-2</c:v>
                      </c:pt>
                      <c:pt idx="172">
                        <c:v>5.0399602442487326E-2</c:v>
                      </c:pt>
                      <c:pt idx="173">
                        <c:v>5.0559425574108238E-2</c:v>
                      </c:pt>
                      <c:pt idx="174">
                        <c:v>3.9850229214601546E-2</c:v>
                      </c:pt>
                      <c:pt idx="175">
                        <c:v>3.9004124217745892E-2</c:v>
                      </c:pt>
                      <c:pt idx="176">
                        <c:v>3.8154224006446975E-2</c:v>
                      </c:pt>
                      <c:pt idx="177">
                        <c:v>4.2752174467570209E-2</c:v>
                      </c:pt>
                      <c:pt idx="178">
                        <c:v>4.1224102363057534E-2</c:v>
                      </c:pt>
                      <c:pt idx="179">
                        <c:v>3.680309004196302E-2</c:v>
                      </c:pt>
                      <c:pt idx="180">
                        <c:v>3.1679768095922115E-2</c:v>
                      </c:pt>
                      <c:pt idx="181">
                        <c:v>3.47654707708282E-2</c:v>
                      </c:pt>
                      <c:pt idx="182">
                        <c:v>3.2538986817042446E-2</c:v>
                      </c:pt>
                      <c:pt idx="183">
                        <c:v>3.4253047541355441E-2</c:v>
                      </c:pt>
                      <c:pt idx="184">
                        <c:v>3.5620555323775768E-2</c:v>
                      </c:pt>
                      <c:pt idx="185">
                        <c:v>3.9392500118177499E-2</c:v>
                      </c:pt>
                      <c:pt idx="186">
                        <c:v>2.6260748703494898E-2</c:v>
                      </c:pt>
                      <c:pt idx="187">
                        <c:v>3.2741026562828957E-2</c:v>
                      </c:pt>
                      <c:pt idx="188">
                        <c:v>3.3260041278951949E-2</c:v>
                      </c:pt>
                      <c:pt idx="189">
                        <c:v>2.7463184535013403E-2</c:v>
                      </c:pt>
                      <c:pt idx="190">
                        <c:v>3.0018277890625847E-2</c:v>
                      </c:pt>
                      <c:pt idx="191">
                        <c:v>2.9321165913203624E-2</c:v>
                      </c:pt>
                      <c:pt idx="192">
                        <c:v>2.9137045069130195E-2</c:v>
                      </c:pt>
                      <c:pt idx="193">
                        <c:v>2.7432799438803303E-2</c:v>
                      </c:pt>
                      <c:pt idx="194">
                        <c:v>2.6407312106352162E-2</c:v>
                      </c:pt>
                      <c:pt idx="195">
                        <c:v>2.8282427434404404E-2</c:v>
                      </c:pt>
                      <c:pt idx="196">
                        <c:v>2.5896168867963119E-2</c:v>
                      </c:pt>
                      <c:pt idx="197">
                        <c:v>2.2838531547869204E-2</c:v>
                      </c:pt>
                      <c:pt idx="198">
                        <c:v>2.284516010791781E-2</c:v>
                      </c:pt>
                      <c:pt idx="199">
                        <c:v>2.9829890023672829E-2</c:v>
                      </c:pt>
                      <c:pt idx="200">
                        <c:v>2.5915648009781383E-2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2-4FD7-8661-E7A895ADE3CF}"/>
                  </c:ext>
                </c:extLst>
              </c15:ser>
            </c15:filteredScatterSeries>
          </c:ext>
        </c:extLst>
      </c:scatterChart>
      <c:valAx>
        <c:axId val="442567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240418330936144E-2"/>
          <c:y val="7.127778724483351E-2"/>
          <c:w val="0.91947191321009414"/>
          <c:h val="0.81966218048124917"/>
        </c:manualLayout>
      </c:layout>
      <c:scatterChart>
        <c:scatterStyle val="lineMarker"/>
        <c:varyColors val="0"/>
        <c:ser>
          <c:idx val="1"/>
          <c:order val="1"/>
          <c:tx>
            <c:strRef>
              <c:f>OMEGA!$G$1</c:f>
              <c:strCache>
                <c:ptCount val="1"/>
                <c:pt idx="0">
                  <c:v>Si_RoughTEOS_omega_2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OMEGA!$K$20:$K$220</c:f>
              <c:numCache>
                <c:formatCode>0.00E+00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619.01345118724294</c:v>
                </c:pt>
                <c:pt idx="80">
                  <c:v>700.41593410981011</c:v>
                </c:pt>
                <c:pt idx="81">
                  <c:v>813.05027332382269</c:v>
                </c:pt>
                <c:pt idx="82">
                  <c:v>942.86436137603766</c:v>
                </c:pt>
                <c:pt idx="83">
                  <c:v>1124.8541388437579</c:v>
                </c:pt>
                <c:pt idx="84">
                  <c:v>1343.5417305243168</c:v>
                </c:pt>
                <c:pt idx="85">
                  <c:v>1671.8998694156762</c:v>
                </c:pt>
                <c:pt idx="86">
                  <c:v>2093.0803219921504</c:v>
                </c:pt>
                <c:pt idx="87">
                  <c:v>2636.9716986741796</c:v>
                </c:pt>
                <c:pt idx="88">
                  <c:v>3285.4172883884844</c:v>
                </c:pt>
                <c:pt idx="89">
                  <c:v>4057.1525923601994</c:v>
                </c:pt>
                <c:pt idx="90">
                  <c:v>4867.1887702399008</c:v>
                </c:pt>
                <c:pt idx="91">
                  <c:v>5677.2272951780515</c:v>
                </c:pt>
                <c:pt idx="92">
                  <c:v>6477.205636580592</c:v>
                </c:pt>
                <c:pt idx="93">
                  <c:v>7227.7253989949404</c:v>
                </c:pt>
                <c:pt idx="94">
                  <c:v>7982.9768591373486</c:v>
                </c:pt>
                <c:pt idx="95">
                  <c:v>8698.8604460729875</c:v>
                </c:pt>
                <c:pt idx="96">
                  <c:v>9398.7035911550156</c:v>
                </c:pt>
                <c:pt idx="97">
                  <c:v>10013.12436964128</c:v>
                </c:pt>
                <c:pt idx="98">
                  <c:v>10453.972991970066</c:v>
                </c:pt>
                <c:pt idx="99">
                  <c:v>10597.792496793154</c:v>
                </c:pt>
                <c:pt idx="100">
                  <c:v>10522.185612214087</c:v>
                </c:pt>
                <c:pt idx="101">
                  <c:v>10199.05304709568</c:v>
                </c:pt>
                <c:pt idx="102">
                  <c:v>9697.4725646781844</c:v>
                </c:pt>
                <c:pt idx="103">
                  <c:v>9019.5235239378344</c:v>
                </c:pt>
                <c:pt idx="104">
                  <c:v>8228.284367881146</c:v>
                </c:pt>
                <c:pt idx="105">
                  <c:v>7246.8538253972856</c:v>
                </c:pt>
                <c:pt idx="106">
                  <c:v>6185.3569138648145</c:v>
                </c:pt>
                <c:pt idx="107">
                  <c:v>5127.772108675842</c:v>
                </c:pt>
                <c:pt idx="108">
                  <c:v>4169.8557586003481</c:v>
                </c:pt>
                <c:pt idx="109">
                  <c:v>3364.2116256915879</c:v>
                </c:pt>
                <c:pt idx="110">
                  <c:v>2713.1460398976328</c:v>
                </c:pt>
                <c:pt idx="111">
                  <c:v>2213.0932344374769</c:v>
                </c:pt>
                <c:pt idx="112">
                  <c:v>1805.0644331621463</c:v>
                </c:pt>
                <c:pt idx="113">
                  <c:v>1512.5093418347783</c:v>
                </c:pt>
                <c:pt idx="114">
                  <c:v>1255.3696514359265</c:v>
                </c:pt>
                <c:pt idx="115">
                  <c:v>1060.7015148790283</c:v>
                </c:pt>
                <c:pt idx="116">
                  <c:v>899.4902405734955</c:v>
                </c:pt>
                <c:pt idx="117">
                  <c:v>770.59026101780978</c:v>
                </c:pt>
                <c:pt idx="118">
                  <c:v>664.62164293857938</c:v>
                </c:pt>
                <c:pt idx="119">
                  <c:v>579.66282146885317</c:v>
                </c:pt>
                <c:pt idx="120">
                  <c:v>512.95270822002749</c:v>
                </c:pt>
                <c:pt idx="121">
                  <c:v>455.69823345196318</c:v>
                </c:pt>
                <c:pt idx="122">
                  <c:v>398.75387444792136</c:v>
                </c:pt>
                <c:pt idx="123">
                  <c:v>355.91012298061759</c:v>
                </c:pt>
                <c:pt idx="124">
                  <c:v>317.93263663704221</c:v>
                </c:pt>
                <c:pt idx="125">
                  <c:v>285.92148210680489</c:v>
                </c:pt>
                <c:pt idx="126">
                  <c:v>255.28714566694788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1-466E-95E5-38D0A073DF57}"/>
            </c:ext>
          </c:extLst>
        </c:ser>
        <c:ser>
          <c:idx val="3"/>
          <c:order val="3"/>
          <c:tx>
            <c:strRef>
              <c:f>OMEGA!$S$1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OMEGA!$W$20:$W$220</c:f>
              <c:numCache>
                <c:formatCode>0.00E+00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1000.2904761592704</c:v>
                </c:pt>
                <c:pt idx="96">
                  <c:v>2057.9164434623472</c:v>
                </c:pt>
                <c:pt idx="97">
                  <c:v>3503.748661309548</c:v>
                </c:pt>
                <c:pt idx="98">
                  <c:v>5163.9457273206199</c:v>
                </c:pt>
                <c:pt idx="99">
                  <c:v>6720.1313656690145</c:v>
                </c:pt>
                <c:pt idx="100">
                  <c:v>7885.8609392296958</c:v>
                </c:pt>
                <c:pt idx="101">
                  <c:v>8565.9493783493726</c:v>
                </c:pt>
                <c:pt idx="102">
                  <c:v>8817.2211807466119</c:v>
                </c:pt>
                <c:pt idx="103">
                  <c:v>8891.8067816101375</c:v>
                </c:pt>
                <c:pt idx="104">
                  <c:v>8850.0762465228581</c:v>
                </c:pt>
                <c:pt idx="105">
                  <c:v>8804.1611698254383</c:v>
                </c:pt>
                <c:pt idx="106">
                  <c:v>8727.6170888412435</c:v>
                </c:pt>
                <c:pt idx="107">
                  <c:v>8625.7542474102047</c:v>
                </c:pt>
                <c:pt idx="108">
                  <c:v>8499.2691601378283</c:v>
                </c:pt>
                <c:pt idx="109">
                  <c:v>8355.7603495793355</c:v>
                </c:pt>
                <c:pt idx="110">
                  <c:v>8119.4800610910679</c:v>
                </c:pt>
                <c:pt idx="111">
                  <c:v>7842.6858327575728</c:v>
                </c:pt>
                <c:pt idx="112">
                  <c:v>7435.6609132433177</c:v>
                </c:pt>
                <c:pt idx="113">
                  <c:v>6860.8435712142655</c:v>
                </c:pt>
                <c:pt idx="114">
                  <c:v>5948.55873472851</c:v>
                </c:pt>
                <c:pt idx="115">
                  <c:v>4759.6869602631041</c:v>
                </c:pt>
                <c:pt idx="116">
                  <c:v>3465.0981456628688</c:v>
                </c:pt>
                <c:pt idx="117">
                  <c:v>2184.6675529462018</c:v>
                </c:pt>
                <c:pt idx="118">
                  <c:v>1134.3795245553224</c:v>
                </c:pt>
                <c:pt idx="119">
                  <c:v>462.97809260970456</c:v>
                </c:pt>
                <c:pt idx="120">
                  <c:v>152.03359901846341</c:v>
                </c:pt>
                <c:pt idx="121">
                  <c:v>54.777687041822254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21-466E-95E5-38D0A073DF57}"/>
            </c:ext>
          </c:extLst>
        </c:ser>
        <c:ser>
          <c:idx val="5"/>
          <c:order val="5"/>
          <c:tx>
            <c:strRef>
              <c:f>OMEGA!$AF$1</c:f>
              <c:strCache>
                <c:ptCount val="1"/>
                <c:pt idx="0">
                  <c:v>Si_Thermo_omega_2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OMEGA!$AJ$20:$AJ$220</c:f>
              <c:numCache>
                <c:formatCode>0.00E+00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3084.9727682149287</c:v>
                </c:pt>
                <c:pt idx="100">
                  <c:v>9071.7800270856442</c:v>
                </c:pt>
                <c:pt idx="101">
                  <c:v>16629.301759878668</c:v>
                </c:pt>
                <c:pt idx="102">
                  <c:v>20865.261919724631</c:v>
                </c:pt>
                <c:pt idx="103">
                  <c:v>21112.86719558575</c:v>
                </c:pt>
                <c:pt idx="104">
                  <c:v>17441.866422104384</c:v>
                </c:pt>
                <c:pt idx="105">
                  <c:v>10415.902067426265</c:v>
                </c:pt>
                <c:pt idx="106">
                  <c:v>3711.6760343033434</c:v>
                </c:pt>
                <c:pt idx="107">
                  <c:v>789.80587087788547</c:v>
                </c:pt>
                <c:pt idx="108">
                  <c:v>197.93448123385096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21-466E-95E5-38D0A073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OMEGA!$A$1</c15:sqref>
                        </c15:formulaRef>
                      </c:ext>
                    </c:extLst>
                    <c:strCache>
                      <c:ptCount val="1"/>
                      <c:pt idx="0">
                        <c:v>Si_RoughTEOS_omega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OMEGA!$E$20:$E$220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1.3346413733257048</c:v>
                      </c:pt>
                      <c:pt idx="1">
                        <c:v>1.3307549189272052</c:v>
                      </c:pt>
                      <c:pt idx="2">
                        <c:v>1.3898562549403528</c:v>
                      </c:pt>
                      <c:pt idx="3">
                        <c:v>1.4244690722229554</c:v>
                      </c:pt>
                      <c:pt idx="4">
                        <c:v>1.4901298696992864</c:v>
                      </c:pt>
                      <c:pt idx="5">
                        <c:v>1.5423480767701299</c:v>
                      </c:pt>
                      <c:pt idx="6">
                        <c:v>1.6310700095472428</c:v>
                      </c:pt>
                      <c:pt idx="7">
                        <c:v>1.6757109390246516</c:v>
                      </c:pt>
                      <c:pt idx="8">
                        <c:v>1.7593970543840793</c:v>
                      </c:pt>
                      <c:pt idx="9">
                        <c:v>1.83127824467802</c:v>
                      </c:pt>
                      <c:pt idx="10">
                        <c:v>1.8706393947957793</c:v>
                      </c:pt>
                      <c:pt idx="11">
                        <c:v>1.977317180948797</c:v>
                      </c:pt>
                      <c:pt idx="12">
                        <c:v>2.0766724616883527</c:v>
                      </c:pt>
                      <c:pt idx="13">
                        <c:v>2.1121261691248865</c:v>
                      </c:pt>
                      <c:pt idx="14">
                        <c:v>2.2274467597679286</c:v>
                      </c:pt>
                      <c:pt idx="15">
                        <c:v>2.3074317486648845</c:v>
                      </c:pt>
                      <c:pt idx="16">
                        <c:v>2.4247826422634753</c:v>
                      </c:pt>
                      <c:pt idx="17">
                        <c:v>2.5452747020105035</c:v>
                      </c:pt>
                      <c:pt idx="18">
                        <c:v>2.6698690113519383</c:v>
                      </c:pt>
                      <c:pt idx="19">
                        <c:v>2.7841302327673541</c:v>
                      </c:pt>
                      <c:pt idx="20">
                        <c:v>2.9262501529584286</c:v>
                      </c:pt>
                      <c:pt idx="21">
                        <c:v>3.0665747567441213</c:v>
                      </c:pt>
                      <c:pt idx="22">
                        <c:v>3.1973778880516428</c:v>
                      </c:pt>
                      <c:pt idx="23">
                        <c:v>3.4243244677940274</c:v>
                      </c:pt>
                      <c:pt idx="24">
                        <c:v>3.5580751458670501</c:v>
                      </c:pt>
                      <c:pt idx="25">
                        <c:v>3.7147657052977521</c:v>
                      </c:pt>
                      <c:pt idx="26">
                        <c:v>3.9455149107882974</c:v>
                      </c:pt>
                      <c:pt idx="27">
                        <c:v>4.1699441621579751</c:v>
                      </c:pt>
                      <c:pt idx="28">
                        <c:v>4.3618982418005894</c:v>
                      </c:pt>
                      <c:pt idx="29">
                        <c:v>4.6328536583061535</c:v>
                      </c:pt>
                      <c:pt idx="30">
                        <c:v>4.8619096097548766</c:v>
                      </c:pt>
                      <c:pt idx="31">
                        <c:v>5.1673133380803327</c:v>
                      </c:pt>
                      <c:pt idx="32">
                        <c:v>5.3855830172328645</c:v>
                      </c:pt>
                      <c:pt idx="33">
                        <c:v>5.7583235290388064</c:v>
                      </c:pt>
                      <c:pt idx="34">
                        <c:v>6.1068195794351388</c:v>
                      </c:pt>
                      <c:pt idx="35">
                        <c:v>6.4462980693910596</c:v>
                      </c:pt>
                      <c:pt idx="36">
                        <c:v>6.8764162047972697</c:v>
                      </c:pt>
                      <c:pt idx="37">
                        <c:v>7.1660891642270776</c:v>
                      </c:pt>
                      <c:pt idx="38">
                        <c:v>7.6014087120189693</c:v>
                      </c:pt>
                      <c:pt idx="39">
                        <c:v>8.1140942291724105</c:v>
                      </c:pt>
                      <c:pt idx="40">
                        <c:v>8.5841032296065336</c:v>
                      </c:pt>
                      <c:pt idx="41">
                        <c:v>9.1274538710609505</c:v>
                      </c:pt>
                      <c:pt idx="42">
                        <c:v>9.6787155753881038</c:v>
                      </c:pt>
                      <c:pt idx="43">
                        <c:v>10.431215772060588</c:v>
                      </c:pt>
                      <c:pt idx="44">
                        <c:v>11.095094751325867</c:v>
                      </c:pt>
                      <c:pt idx="45">
                        <c:v>11.856577192228984</c:v>
                      </c:pt>
                      <c:pt idx="46">
                        <c:v>12.836140121833026</c:v>
                      </c:pt>
                      <c:pt idx="47">
                        <c:v>13.776109363172523</c:v>
                      </c:pt>
                      <c:pt idx="48">
                        <c:v>14.703474390909943</c:v>
                      </c:pt>
                      <c:pt idx="49">
                        <c:v>15.829417339407321</c:v>
                      </c:pt>
                      <c:pt idx="50">
                        <c:v>17.125571025195438</c:v>
                      </c:pt>
                      <c:pt idx="51">
                        <c:v>18.431886214090859</c:v>
                      </c:pt>
                      <c:pt idx="52">
                        <c:v>19.902607590308914</c:v>
                      </c:pt>
                      <c:pt idx="53">
                        <c:v>21.524907204860607</c:v>
                      </c:pt>
                      <c:pt idx="54">
                        <c:v>23.400776854629768</c:v>
                      </c:pt>
                      <c:pt idx="55">
                        <c:v>25.142386284406271</c:v>
                      </c:pt>
                      <c:pt idx="56">
                        <c:v>27.227312263631891</c:v>
                      </c:pt>
                      <c:pt idx="57">
                        <c:v>29.466082946789175</c:v>
                      </c:pt>
                      <c:pt idx="58">
                        <c:v>31.931613393689492</c:v>
                      </c:pt>
                      <c:pt idx="59">
                        <c:v>34.388525506246644</c:v>
                      </c:pt>
                      <c:pt idx="60">
                        <c:v>37.61580840516482</c:v>
                      </c:pt>
                      <c:pt idx="61">
                        <c:v>40.821822575453666</c:v>
                      </c:pt>
                      <c:pt idx="62">
                        <c:v>44.326735583018177</c:v>
                      </c:pt>
                      <c:pt idx="63">
                        <c:v>48.403836178556915</c:v>
                      </c:pt>
                      <c:pt idx="64">
                        <c:v>52.669114874671379</c:v>
                      </c:pt>
                      <c:pt idx="65">
                        <c:v>57.608223970689032</c:v>
                      </c:pt>
                      <c:pt idx="66">
                        <c:v>62.870267938218859</c:v>
                      </c:pt>
                      <c:pt idx="67">
                        <c:v>69.205871586798466</c:v>
                      </c:pt>
                      <c:pt idx="68">
                        <c:v>76.258321951625604</c:v>
                      </c:pt>
                      <c:pt idx="69">
                        <c:v>84.307937174121221</c:v>
                      </c:pt>
                      <c:pt idx="70">
                        <c:v>93.214378150479405</c:v>
                      </c:pt>
                      <c:pt idx="71">
                        <c:v>103.91322393239747</c:v>
                      </c:pt>
                      <c:pt idx="72">
                        <c:v>115.55097901547224</c:v>
                      </c:pt>
                      <c:pt idx="73">
                        <c:v>129.62984489085738</c:v>
                      </c:pt>
                      <c:pt idx="74">
                        <c:v>144.77578228135164</c:v>
                      </c:pt>
                      <c:pt idx="75">
                        <c:v>164.028245894447</c:v>
                      </c:pt>
                      <c:pt idx="76">
                        <c:v>184.92875372723657</c:v>
                      </c:pt>
                      <c:pt idx="77">
                        <c:v>208.41432950468206</c:v>
                      </c:pt>
                      <c:pt idx="78">
                        <c:v>236.33774248760361</c:v>
                      </c:pt>
                      <c:pt idx="79">
                        <c:v>268.55196728655449</c:v>
                      </c:pt>
                      <c:pt idx="80">
                        <c:v>305.20738687406146</c:v>
                      </c:pt>
                      <c:pt idx="81">
                        <c:v>348.83816431400447</c:v>
                      </c:pt>
                      <c:pt idx="82">
                        <c:v>399.6349573340317</c:v>
                      </c:pt>
                      <c:pt idx="83">
                        <c:v>460.55995852311787</c:v>
                      </c:pt>
                      <c:pt idx="84">
                        <c:v>533.96552365672756</c:v>
                      </c:pt>
                      <c:pt idx="85">
                        <c:v>624.94473014452433</c:v>
                      </c:pt>
                      <c:pt idx="86">
                        <c:v>768.15033303490304</c:v>
                      </c:pt>
                      <c:pt idx="87">
                        <c:v>915.41328120512117</c:v>
                      </c:pt>
                      <c:pt idx="88">
                        <c:v>1090.2063463359493</c:v>
                      </c:pt>
                      <c:pt idx="89">
                        <c:v>1327.3068035101505</c:v>
                      </c:pt>
                      <c:pt idx="90">
                        <c:v>1636.5759097146376</c:v>
                      </c:pt>
                      <c:pt idx="91">
                        <c:v>2036.418878483674</c:v>
                      </c:pt>
                      <c:pt idx="92">
                        <c:v>2558.920930944852</c:v>
                      </c:pt>
                      <c:pt idx="93">
                        <c:v>3263.8071811057057</c:v>
                      </c:pt>
                      <c:pt idx="94">
                        <c:v>4254.7117465186948</c:v>
                      </c:pt>
                      <c:pt idx="95">
                        <c:v>5602.5513131895159</c:v>
                      </c:pt>
                      <c:pt idx="96">
                        <c:v>7390.0752899747486</c:v>
                      </c:pt>
                      <c:pt idx="97">
                        <c:v>9596.2242336462114</c:v>
                      </c:pt>
                      <c:pt idx="98">
                        <c:v>11900.75087649251</c:v>
                      </c:pt>
                      <c:pt idx="99">
                        <c:v>13690.541602090849</c:v>
                      </c:pt>
                      <c:pt idx="100">
                        <c:v>14719.365772523828</c:v>
                      </c:pt>
                      <c:pt idx="101">
                        <c:v>14611.36737254523</c:v>
                      </c:pt>
                      <c:pt idx="102">
                        <c:v>13511.023148890125</c:v>
                      </c:pt>
                      <c:pt idx="103">
                        <c:v>11439.950249225247</c:v>
                      </c:pt>
                      <c:pt idx="104">
                        <c:v>9265.650166362122</c:v>
                      </c:pt>
                      <c:pt idx="105">
                        <c:v>7180.9472133402114</c:v>
                      </c:pt>
                      <c:pt idx="106">
                        <c:v>5455.1824232108438</c:v>
                      </c:pt>
                      <c:pt idx="107">
                        <c:v>4077.0170605566786</c:v>
                      </c:pt>
                      <c:pt idx="108">
                        <c:v>3088.4430487766872</c:v>
                      </c:pt>
                      <c:pt idx="109">
                        <c:v>2413.405701400407</c:v>
                      </c:pt>
                      <c:pt idx="110">
                        <c:v>1887.9689770634839</c:v>
                      </c:pt>
                      <c:pt idx="111">
                        <c:v>1502.6793989119133</c:v>
                      </c:pt>
                      <c:pt idx="112">
                        <c:v>1206.694783350033</c:v>
                      </c:pt>
                      <c:pt idx="113">
                        <c:v>980.37763570566653</c:v>
                      </c:pt>
                      <c:pt idx="114">
                        <c:v>800.30958949828596</c:v>
                      </c:pt>
                      <c:pt idx="115">
                        <c:v>670.18709083578506</c:v>
                      </c:pt>
                      <c:pt idx="116">
                        <c:v>555.88606302709616</c:v>
                      </c:pt>
                      <c:pt idx="117">
                        <c:v>466.74050260938668</c:v>
                      </c:pt>
                      <c:pt idx="118">
                        <c:v>403.20644423064488</c:v>
                      </c:pt>
                      <c:pt idx="119">
                        <c:v>343.35612719772644</c:v>
                      </c:pt>
                      <c:pt idx="120">
                        <c:v>301.70115056113116</c:v>
                      </c:pt>
                      <c:pt idx="121">
                        <c:v>247.19167147175222</c:v>
                      </c:pt>
                      <c:pt idx="122">
                        <c:v>216.64831842728429</c:v>
                      </c:pt>
                      <c:pt idx="123">
                        <c:v>189.68174867719773</c:v>
                      </c:pt>
                      <c:pt idx="124">
                        <c:v>166.73150384676245</c:v>
                      </c:pt>
                      <c:pt idx="125">
                        <c:v>147.19693801732151</c:v>
                      </c:pt>
                      <c:pt idx="126">
                        <c:v>130.4859556534619</c:v>
                      </c:pt>
                      <c:pt idx="127">
                        <c:v>115.81360160187302</c:v>
                      </c:pt>
                      <c:pt idx="128">
                        <c:v>103.49489439267755</c:v>
                      </c:pt>
                      <c:pt idx="129">
                        <c:v>92.465227943033113</c:v>
                      </c:pt>
                      <c:pt idx="130">
                        <c:v>83.137570719889382</c:v>
                      </c:pt>
                      <c:pt idx="131">
                        <c:v>75.076185667566889</c:v>
                      </c:pt>
                      <c:pt idx="132">
                        <c:v>67.420213320008386</c:v>
                      </c:pt>
                      <c:pt idx="133">
                        <c:v>60.827647879087387</c:v>
                      </c:pt>
                      <c:pt idx="134">
                        <c:v>55.142357681691188</c:v>
                      </c:pt>
                      <c:pt idx="135">
                        <c:v>49.842604158219999</c:v>
                      </c:pt>
                      <c:pt idx="136">
                        <c:v>45.008169048019667</c:v>
                      </c:pt>
                      <c:pt idx="137">
                        <c:v>40.992354551973676</c:v>
                      </c:pt>
                      <c:pt idx="138">
                        <c:v>37.504443374170741</c:v>
                      </c:pt>
                      <c:pt idx="139">
                        <c:v>34.560931328947447</c:v>
                      </c:pt>
                      <c:pt idx="140">
                        <c:v>31.306314576980412</c:v>
                      </c:pt>
                      <c:pt idx="141">
                        <c:v>28.843441150678991</c:v>
                      </c:pt>
                      <c:pt idx="142">
                        <c:v>26.716634025186774</c:v>
                      </c:pt>
                      <c:pt idx="143">
                        <c:v>24.510977279473014</c:v>
                      </c:pt>
                      <c:pt idx="144">
                        <c:v>22.711490823772298</c:v>
                      </c:pt>
                      <c:pt idx="145">
                        <c:v>21.214268536794407</c:v>
                      </c:pt>
                      <c:pt idx="146">
                        <c:v>19.545142159158484</c:v>
                      </c:pt>
                      <c:pt idx="147">
                        <c:v>18.21957838432364</c:v>
                      </c:pt>
                      <c:pt idx="148">
                        <c:v>17.048234764893312</c:v>
                      </c:pt>
                      <c:pt idx="149">
                        <c:v>15.818523991344934</c:v>
                      </c:pt>
                      <c:pt idx="150">
                        <c:v>14.752513640421203</c:v>
                      </c:pt>
                      <c:pt idx="151">
                        <c:v>13.548260008528697</c:v>
                      </c:pt>
                      <c:pt idx="152">
                        <c:v>12.721548451629832</c:v>
                      </c:pt>
                      <c:pt idx="153">
                        <c:v>11.890000615107157</c:v>
                      </c:pt>
                      <c:pt idx="154">
                        <c:v>11.090508516444308</c:v>
                      </c:pt>
                      <c:pt idx="155">
                        <c:v>10.331698029405183</c:v>
                      </c:pt>
                      <c:pt idx="156">
                        <c:v>9.7768860071826147</c:v>
                      </c:pt>
                      <c:pt idx="157">
                        <c:v>9.0968775888119904</c:v>
                      </c:pt>
                      <c:pt idx="158">
                        <c:v>8.5867691063318361</c:v>
                      </c:pt>
                      <c:pt idx="159">
                        <c:v>8.0859148512633201</c:v>
                      </c:pt>
                      <c:pt idx="160">
                        <c:v>7.5469077049344007</c:v>
                      </c:pt>
                      <c:pt idx="161">
                        <c:v>7.2111259854662508</c:v>
                      </c:pt>
                      <c:pt idx="162">
                        <c:v>6.6822151248326085</c:v>
                      </c:pt>
                      <c:pt idx="163">
                        <c:v>6.3748686872667246</c:v>
                      </c:pt>
                      <c:pt idx="164">
                        <c:v>5.9880985609729045</c:v>
                      </c:pt>
                      <c:pt idx="165">
                        <c:v>5.7006798057565451</c:v>
                      </c:pt>
                      <c:pt idx="166">
                        <c:v>5.3857363751463652</c:v>
                      </c:pt>
                      <c:pt idx="167">
                        <c:v>5.1095060805273382</c:v>
                      </c:pt>
                      <c:pt idx="168">
                        <c:v>4.7264529415689225</c:v>
                      </c:pt>
                      <c:pt idx="169">
                        <c:v>4.5707979159098606</c:v>
                      </c:pt>
                      <c:pt idx="170">
                        <c:v>4.3278520083224228</c:v>
                      </c:pt>
                      <c:pt idx="171">
                        <c:v>4.1068714544263516</c:v>
                      </c:pt>
                      <c:pt idx="172">
                        <c:v>3.975185963062132</c:v>
                      </c:pt>
                      <c:pt idx="173">
                        <c:v>3.7590821722325574</c:v>
                      </c:pt>
                      <c:pt idx="174">
                        <c:v>3.5749956961327261</c:v>
                      </c:pt>
                      <c:pt idx="175">
                        <c:v>3.4694636861112702</c:v>
                      </c:pt>
                      <c:pt idx="176">
                        <c:v>3.3181226868110825</c:v>
                      </c:pt>
                      <c:pt idx="177">
                        <c:v>3.1683624368380121</c:v>
                      </c:pt>
                      <c:pt idx="178">
                        <c:v>3.0073991530361734</c:v>
                      </c:pt>
                      <c:pt idx="179">
                        <c:v>2.880966604335045</c:v>
                      </c:pt>
                      <c:pt idx="180">
                        <c:v>2.7600447740596681</c:v>
                      </c:pt>
                      <c:pt idx="181">
                        <c:v>2.6524818597882467</c:v>
                      </c:pt>
                      <c:pt idx="182">
                        <c:v>2.5470263731308052</c:v>
                      </c:pt>
                      <c:pt idx="183">
                        <c:v>2.4549980146907693</c:v>
                      </c:pt>
                      <c:pt idx="184">
                        <c:v>2.322051506742572</c:v>
                      </c:pt>
                      <c:pt idx="185">
                        <c:v>2.2632890464685533</c:v>
                      </c:pt>
                      <c:pt idx="186">
                        <c:v>2.157494790421655</c:v>
                      </c:pt>
                      <c:pt idx="187">
                        <c:v>2.0587196908022887</c:v>
                      </c:pt>
                      <c:pt idx="188">
                        <c:v>1.9782178960765227</c:v>
                      </c:pt>
                      <c:pt idx="189">
                        <c:v>1.8722167947414996</c:v>
                      </c:pt>
                      <c:pt idx="190">
                        <c:v>1.8285854464749198</c:v>
                      </c:pt>
                      <c:pt idx="191">
                        <c:v>1.7826779593517725</c:v>
                      </c:pt>
                      <c:pt idx="192">
                        <c:v>1.6519592637444136</c:v>
                      </c:pt>
                      <c:pt idx="193">
                        <c:v>1.6197722861951207</c:v>
                      </c:pt>
                      <c:pt idx="194">
                        <c:v>1.5542836866556569</c:v>
                      </c:pt>
                      <c:pt idx="195">
                        <c:v>1.4762615533501515</c:v>
                      </c:pt>
                      <c:pt idx="196">
                        <c:v>1.4003983020547039</c:v>
                      </c:pt>
                      <c:pt idx="197">
                        <c:v>1.3431356217750174</c:v>
                      </c:pt>
                      <c:pt idx="198">
                        <c:v>1.3377703868736539</c:v>
                      </c:pt>
                      <c:pt idx="199">
                        <c:v>1.2702656284473872</c:v>
                      </c:pt>
                      <c:pt idx="200">
                        <c:v>1.1900731119648071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421-466E-95E5-38D0A073DF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OMEGA!$M$1</c15:sqref>
                        </c15:formulaRef>
                      </c:ext>
                    </c:extLst>
                    <c:strCache>
                      <c:ptCount val="1"/>
                      <c:pt idx="0">
                        <c:v>Si_TEOS_omega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OMEGA!$Q$20:$Q$220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2.4868763794446764E-2</c:v>
                      </c:pt>
                      <c:pt idx="1">
                        <c:v>2.2090529424759135E-2</c:v>
                      </c:pt>
                      <c:pt idx="2">
                        <c:v>2.157438369032269E-2</c:v>
                      </c:pt>
                      <c:pt idx="3">
                        <c:v>2.7487906495467115E-2</c:v>
                      </c:pt>
                      <c:pt idx="4">
                        <c:v>2.2268677544486512E-2</c:v>
                      </c:pt>
                      <c:pt idx="5">
                        <c:v>2.7159525231999798E-2</c:v>
                      </c:pt>
                      <c:pt idx="6">
                        <c:v>2.6115265469508077E-2</c:v>
                      </c:pt>
                      <c:pt idx="7">
                        <c:v>2.6295811897385103E-2</c:v>
                      </c:pt>
                      <c:pt idx="8">
                        <c:v>2.3516411851247303E-2</c:v>
                      </c:pt>
                      <c:pt idx="9">
                        <c:v>2.6480598649681105E-2</c:v>
                      </c:pt>
                      <c:pt idx="10">
                        <c:v>2.5780335481247533E-2</c:v>
                      </c:pt>
                      <c:pt idx="11">
                        <c:v>3.2046770450132774E-2</c:v>
                      </c:pt>
                      <c:pt idx="12">
                        <c:v>2.6839326026181588E-2</c:v>
                      </c:pt>
                      <c:pt idx="13">
                        <c:v>2.6322569209661025E-2</c:v>
                      </c:pt>
                      <c:pt idx="14">
                        <c:v>3.0695785735462569E-2</c:v>
                      </c:pt>
                      <c:pt idx="15">
                        <c:v>3.5586794403488137E-2</c:v>
                      </c:pt>
                      <c:pt idx="16">
                        <c:v>3.1072212502651832E-2</c:v>
                      </c:pt>
                      <c:pt idx="17">
                        <c:v>3.2491349702195818E-2</c:v>
                      </c:pt>
                      <c:pt idx="18">
                        <c:v>3.3705350757614209E-2</c:v>
                      </c:pt>
                      <c:pt idx="19">
                        <c:v>3.1610514313721153E-2</c:v>
                      </c:pt>
                      <c:pt idx="20">
                        <c:v>3.249480262228864E-2</c:v>
                      </c:pt>
                      <c:pt idx="21">
                        <c:v>3.874896623605336E-2</c:v>
                      </c:pt>
                      <c:pt idx="22">
                        <c:v>3.8761775002248443E-2</c:v>
                      </c:pt>
                      <c:pt idx="23">
                        <c:v>3.6689744982161973E-2</c:v>
                      </c:pt>
                      <c:pt idx="24">
                        <c:v>3.8431761237302867E-2</c:v>
                      </c:pt>
                      <c:pt idx="25">
                        <c:v>3.6870550032593742E-2</c:v>
                      </c:pt>
                      <c:pt idx="26">
                        <c:v>4.1222727584914805E-2</c:v>
                      </c:pt>
                      <c:pt idx="27">
                        <c:v>3.5638334633200826E-2</c:v>
                      </c:pt>
                      <c:pt idx="28">
                        <c:v>3.9145659952137445E-2</c:v>
                      </c:pt>
                      <c:pt idx="29">
                        <c:v>3.8287845187870852E-2</c:v>
                      </c:pt>
                      <c:pt idx="30">
                        <c:v>4.005431995460744E-2</c:v>
                      </c:pt>
                      <c:pt idx="31">
                        <c:v>4.4777739306625451E-2</c:v>
                      </c:pt>
                      <c:pt idx="32">
                        <c:v>4.3895199110371971E-2</c:v>
                      </c:pt>
                      <c:pt idx="33">
                        <c:v>4.8802098273327536E-2</c:v>
                      </c:pt>
                      <c:pt idx="34">
                        <c:v>4.7401783199111369E-2</c:v>
                      </c:pt>
                      <c:pt idx="35">
                        <c:v>4.7893348155800208E-2</c:v>
                      </c:pt>
                      <c:pt idx="36">
                        <c:v>4.7035048664839325E-2</c:v>
                      </c:pt>
                      <c:pt idx="37">
                        <c:v>5.0176689256375341E-2</c:v>
                      </c:pt>
                      <c:pt idx="38">
                        <c:v>5.2122346749543767E-2</c:v>
                      </c:pt>
                      <c:pt idx="39">
                        <c:v>5.4917179296964963E-2</c:v>
                      </c:pt>
                      <c:pt idx="40">
                        <c:v>5.580868907348794E-2</c:v>
                      </c:pt>
                      <c:pt idx="41">
                        <c:v>5.9522455888126775E-2</c:v>
                      </c:pt>
                      <c:pt idx="42">
                        <c:v>6.3918896621849547E-2</c:v>
                      </c:pt>
                      <c:pt idx="43">
                        <c:v>6.0630131054831976E-2</c:v>
                      </c:pt>
                      <c:pt idx="44">
                        <c:v>6.1538456143900404E-2</c:v>
                      </c:pt>
                      <c:pt idx="45">
                        <c:v>6.3500768604883198E-2</c:v>
                      </c:pt>
                      <c:pt idx="46">
                        <c:v>6.6933144908624925E-2</c:v>
                      </c:pt>
                      <c:pt idx="47">
                        <c:v>7.2210647630417263E-2</c:v>
                      </c:pt>
                      <c:pt idx="48">
                        <c:v>6.9248256916797993E-2</c:v>
                      </c:pt>
                      <c:pt idx="49">
                        <c:v>7.9885420078622704E-2</c:v>
                      </c:pt>
                      <c:pt idx="50">
                        <c:v>7.9162265935083284E-2</c:v>
                      </c:pt>
                      <c:pt idx="51">
                        <c:v>7.8857733956451112E-2</c:v>
                      </c:pt>
                      <c:pt idx="52">
                        <c:v>7.3373547186212223E-2</c:v>
                      </c:pt>
                      <c:pt idx="53">
                        <c:v>8.5817874884066905E-2</c:v>
                      </c:pt>
                      <c:pt idx="54">
                        <c:v>9.0573946562249194E-2</c:v>
                      </c:pt>
                      <c:pt idx="55">
                        <c:v>9.5649200432355447E-2</c:v>
                      </c:pt>
                      <c:pt idx="56">
                        <c:v>9.7378709027820448E-2</c:v>
                      </c:pt>
                      <c:pt idx="57">
                        <c:v>8.933522569561908E-2</c:v>
                      </c:pt>
                      <c:pt idx="58">
                        <c:v>0.10251602049800808</c:v>
                      </c:pt>
                      <c:pt idx="59">
                        <c:v>0.10885026764349599</c:v>
                      </c:pt>
                      <c:pt idx="60">
                        <c:v>0.10452242535662745</c:v>
                      </c:pt>
                      <c:pt idx="61">
                        <c:v>0.11323264814999798</c:v>
                      </c:pt>
                      <c:pt idx="62">
                        <c:v>0.12701798729300107</c:v>
                      </c:pt>
                      <c:pt idx="63">
                        <c:v>0.12787602938886256</c:v>
                      </c:pt>
                      <c:pt idx="64">
                        <c:v>0.12842493805692787</c:v>
                      </c:pt>
                      <c:pt idx="65">
                        <c:v>0.13928942649572254</c:v>
                      </c:pt>
                      <c:pt idx="66">
                        <c:v>0.14152884125122522</c:v>
                      </c:pt>
                      <c:pt idx="67">
                        <c:v>0.14933826020751167</c:v>
                      </c:pt>
                      <c:pt idx="68">
                        <c:v>0.16981887017450989</c:v>
                      </c:pt>
                      <c:pt idx="69">
                        <c:v>0.16402115528704633</c:v>
                      </c:pt>
                      <c:pt idx="70">
                        <c:v>0.17324912301416928</c:v>
                      </c:pt>
                      <c:pt idx="71">
                        <c:v>0.17520249287315096</c:v>
                      </c:pt>
                      <c:pt idx="72">
                        <c:v>0.18941834283303807</c:v>
                      </c:pt>
                      <c:pt idx="73">
                        <c:v>0.19862329448724561</c:v>
                      </c:pt>
                      <c:pt idx="74">
                        <c:v>0.21020177646710375</c:v>
                      </c:pt>
                      <c:pt idx="75">
                        <c:v>0.21834072275635158</c:v>
                      </c:pt>
                      <c:pt idx="76">
                        <c:v>0.25336932374196719</c:v>
                      </c:pt>
                      <c:pt idx="77">
                        <c:v>0.26705874246632921</c:v>
                      </c:pt>
                      <c:pt idx="78">
                        <c:v>0.3113792152455207</c:v>
                      </c:pt>
                      <c:pt idx="79">
                        <c:v>0.35826982890582248</c:v>
                      </c:pt>
                      <c:pt idx="80">
                        <c:v>0.43844623872331495</c:v>
                      </c:pt>
                      <c:pt idx="81">
                        <c:v>0.54459014356944613</c:v>
                      </c:pt>
                      <c:pt idx="82">
                        <c:v>0.63862978634805967</c:v>
                      </c:pt>
                      <c:pt idx="83">
                        <c:v>0.80438641117589027</c:v>
                      </c:pt>
                      <c:pt idx="84">
                        <c:v>0.9619250248554525</c:v>
                      </c:pt>
                      <c:pt idx="85">
                        <c:v>1.1598815590202123</c:v>
                      </c:pt>
                      <c:pt idx="86">
                        <c:v>1.428768092343849</c:v>
                      </c:pt>
                      <c:pt idx="87">
                        <c:v>1.7382956667363865</c:v>
                      </c:pt>
                      <c:pt idx="88">
                        <c:v>2.1458456780463107</c:v>
                      </c:pt>
                      <c:pt idx="89">
                        <c:v>2.793500974328746</c:v>
                      </c:pt>
                      <c:pt idx="90">
                        <c:v>3.600012206663906</c:v>
                      </c:pt>
                      <c:pt idx="91">
                        <c:v>5.0344328458582135</c:v>
                      </c:pt>
                      <c:pt idx="92">
                        <c:v>7.991152081006426</c:v>
                      </c:pt>
                      <c:pt idx="93">
                        <c:v>26.01100563004815</c:v>
                      </c:pt>
                      <c:pt idx="94">
                        <c:v>192.55165171180286</c:v>
                      </c:pt>
                      <c:pt idx="95">
                        <c:v>1248.8622331261781</c:v>
                      </c:pt>
                      <c:pt idx="96">
                        <c:v>4236.628685814735</c:v>
                      </c:pt>
                      <c:pt idx="97">
                        <c:v>10279.526745940746</c:v>
                      </c:pt>
                      <c:pt idx="98">
                        <c:v>18120.07151591259</c:v>
                      </c:pt>
                      <c:pt idx="99">
                        <c:v>21369.391362351616</c:v>
                      </c:pt>
                      <c:pt idx="100">
                        <c:v>20939.632311172063</c:v>
                      </c:pt>
                      <c:pt idx="101">
                        <c:v>15582.28153026262</c:v>
                      </c:pt>
                      <c:pt idx="102">
                        <c:v>7343.2430301002196</c:v>
                      </c:pt>
                      <c:pt idx="103">
                        <c:v>1877.031523921584</c:v>
                      </c:pt>
                      <c:pt idx="104">
                        <c:v>466.07109582146103</c:v>
                      </c:pt>
                      <c:pt idx="105">
                        <c:v>149.73393002324343</c:v>
                      </c:pt>
                      <c:pt idx="106">
                        <c:v>39.789949648591524</c:v>
                      </c:pt>
                      <c:pt idx="107">
                        <c:v>22.775474356906184</c:v>
                      </c:pt>
                      <c:pt idx="108">
                        <c:v>16.800453432868334</c:v>
                      </c:pt>
                      <c:pt idx="109">
                        <c:v>13.080702455657109</c:v>
                      </c:pt>
                      <c:pt idx="110">
                        <c:v>10.53793039003317</c:v>
                      </c:pt>
                      <c:pt idx="111">
                        <c:v>8.7619385445977223</c:v>
                      </c:pt>
                      <c:pt idx="112">
                        <c:v>7.3348248210216553</c:v>
                      </c:pt>
                      <c:pt idx="113">
                        <c:v>6.1901806511934501</c:v>
                      </c:pt>
                      <c:pt idx="114">
                        <c:v>5.2625401003480148</c:v>
                      </c:pt>
                      <c:pt idx="115">
                        <c:v>4.5569048529625684</c:v>
                      </c:pt>
                      <c:pt idx="116">
                        <c:v>3.9527180376599076</c:v>
                      </c:pt>
                      <c:pt idx="117">
                        <c:v>3.4699823463605841</c:v>
                      </c:pt>
                      <c:pt idx="118">
                        <c:v>3.0984158559248693</c:v>
                      </c:pt>
                      <c:pt idx="119">
                        <c:v>2.7374224240248171</c:v>
                      </c:pt>
                      <c:pt idx="120">
                        <c:v>2.4710114196306461</c:v>
                      </c:pt>
                      <c:pt idx="121">
                        <c:v>2.2467301453540194</c:v>
                      </c:pt>
                      <c:pt idx="122">
                        <c:v>2.0544205594873763</c:v>
                      </c:pt>
                      <c:pt idx="123">
                        <c:v>1.853834970391121</c:v>
                      </c:pt>
                      <c:pt idx="124">
                        <c:v>1.677673554691671</c:v>
                      </c:pt>
                      <c:pt idx="125">
                        <c:v>1.4918587944137096</c:v>
                      </c:pt>
                      <c:pt idx="126">
                        <c:v>1.2893698696110996</c:v>
                      </c:pt>
                      <c:pt idx="127">
                        <c:v>1.1361529298676492</c:v>
                      </c:pt>
                      <c:pt idx="128">
                        <c:v>0.99354581236907691</c:v>
                      </c:pt>
                      <c:pt idx="129">
                        <c:v>0.882379377871363</c:v>
                      </c:pt>
                      <c:pt idx="130">
                        <c:v>0.76625559161999079</c:v>
                      </c:pt>
                      <c:pt idx="131">
                        <c:v>0.65373012312206757</c:v>
                      </c:pt>
                      <c:pt idx="132">
                        <c:v>0.56656366057135632</c:v>
                      </c:pt>
                      <c:pt idx="133">
                        <c:v>0.50626790847441461</c:v>
                      </c:pt>
                      <c:pt idx="134">
                        <c:v>0.41169557113394112</c:v>
                      </c:pt>
                      <c:pt idx="135">
                        <c:v>0.35255461695516643</c:v>
                      </c:pt>
                      <c:pt idx="136">
                        <c:v>0.28634751063011976</c:v>
                      </c:pt>
                      <c:pt idx="137">
                        <c:v>0.25635090745648864</c:v>
                      </c:pt>
                      <c:pt idx="138">
                        <c:v>0.21051970332959383</c:v>
                      </c:pt>
                      <c:pt idx="139">
                        <c:v>0.18097052930484403</c:v>
                      </c:pt>
                      <c:pt idx="140">
                        <c:v>0.16289050843231345</c:v>
                      </c:pt>
                      <c:pt idx="141">
                        <c:v>0.14624665954482205</c:v>
                      </c:pt>
                      <c:pt idx="142">
                        <c:v>0.12756289784901911</c:v>
                      </c:pt>
                      <c:pt idx="143">
                        <c:v>0.11924128019218136</c:v>
                      </c:pt>
                      <c:pt idx="144">
                        <c:v>0.10722142342459669</c:v>
                      </c:pt>
                      <c:pt idx="145">
                        <c:v>0.1056402072685807</c:v>
                      </c:pt>
                      <c:pt idx="146">
                        <c:v>9.5830181223956964E-2</c:v>
                      </c:pt>
                      <c:pt idx="147">
                        <c:v>9.4970110340479252E-2</c:v>
                      </c:pt>
                      <c:pt idx="148">
                        <c:v>9.1064706089284839E-2</c:v>
                      </c:pt>
                      <c:pt idx="149">
                        <c:v>8.6664200243947248E-2</c:v>
                      </c:pt>
                      <c:pt idx="150">
                        <c:v>8.1842895162995755E-2</c:v>
                      </c:pt>
                      <c:pt idx="151">
                        <c:v>8.3848280710628095E-2</c:v>
                      </c:pt>
                      <c:pt idx="152">
                        <c:v>7.6724045963698709E-2</c:v>
                      </c:pt>
                      <c:pt idx="153">
                        <c:v>6.9947719076256146E-2</c:v>
                      </c:pt>
                      <c:pt idx="154">
                        <c:v>8.0115969382352992E-2</c:v>
                      </c:pt>
                      <c:pt idx="155">
                        <c:v>7.333949218522208E-2</c:v>
                      </c:pt>
                      <c:pt idx="156">
                        <c:v>6.5642858079338132E-2</c:v>
                      </c:pt>
                      <c:pt idx="157">
                        <c:v>6.7609979896645217E-2</c:v>
                      </c:pt>
                      <c:pt idx="158">
                        <c:v>7.0294617050537425E-2</c:v>
                      </c:pt>
                      <c:pt idx="159">
                        <c:v>5.7597203037023842E-2</c:v>
                      </c:pt>
                      <c:pt idx="160">
                        <c:v>5.9207790489737948E-2</c:v>
                      </c:pt>
                      <c:pt idx="161">
                        <c:v>6.0810652000397605E-2</c:v>
                      </c:pt>
                      <c:pt idx="162">
                        <c:v>5.4219562546581557E-2</c:v>
                      </c:pt>
                      <c:pt idx="163">
                        <c:v>5.4932015744942518E-2</c:v>
                      </c:pt>
                      <c:pt idx="164">
                        <c:v>5.5527476387967303E-2</c:v>
                      </c:pt>
                      <c:pt idx="165">
                        <c:v>5.5374537383698512E-2</c:v>
                      </c:pt>
                      <c:pt idx="166">
                        <c:v>5.7897397056328362E-2</c:v>
                      </c:pt>
                      <c:pt idx="167">
                        <c:v>5.0601419325111169E-2</c:v>
                      </c:pt>
                      <c:pt idx="168">
                        <c:v>4.3472961508556847E-2</c:v>
                      </c:pt>
                      <c:pt idx="169">
                        <c:v>4.2608336260120241E-2</c:v>
                      </c:pt>
                      <c:pt idx="170">
                        <c:v>4.4772244131370646E-2</c:v>
                      </c:pt>
                      <c:pt idx="171">
                        <c:v>4.084578580412597E-2</c:v>
                      </c:pt>
                      <c:pt idx="172">
                        <c:v>4.1917839315235912E-2</c:v>
                      </c:pt>
                      <c:pt idx="173">
                        <c:v>4.3554345768379854E-2</c:v>
                      </c:pt>
                      <c:pt idx="174">
                        <c:v>4.2507934410867025E-2</c:v>
                      </c:pt>
                      <c:pt idx="175">
                        <c:v>3.9295820335059496E-2</c:v>
                      </c:pt>
                      <c:pt idx="176">
                        <c:v>3.3555438033764741E-2</c:v>
                      </c:pt>
                      <c:pt idx="177">
                        <c:v>3.8041254376628371E-2</c:v>
                      </c:pt>
                      <c:pt idx="178">
                        <c:v>3.8238585687922121E-2</c:v>
                      </c:pt>
                      <c:pt idx="179">
                        <c:v>4.0370319633351373E-2</c:v>
                      </c:pt>
                      <c:pt idx="180">
                        <c:v>3.6960926899665597E-2</c:v>
                      </c:pt>
                      <c:pt idx="181">
                        <c:v>3.5369842695407522E-2</c:v>
                      </c:pt>
                      <c:pt idx="182">
                        <c:v>3.6244780886124608E-2</c:v>
                      </c:pt>
                      <c:pt idx="183">
                        <c:v>3.2297357898488435E-2</c:v>
                      </c:pt>
                      <c:pt idx="184">
                        <c:v>3.7161626559726879E-2</c:v>
                      </c:pt>
                      <c:pt idx="185">
                        <c:v>3.2282219484371169E-2</c:v>
                      </c:pt>
                      <c:pt idx="186">
                        <c:v>2.9759740649955603E-2</c:v>
                      </c:pt>
                      <c:pt idx="187">
                        <c:v>3.2811860235962817E-2</c:v>
                      </c:pt>
                      <c:pt idx="188">
                        <c:v>2.3490246025002087E-2</c:v>
                      </c:pt>
                      <c:pt idx="189">
                        <c:v>2.7249976313137365E-2</c:v>
                      </c:pt>
                      <c:pt idx="190">
                        <c:v>2.5280363715943808E-2</c:v>
                      </c:pt>
                      <c:pt idx="191">
                        <c:v>2.4554638012658721E-2</c:v>
                      </c:pt>
                      <c:pt idx="192">
                        <c:v>2.563675698537984E-2</c:v>
                      </c:pt>
                      <c:pt idx="193">
                        <c:v>2.9037804389232626E-2</c:v>
                      </c:pt>
                      <c:pt idx="194">
                        <c:v>2.8504446451627568E-2</c:v>
                      </c:pt>
                      <c:pt idx="195">
                        <c:v>2.9941012977259745E-2</c:v>
                      </c:pt>
                      <c:pt idx="196">
                        <c:v>2.2755889846943704E-2</c:v>
                      </c:pt>
                      <c:pt idx="197">
                        <c:v>2.3097911186060548E-2</c:v>
                      </c:pt>
                      <c:pt idx="198">
                        <c:v>2.2571110282946422E-2</c:v>
                      </c:pt>
                      <c:pt idx="199">
                        <c:v>2.2395868037597178E-2</c:v>
                      </c:pt>
                      <c:pt idx="200">
                        <c:v>2.0629936732648201E-2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21-466E-95E5-38D0A073DF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OMEGA!$Y$1</c15:sqref>
                        </c15:formulaRef>
                      </c:ext>
                    </c:extLst>
                    <c:strCache>
                      <c:ptCount val="1"/>
                      <c:pt idx="0">
                        <c:v>Si_Thermo_omega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OMEGA!$AD$20:$AD$220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2.447369567904022E-2</c:v>
                      </c:pt>
                      <c:pt idx="1">
                        <c:v>2.3329013267610589E-2</c:v>
                      </c:pt>
                      <c:pt idx="2">
                        <c:v>2.032875723463964E-2</c:v>
                      </c:pt>
                      <c:pt idx="3">
                        <c:v>2.1913951960091285E-2</c:v>
                      </c:pt>
                      <c:pt idx="4">
                        <c:v>2.3487841318435548E-2</c:v>
                      </c:pt>
                      <c:pt idx="5">
                        <c:v>2.1919097499354747E-2</c:v>
                      </c:pt>
                      <c:pt idx="6">
                        <c:v>2.4489747517577411E-2</c:v>
                      </c:pt>
                      <c:pt idx="7">
                        <c:v>2.17675711736924E-2</c:v>
                      </c:pt>
                      <c:pt idx="8">
                        <c:v>2.6339308381581626E-2</c:v>
                      </c:pt>
                      <c:pt idx="9">
                        <c:v>2.4781173997088343E-2</c:v>
                      </c:pt>
                      <c:pt idx="10">
                        <c:v>2.8945357141071087E-2</c:v>
                      </c:pt>
                      <c:pt idx="11">
                        <c:v>2.7657140816533088E-2</c:v>
                      </c:pt>
                      <c:pt idx="12">
                        <c:v>2.8511596382620578E-2</c:v>
                      </c:pt>
                      <c:pt idx="13">
                        <c:v>2.7929174192325879E-2</c:v>
                      </c:pt>
                      <c:pt idx="14">
                        <c:v>2.9516937126588358E-2</c:v>
                      </c:pt>
                      <c:pt idx="15">
                        <c:v>2.794597873202101E-2</c:v>
                      </c:pt>
                      <c:pt idx="16">
                        <c:v>2.9815630319554611E-2</c:v>
                      </c:pt>
                      <c:pt idx="17">
                        <c:v>2.6958639052187022E-2</c:v>
                      </c:pt>
                      <c:pt idx="18">
                        <c:v>2.9963247854351893E-2</c:v>
                      </c:pt>
                      <c:pt idx="19">
                        <c:v>3.313321968304303E-2</c:v>
                      </c:pt>
                      <c:pt idx="20">
                        <c:v>2.8113004639907981E-2</c:v>
                      </c:pt>
                      <c:pt idx="21">
                        <c:v>3.3285650204688814E-2</c:v>
                      </c:pt>
                      <c:pt idx="22">
                        <c:v>3.2575298016620693E-2</c:v>
                      </c:pt>
                      <c:pt idx="23">
                        <c:v>3.8883293616416334E-2</c:v>
                      </c:pt>
                      <c:pt idx="24">
                        <c:v>3.4001533282644748E-2</c:v>
                      </c:pt>
                      <c:pt idx="25">
                        <c:v>3.6024488959613618E-2</c:v>
                      </c:pt>
                      <c:pt idx="26">
                        <c:v>3.9028596037085146E-2</c:v>
                      </c:pt>
                      <c:pt idx="27">
                        <c:v>3.8318930438569203E-2</c:v>
                      </c:pt>
                      <c:pt idx="28">
                        <c:v>4.0190823157579103E-2</c:v>
                      </c:pt>
                      <c:pt idx="29">
                        <c:v>4.12180558810274E-2</c:v>
                      </c:pt>
                      <c:pt idx="30">
                        <c:v>4.6516867231413975E-2</c:v>
                      </c:pt>
                      <c:pt idx="31">
                        <c:v>4.278652990445337E-2</c:v>
                      </c:pt>
                      <c:pt idx="32">
                        <c:v>4.5370417006394416E-2</c:v>
                      </c:pt>
                      <c:pt idx="33">
                        <c:v>4.8386749864308909E-2</c:v>
                      </c:pt>
                      <c:pt idx="34">
                        <c:v>4.8234446974838849E-2</c:v>
                      </c:pt>
                      <c:pt idx="35">
                        <c:v>4.4230523803281074E-2</c:v>
                      </c:pt>
                      <c:pt idx="36">
                        <c:v>4.9847942944188164E-2</c:v>
                      </c:pt>
                      <c:pt idx="37">
                        <c:v>5.3619178852894862E-2</c:v>
                      </c:pt>
                      <c:pt idx="38">
                        <c:v>4.6420514820755369E-2</c:v>
                      </c:pt>
                      <c:pt idx="39">
                        <c:v>5.4750482364682815E-2</c:v>
                      </c:pt>
                      <c:pt idx="40">
                        <c:v>5.4499713481057754E-2</c:v>
                      </c:pt>
                      <c:pt idx="41">
                        <c:v>5.2064938613136165E-2</c:v>
                      </c:pt>
                      <c:pt idx="42">
                        <c:v>5.2517848082757536E-2</c:v>
                      </c:pt>
                      <c:pt idx="43">
                        <c:v>5.7387982936237016E-2</c:v>
                      </c:pt>
                      <c:pt idx="44">
                        <c:v>6.532798779638653E-2</c:v>
                      </c:pt>
                      <c:pt idx="45">
                        <c:v>6.491294626966887E-2</c:v>
                      </c:pt>
                      <c:pt idx="46">
                        <c:v>6.3042147172928886E-2</c:v>
                      </c:pt>
                      <c:pt idx="47">
                        <c:v>7.3703060417378424E-2</c:v>
                      </c:pt>
                      <c:pt idx="48">
                        <c:v>7.4257967545325029E-2</c:v>
                      </c:pt>
                      <c:pt idx="49">
                        <c:v>7.269470445276946E-2</c:v>
                      </c:pt>
                      <c:pt idx="50">
                        <c:v>7.7903502414749373E-2</c:v>
                      </c:pt>
                      <c:pt idx="51">
                        <c:v>7.8635158643552153E-2</c:v>
                      </c:pt>
                      <c:pt idx="52">
                        <c:v>8.5872969988564057E-2</c:v>
                      </c:pt>
                      <c:pt idx="53">
                        <c:v>8.7005817937877122E-2</c:v>
                      </c:pt>
                      <c:pt idx="54">
                        <c:v>8.7589796468684825E-2</c:v>
                      </c:pt>
                      <c:pt idx="55">
                        <c:v>9.2120370906310908E-2</c:v>
                      </c:pt>
                      <c:pt idx="56">
                        <c:v>9.5739032008889086E-2</c:v>
                      </c:pt>
                      <c:pt idx="57">
                        <c:v>0.10598098421411077</c:v>
                      </c:pt>
                      <c:pt idx="58">
                        <c:v>0.10050540954865703</c:v>
                      </c:pt>
                      <c:pt idx="59">
                        <c:v>0.10329204738658281</c:v>
                      </c:pt>
                      <c:pt idx="60">
                        <c:v>0.10564207935304791</c:v>
                      </c:pt>
                      <c:pt idx="61">
                        <c:v>0.11499180311879702</c:v>
                      </c:pt>
                      <c:pt idx="62">
                        <c:v>0.12092417178522476</c:v>
                      </c:pt>
                      <c:pt idx="63">
                        <c:v>0.11963394840287381</c:v>
                      </c:pt>
                      <c:pt idx="64">
                        <c:v>0.13481980005732871</c:v>
                      </c:pt>
                      <c:pt idx="65">
                        <c:v>0.132530600203947</c:v>
                      </c:pt>
                      <c:pt idx="66">
                        <c:v>0.14210991867153339</c:v>
                      </c:pt>
                      <c:pt idx="67">
                        <c:v>0.14602487573478065</c:v>
                      </c:pt>
                      <c:pt idx="68">
                        <c:v>0.16212275970043183</c:v>
                      </c:pt>
                      <c:pt idx="69">
                        <c:v>0.15544552696105873</c:v>
                      </c:pt>
                      <c:pt idx="70">
                        <c:v>0.17180596739778753</c:v>
                      </c:pt>
                      <c:pt idx="71">
                        <c:v>0.17971438396338141</c:v>
                      </c:pt>
                      <c:pt idx="72">
                        <c:v>0.18846975838682836</c:v>
                      </c:pt>
                      <c:pt idx="73">
                        <c:v>0.20242223269410917</c:v>
                      </c:pt>
                      <c:pt idx="74">
                        <c:v>0.19882154022741341</c:v>
                      </c:pt>
                      <c:pt idx="75">
                        <c:v>0.21993360895070255</c:v>
                      </c:pt>
                      <c:pt idx="76">
                        <c:v>0.24022195179396902</c:v>
                      </c:pt>
                      <c:pt idx="77">
                        <c:v>0.27204805752774747</c:v>
                      </c:pt>
                      <c:pt idx="78">
                        <c:v>0.3027578625566591</c:v>
                      </c:pt>
                      <c:pt idx="79">
                        <c:v>0.37458655659140105</c:v>
                      </c:pt>
                      <c:pt idx="80">
                        <c:v>0.41259837775107627</c:v>
                      </c:pt>
                      <c:pt idx="81">
                        <c:v>0.51903037145977193</c:v>
                      </c:pt>
                      <c:pt idx="82">
                        <c:v>0.61936766595944315</c:v>
                      </c:pt>
                      <c:pt idx="83">
                        <c:v>0.69957575562065577</c:v>
                      </c:pt>
                      <c:pt idx="84">
                        <c:v>0.89487291929205526</c:v>
                      </c:pt>
                      <c:pt idx="85">
                        <c:v>1.0207954503673677</c:v>
                      </c:pt>
                      <c:pt idx="86">
                        <c:v>1.2640996214142499</c:v>
                      </c:pt>
                      <c:pt idx="87">
                        <c:v>1.5897812983232285</c:v>
                      </c:pt>
                      <c:pt idx="88">
                        <c:v>1.9553009822022844</c:v>
                      </c:pt>
                      <c:pt idx="89">
                        <c:v>2.4653218682104234</c:v>
                      </c:pt>
                      <c:pt idx="90">
                        <c:v>3.2697142066105331</c:v>
                      </c:pt>
                      <c:pt idx="91">
                        <c:v>4.5815449823152274</c:v>
                      </c:pt>
                      <c:pt idx="92">
                        <c:v>7.9494170198175729</c:v>
                      </c:pt>
                      <c:pt idx="93">
                        <c:v>24.803879445128096</c:v>
                      </c:pt>
                      <c:pt idx="94">
                        <c:v>146.19885753608386</c:v>
                      </c:pt>
                      <c:pt idx="95">
                        <c:v>866.48527317751928</c:v>
                      </c:pt>
                      <c:pt idx="96">
                        <c:v>3348.6995710815409</c:v>
                      </c:pt>
                      <c:pt idx="97">
                        <c:v>8985.7523320378059</c:v>
                      </c:pt>
                      <c:pt idx="98">
                        <c:v>16401.353282043317</c:v>
                      </c:pt>
                      <c:pt idx="99">
                        <c:v>20162.346285589239</c:v>
                      </c:pt>
                      <c:pt idx="100">
                        <c:v>20515.619631616981</c:v>
                      </c:pt>
                      <c:pt idx="101">
                        <c:v>16364.632110330273</c:v>
                      </c:pt>
                      <c:pt idx="102">
                        <c:v>9082.8589648711877</c:v>
                      </c:pt>
                      <c:pt idx="103">
                        <c:v>2884.0251808422531</c:v>
                      </c:pt>
                      <c:pt idx="104">
                        <c:v>665.90499087893033</c:v>
                      </c:pt>
                      <c:pt idx="105">
                        <c:v>192.28158879492639</c:v>
                      </c:pt>
                      <c:pt idx="106">
                        <c:v>50.722211903099435</c:v>
                      </c:pt>
                      <c:pt idx="107">
                        <c:v>26.199046101421064</c:v>
                      </c:pt>
                      <c:pt idx="108">
                        <c:v>18.40322937810252</c:v>
                      </c:pt>
                      <c:pt idx="109">
                        <c:v>14.251318851725063</c:v>
                      </c:pt>
                      <c:pt idx="110">
                        <c:v>11.314474800020076</c:v>
                      </c:pt>
                      <c:pt idx="111">
                        <c:v>9.3752196237392464</c:v>
                      </c:pt>
                      <c:pt idx="112">
                        <c:v>7.8021410768196864</c:v>
                      </c:pt>
                      <c:pt idx="113">
                        <c:v>6.6202069291363337</c:v>
                      </c:pt>
                      <c:pt idx="114">
                        <c:v>5.6183659647813187</c:v>
                      </c:pt>
                      <c:pt idx="115">
                        <c:v>4.9295127555090028</c:v>
                      </c:pt>
                      <c:pt idx="116">
                        <c:v>4.2879667576625939</c:v>
                      </c:pt>
                      <c:pt idx="117">
                        <c:v>3.7570057769773362</c:v>
                      </c:pt>
                      <c:pt idx="118">
                        <c:v>3.3103734230211881</c:v>
                      </c:pt>
                      <c:pt idx="119">
                        <c:v>2.9414672184030533</c:v>
                      </c:pt>
                      <c:pt idx="120">
                        <c:v>2.6424514891245701</c:v>
                      </c:pt>
                      <c:pt idx="121">
                        <c:v>2.3705244249909616</c:v>
                      </c:pt>
                      <c:pt idx="122">
                        <c:v>2.159842611563255</c:v>
                      </c:pt>
                      <c:pt idx="123">
                        <c:v>1.9710264640649797</c:v>
                      </c:pt>
                      <c:pt idx="124">
                        <c:v>1.7435863135765401</c:v>
                      </c:pt>
                      <c:pt idx="125">
                        <c:v>1.5439383201371755</c:v>
                      </c:pt>
                      <c:pt idx="126">
                        <c:v>1.3592385017231692</c:v>
                      </c:pt>
                      <c:pt idx="127">
                        <c:v>1.1776750299686498</c:v>
                      </c:pt>
                      <c:pt idx="128">
                        <c:v>1.0247481555151745</c:v>
                      </c:pt>
                      <c:pt idx="129">
                        <c:v>0.86186463161015781</c:v>
                      </c:pt>
                      <c:pt idx="130">
                        <c:v>0.75007673357807481</c:v>
                      </c:pt>
                      <c:pt idx="131">
                        <c:v>0.64311990514796946</c:v>
                      </c:pt>
                      <c:pt idx="132">
                        <c:v>0.5567560917242772</c:v>
                      </c:pt>
                      <c:pt idx="133">
                        <c:v>0.46764872023533938</c:v>
                      </c:pt>
                      <c:pt idx="134">
                        <c:v>0.3749537102733847</c:v>
                      </c:pt>
                      <c:pt idx="135">
                        <c:v>0.31691409289857037</c:v>
                      </c:pt>
                      <c:pt idx="136">
                        <c:v>0.2594001647504543</c:v>
                      </c:pt>
                      <c:pt idx="137">
                        <c:v>0.2187788665040673</c:v>
                      </c:pt>
                      <c:pt idx="138">
                        <c:v>0.20370279776387695</c:v>
                      </c:pt>
                      <c:pt idx="139">
                        <c:v>0.16949707082951471</c:v>
                      </c:pt>
                      <c:pt idx="140">
                        <c:v>0.14631161617226202</c:v>
                      </c:pt>
                      <c:pt idx="141">
                        <c:v>0.13134572613339066</c:v>
                      </c:pt>
                      <c:pt idx="142">
                        <c:v>0.12700412509398307</c:v>
                      </c:pt>
                      <c:pt idx="143">
                        <c:v>0.1176727523967757</c:v>
                      </c:pt>
                      <c:pt idx="144">
                        <c:v>0.10930886079662518</c:v>
                      </c:pt>
                      <c:pt idx="145">
                        <c:v>0.10086334792776835</c:v>
                      </c:pt>
                      <c:pt idx="146">
                        <c:v>0.10308499365027102</c:v>
                      </c:pt>
                      <c:pt idx="147">
                        <c:v>9.8966580168221296E-2</c:v>
                      </c:pt>
                      <c:pt idx="148">
                        <c:v>8.598135217748723E-2</c:v>
                      </c:pt>
                      <c:pt idx="149">
                        <c:v>9.0391129426356132E-2</c:v>
                      </c:pt>
                      <c:pt idx="150">
                        <c:v>8.8353107854157564E-2</c:v>
                      </c:pt>
                      <c:pt idx="151">
                        <c:v>8.5579938146442519E-2</c:v>
                      </c:pt>
                      <c:pt idx="152">
                        <c:v>7.4792418900184496E-2</c:v>
                      </c:pt>
                      <c:pt idx="153">
                        <c:v>8.0379241537677101E-2</c:v>
                      </c:pt>
                      <c:pt idx="154">
                        <c:v>6.750529280946771E-2</c:v>
                      </c:pt>
                      <c:pt idx="155">
                        <c:v>6.4323264871158747E-2</c:v>
                      </c:pt>
                      <c:pt idx="156">
                        <c:v>6.9423205409409397E-2</c:v>
                      </c:pt>
                      <c:pt idx="157">
                        <c:v>6.3160729582453473E-2</c:v>
                      </c:pt>
                      <c:pt idx="158">
                        <c:v>6.023061072845181E-2</c:v>
                      </c:pt>
                      <c:pt idx="159">
                        <c:v>5.4825423060377049E-2</c:v>
                      </c:pt>
                      <c:pt idx="160">
                        <c:v>5.8061891431487857E-2</c:v>
                      </c:pt>
                      <c:pt idx="161">
                        <c:v>5.7977380886166406E-2</c:v>
                      </c:pt>
                      <c:pt idx="162">
                        <c:v>5.8395862154093973E-2</c:v>
                      </c:pt>
                      <c:pt idx="163">
                        <c:v>5.3709492962629536E-2</c:v>
                      </c:pt>
                      <c:pt idx="164">
                        <c:v>5.5338154848191122E-2</c:v>
                      </c:pt>
                      <c:pt idx="165">
                        <c:v>4.8138237567235696E-2</c:v>
                      </c:pt>
                      <c:pt idx="166">
                        <c:v>5.3833093244564124E-2</c:v>
                      </c:pt>
                      <c:pt idx="167">
                        <c:v>4.6540772900273884E-2</c:v>
                      </c:pt>
                      <c:pt idx="168">
                        <c:v>4.5227177429524937E-2</c:v>
                      </c:pt>
                      <c:pt idx="169">
                        <c:v>4.9187470563458145E-2</c:v>
                      </c:pt>
                      <c:pt idx="170">
                        <c:v>4.4230947940247504E-2</c:v>
                      </c:pt>
                      <c:pt idx="171">
                        <c:v>3.9402611874634778E-2</c:v>
                      </c:pt>
                      <c:pt idx="172">
                        <c:v>4.4693234503745592E-2</c:v>
                      </c:pt>
                      <c:pt idx="173">
                        <c:v>4.102872794898195E-2</c:v>
                      </c:pt>
                      <c:pt idx="174">
                        <c:v>3.9881423729878192E-2</c:v>
                      </c:pt>
                      <c:pt idx="175">
                        <c:v>3.7095138635163109E-2</c:v>
                      </c:pt>
                      <c:pt idx="176">
                        <c:v>4.2382447917800929E-2</c:v>
                      </c:pt>
                      <c:pt idx="177">
                        <c:v>3.696181073446668E-2</c:v>
                      </c:pt>
                      <c:pt idx="178">
                        <c:v>4.019833211545102E-2</c:v>
                      </c:pt>
                      <c:pt idx="179">
                        <c:v>3.6965473748778122E-2</c:v>
                      </c:pt>
                      <c:pt idx="180">
                        <c:v>3.522501393993234E-2</c:v>
                      </c:pt>
                      <c:pt idx="181">
                        <c:v>3.4191719132490049E-2</c:v>
                      </c:pt>
                      <c:pt idx="182">
                        <c:v>3.43326295095377E-2</c:v>
                      </c:pt>
                      <c:pt idx="183">
                        <c:v>3.1548492299754052E-2</c:v>
                      </c:pt>
                      <c:pt idx="184">
                        <c:v>3.112284546780536E-2</c:v>
                      </c:pt>
                      <c:pt idx="185">
                        <c:v>3.1712071771230643E-2</c:v>
                      </c:pt>
                      <c:pt idx="186">
                        <c:v>3.2011276897383638E-2</c:v>
                      </c:pt>
                      <c:pt idx="187">
                        <c:v>2.9060677020428159E-2</c:v>
                      </c:pt>
                      <c:pt idx="188">
                        <c:v>3.1843974036389971E-2</c:v>
                      </c:pt>
                      <c:pt idx="189">
                        <c:v>3.0964936846424287E-2</c:v>
                      </c:pt>
                      <c:pt idx="190">
                        <c:v>2.6119913293627152E-2</c:v>
                      </c:pt>
                      <c:pt idx="191">
                        <c:v>2.465331278890601E-2</c:v>
                      </c:pt>
                      <c:pt idx="192">
                        <c:v>2.4219827965828025E-2</c:v>
                      </c:pt>
                      <c:pt idx="193">
                        <c:v>2.6568227810839971E-2</c:v>
                      </c:pt>
                      <c:pt idx="194">
                        <c:v>2.5825277558637907E-2</c:v>
                      </c:pt>
                      <c:pt idx="195">
                        <c:v>2.5825438990643237E-2</c:v>
                      </c:pt>
                      <c:pt idx="196">
                        <c:v>2.1867805271919848E-2</c:v>
                      </c:pt>
                      <c:pt idx="197">
                        <c:v>2.3632094380420059E-2</c:v>
                      </c:pt>
                      <c:pt idx="198">
                        <c:v>2.2917361961310143E-2</c:v>
                      </c:pt>
                      <c:pt idx="199">
                        <c:v>2.1598764021748634E-2</c:v>
                      </c:pt>
                      <c:pt idx="200">
                        <c:v>2.1312082629501804E-2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21-466E-95E5-38D0A073DF57}"/>
                  </c:ext>
                </c:extLst>
              </c15:ser>
            </c15:filteredScatterSeries>
          </c:ext>
        </c:extLst>
      </c:scatterChart>
      <c:valAx>
        <c:axId val="442567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ja-JP"/>
              <a:t>2θ-</a:t>
            </a:r>
            <a:r>
              <a:rPr lang="en-US" altLang="ja-JP"/>
              <a:t>scan</a:t>
            </a:r>
            <a:r>
              <a:rPr lang="ja-JP" altLang="en-US"/>
              <a:t>比べ</a:t>
            </a:r>
            <a:r>
              <a:rPr lang="zh-CN" altLang="en-US"/>
              <a:t>（全）</a:t>
            </a:r>
          </a:p>
        </c:rich>
      </c:tx>
      <c:layout>
        <c:manualLayout>
          <c:xMode val="edge"/>
          <c:yMode val="edge"/>
          <c:x val="0.44750274427911579"/>
          <c:y val="1.66753544825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'θ-scan2_thermo'!$C$1</c:f>
              <c:strCache>
                <c:ptCount val="1"/>
                <c:pt idx="0">
                  <c:v>Si_Thermo_2θ-scan</c:v>
                </c:pt>
              </c:strCache>
            </c:strRef>
          </c:tx>
          <c:spPr>
            <a:ln w="15875" cap="sq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'θ-scan2_thermo'!$A$5:$A$205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'θ-scan2_thermo'!$E$5:$E$205</c:f>
              <c:numCache>
                <c:formatCode>0.00E+00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8244.0829683961329</c:v>
                </c:pt>
                <c:pt idx="100">
                  <c:v>15416.675126191849</c:v>
                </c:pt>
                <c:pt idx="101">
                  <c:v>192.36328106592552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B-415C-8C36-233EDA4D2F3D}"/>
            </c:ext>
          </c:extLst>
        </c:ser>
        <c:ser>
          <c:idx val="1"/>
          <c:order val="1"/>
          <c:tx>
            <c:strRef>
              <c:f>'θ-scan2_thermo'!$I$1</c:f>
              <c:strCache>
                <c:ptCount val="1"/>
                <c:pt idx="0">
                  <c:v>Si_Thermo_2θ-scan_2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'θ-scan2_thermo'!$G$5:$G$205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'θ-scan2_thermo'!$K$5:$K$205</c:f>
              <c:numCache>
                <c:formatCode>0.00E+00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187.50362405538468</c:v>
                </c:pt>
                <c:pt idx="100">
                  <c:v>11747.363038625652</c:v>
                </c:pt>
                <c:pt idx="101">
                  <c:v>5819.7639594137927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BB-415C-8C36-233EDA4D2F3D}"/>
            </c:ext>
          </c:extLst>
        </c:ser>
        <c:ser>
          <c:idx val="2"/>
          <c:order val="2"/>
          <c:tx>
            <c:strRef>
              <c:f>'θ-scan2_thermo'!$P$2</c:f>
              <c:strCache>
                <c:ptCount val="1"/>
                <c:pt idx="0">
                  <c:v>Si_RoughTEOS-2θ-scan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'θ-scan2_thermo'!$N$5:$N$205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</c:numRef>
          </c:xVal>
          <c:yVal>
            <c:numRef>
              <c:f>'θ-scan2_thermo'!$R$5:$R$205</c:f>
              <c:numCache>
                <c:formatCode>0.00E+00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4768.8368614163874</c:v>
                </c:pt>
                <c:pt idx="100">
                  <c:v>13858.720651387723</c:v>
                </c:pt>
                <c:pt idx="101">
                  <c:v>7008.4262987911225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BB-415C-8C36-233EDA4D2F3D}"/>
            </c:ext>
          </c:extLst>
        </c:ser>
        <c:ser>
          <c:idx val="3"/>
          <c:order val="3"/>
          <c:tx>
            <c:strRef>
              <c:f>'θ-scan2_thermo'!$U$2</c:f>
              <c:strCache>
                <c:ptCount val="1"/>
                <c:pt idx="0">
                  <c:v>Si_RoughTEOS-2θ-scan_2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'θ-scan2_thermo'!$T$5:$T$205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'θ-scan2_thermo'!$X$5:$X$205</c:f>
              <c:numCache>
                <c:formatCode>0.00E+00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6333.3870766085902</c:v>
                </c:pt>
                <c:pt idx="100">
                  <c:v>9787.7558285354335</c:v>
                </c:pt>
                <c:pt idx="101">
                  <c:v>3418.2673987841531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BB-415C-8C36-233EDA4D2F3D}"/>
            </c:ext>
          </c:extLst>
        </c:ser>
        <c:ser>
          <c:idx val="4"/>
          <c:order val="4"/>
          <c:tx>
            <c:strRef>
              <c:f>'θ-scan2_thermo'!$AC$2</c:f>
              <c:strCache>
                <c:ptCount val="1"/>
                <c:pt idx="0">
                  <c:v>Si_TEOS-2θ-scan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'θ-scan2_thermo'!$AA$5:$AA$205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'θ-scan2_thermo'!$AE$5:$AE$205</c:f>
              <c:numCache>
                <c:formatCode>0.00E+00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7411.2050255298418</c:v>
                </c:pt>
                <c:pt idx="100">
                  <c:v>17653.435843421412</c:v>
                </c:pt>
                <c:pt idx="101">
                  <c:v>221.58295233692692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BB-415C-8C36-233EDA4D2F3D}"/>
            </c:ext>
          </c:extLst>
        </c:ser>
        <c:ser>
          <c:idx val="5"/>
          <c:order val="5"/>
          <c:tx>
            <c:strRef>
              <c:f>'θ-scan2_thermo'!$AI$2</c:f>
              <c:strCache>
                <c:ptCount val="1"/>
                <c:pt idx="0">
                  <c:v>Si_TEOS-2θ-scan_2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'θ-scan2_thermo'!$AG$5:$AG$205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'θ-scan2_thermo'!$AK$5:$AK$205</c:f>
              <c:numCache>
                <c:formatCode>0.00E+00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518.00874782448318</c:v>
                </c:pt>
                <c:pt idx="100">
                  <c:v>5978.369001148697</c:v>
                </c:pt>
                <c:pt idx="101">
                  <c:v>2515.0230876248238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BB-415C-8C36-233EDA4D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5073157811741651E-2"/>
          <c:y val="0.17577508667026434"/>
          <c:w val="0.2540089439769006"/>
          <c:h val="0.2745316475370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三サンプル</a:t>
            </a:r>
            <a:r>
              <a:rPr lang="el-GR" altLang="ja-JP"/>
              <a:t>θ-</a:t>
            </a:r>
            <a:r>
              <a:rPr lang="en-US" altLang="ja-JP"/>
              <a:t>scan(90deg</a:t>
            </a:r>
            <a:r>
              <a:rPr lang="ja-JP" altLang="en-US"/>
              <a:t>回転</a:t>
            </a:r>
            <a:r>
              <a:rPr lang="en-US" altLang="ja-JP"/>
              <a:t>)</a:t>
            </a:r>
            <a:endParaRPr lang="zh-CN" altLang="en-US"/>
          </a:p>
        </c:rich>
      </c:tx>
      <c:layout>
        <c:manualLayout>
          <c:xMode val="edge"/>
          <c:yMode val="edge"/>
          <c:x val="0.41250457379852629"/>
          <c:y val="2.5030399585973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1"/>
          <c:order val="1"/>
          <c:tx>
            <c:strRef>
              <c:f>'θ-scan2_thermo'!$I$1</c:f>
              <c:strCache>
                <c:ptCount val="1"/>
                <c:pt idx="0">
                  <c:v>Si_Thermo_2θ-scan_2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'θ-scan2_thermo'!$G$5:$G$205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'θ-scan2_thermo'!$K$5:$K$205</c:f>
              <c:numCache>
                <c:formatCode>0.00E+00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187.50362405538468</c:v>
                </c:pt>
                <c:pt idx="100">
                  <c:v>11747.363038625652</c:v>
                </c:pt>
                <c:pt idx="101">
                  <c:v>5819.7639594137927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4-4AF4-895F-5CA5478310C7}"/>
            </c:ext>
          </c:extLst>
        </c:ser>
        <c:ser>
          <c:idx val="3"/>
          <c:order val="3"/>
          <c:tx>
            <c:strRef>
              <c:f>'θ-scan2_thermo'!$U$2</c:f>
              <c:strCache>
                <c:ptCount val="1"/>
                <c:pt idx="0">
                  <c:v>Si_RoughTEOS-2θ-scan_2</c:v>
                </c:pt>
              </c:strCache>
            </c:strRef>
          </c:tx>
          <c:spPr>
            <a:ln w="25400" cap="rnd">
              <a:solidFill>
                <a:schemeClr val="accent1">
                  <a:alpha val="9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'θ-scan2_thermo'!$T$5:$T$205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'θ-scan2_thermo'!$X$5:$X$205</c:f>
              <c:numCache>
                <c:formatCode>0.00E+00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6333.3870766085902</c:v>
                </c:pt>
                <c:pt idx="100">
                  <c:v>9787.7558285354335</c:v>
                </c:pt>
                <c:pt idx="101">
                  <c:v>3418.2673987841531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74-4AF4-895F-5CA5478310C7}"/>
            </c:ext>
          </c:extLst>
        </c:ser>
        <c:ser>
          <c:idx val="5"/>
          <c:order val="5"/>
          <c:tx>
            <c:strRef>
              <c:f>'θ-scan2_thermo'!$AI$2</c:f>
              <c:strCache>
                <c:ptCount val="1"/>
                <c:pt idx="0">
                  <c:v>Si_TEOS-2θ-scan_2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'θ-scan2_thermo'!$AG$5:$AG$205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'θ-scan2_thermo'!$AK$5:$AK$205</c:f>
              <c:numCache>
                <c:formatCode>0.00E+00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518.00874782448318</c:v>
                </c:pt>
                <c:pt idx="100">
                  <c:v>5978.369001148697</c:v>
                </c:pt>
                <c:pt idx="101">
                  <c:v>2515.0230876248238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74-4AF4-895F-5CA54783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'θ-scan2_thermo'!$C$1</c15:sqref>
                        </c15:formulaRef>
                      </c:ext>
                    </c:extLst>
                    <c:strCache>
                      <c:ptCount val="1"/>
                      <c:pt idx="0">
                        <c:v>Si_Thermo_2θ-scan</c:v>
                      </c:pt>
                    </c:strCache>
                  </c:strRef>
                </c:tx>
                <c:spPr>
                  <a:ln w="15875" cap="sq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'θ-scan2_thermo'!$A$5:$A$205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68.588899999999995</c:v>
                      </c:pt>
                      <c:pt idx="1">
                        <c:v>68.5989</c:v>
                      </c:pt>
                      <c:pt idx="2">
                        <c:v>68.608900000000006</c:v>
                      </c:pt>
                      <c:pt idx="3">
                        <c:v>68.618899999999996</c:v>
                      </c:pt>
                      <c:pt idx="4">
                        <c:v>68.628900000000002</c:v>
                      </c:pt>
                      <c:pt idx="5">
                        <c:v>68.638900000000007</c:v>
                      </c:pt>
                      <c:pt idx="6">
                        <c:v>68.648899999999998</c:v>
                      </c:pt>
                      <c:pt idx="7">
                        <c:v>68.658900000000003</c:v>
                      </c:pt>
                      <c:pt idx="8">
                        <c:v>68.668899999999994</c:v>
                      </c:pt>
                      <c:pt idx="9">
                        <c:v>68.678899999999999</c:v>
                      </c:pt>
                      <c:pt idx="10">
                        <c:v>68.688900000000004</c:v>
                      </c:pt>
                      <c:pt idx="11">
                        <c:v>68.698899999999995</c:v>
                      </c:pt>
                      <c:pt idx="12">
                        <c:v>68.7089</c:v>
                      </c:pt>
                      <c:pt idx="13">
                        <c:v>68.718900000000005</c:v>
                      </c:pt>
                      <c:pt idx="14">
                        <c:v>68.728899999999996</c:v>
                      </c:pt>
                      <c:pt idx="15">
                        <c:v>68.738900000000001</c:v>
                      </c:pt>
                      <c:pt idx="16">
                        <c:v>68.748900000000006</c:v>
                      </c:pt>
                      <c:pt idx="17">
                        <c:v>68.758899999999997</c:v>
                      </c:pt>
                      <c:pt idx="18">
                        <c:v>68.768900000000002</c:v>
                      </c:pt>
                      <c:pt idx="19">
                        <c:v>68.778899999999993</c:v>
                      </c:pt>
                      <c:pt idx="20">
                        <c:v>68.788899999999998</c:v>
                      </c:pt>
                      <c:pt idx="21">
                        <c:v>68.798900000000003</c:v>
                      </c:pt>
                      <c:pt idx="22">
                        <c:v>68.808899999999994</c:v>
                      </c:pt>
                      <c:pt idx="23">
                        <c:v>68.818899999999999</c:v>
                      </c:pt>
                      <c:pt idx="24">
                        <c:v>68.828900000000004</c:v>
                      </c:pt>
                      <c:pt idx="25">
                        <c:v>68.838899999999995</c:v>
                      </c:pt>
                      <c:pt idx="26">
                        <c:v>68.8489</c:v>
                      </c:pt>
                      <c:pt idx="27">
                        <c:v>68.858900000000006</c:v>
                      </c:pt>
                      <c:pt idx="28">
                        <c:v>68.868899999999996</c:v>
                      </c:pt>
                      <c:pt idx="29">
                        <c:v>68.878900000000002</c:v>
                      </c:pt>
                      <c:pt idx="30">
                        <c:v>68.888900000000007</c:v>
                      </c:pt>
                      <c:pt idx="31">
                        <c:v>68.898899999999998</c:v>
                      </c:pt>
                      <c:pt idx="32">
                        <c:v>68.908900000000003</c:v>
                      </c:pt>
                      <c:pt idx="33">
                        <c:v>68.918899999999994</c:v>
                      </c:pt>
                      <c:pt idx="34">
                        <c:v>68.928899999999999</c:v>
                      </c:pt>
                      <c:pt idx="35">
                        <c:v>68.938900000000004</c:v>
                      </c:pt>
                      <c:pt idx="36">
                        <c:v>68.948899999999995</c:v>
                      </c:pt>
                      <c:pt idx="37">
                        <c:v>68.9589</c:v>
                      </c:pt>
                      <c:pt idx="38">
                        <c:v>68.968900000000005</c:v>
                      </c:pt>
                      <c:pt idx="39">
                        <c:v>68.978899999999996</c:v>
                      </c:pt>
                      <c:pt idx="40">
                        <c:v>68.988900000000001</c:v>
                      </c:pt>
                      <c:pt idx="41">
                        <c:v>68.998900000000006</c:v>
                      </c:pt>
                      <c:pt idx="42">
                        <c:v>69.008899999999997</c:v>
                      </c:pt>
                      <c:pt idx="43">
                        <c:v>69.018900000000002</c:v>
                      </c:pt>
                      <c:pt idx="44">
                        <c:v>69.028899999999993</c:v>
                      </c:pt>
                      <c:pt idx="45">
                        <c:v>69.038899999999998</c:v>
                      </c:pt>
                      <c:pt idx="46">
                        <c:v>69.048900000000003</c:v>
                      </c:pt>
                      <c:pt idx="47">
                        <c:v>69.058899999999994</c:v>
                      </c:pt>
                      <c:pt idx="48">
                        <c:v>69.068899999999999</c:v>
                      </c:pt>
                      <c:pt idx="49">
                        <c:v>69.078900000000004</c:v>
                      </c:pt>
                      <c:pt idx="50">
                        <c:v>69.088899999999995</c:v>
                      </c:pt>
                      <c:pt idx="51">
                        <c:v>69.0989</c:v>
                      </c:pt>
                      <c:pt idx="52">
                        <c:v>69.108900000000006</c:v>
                      </c:pt>
                      <c:pt idx="53">
                        <c:v>69.118899999999996</c:v>
                      </c:pt>
                      <c:pt idx="54">
                        <c:v>69.128900000000002</c:v>
                      </c:pt>
                      <c:pt idx="55">
                        <c:v>69.138900000000007</c:v>
                      </c:pt>
                      <c:pt idx="56">
                        <c:v>69.148899999999998</c:v>
                      </c:pt>
                      <c:pt idx="57">
                        <c:v>69.158900000000003</c:v>
                      </c:pt>
                      <c:pt idx="58">
                        <c:v>69.168899999999994</c:v>
                      </c:pt>
                      <c:pt idx="59">
                        <c:v>69.178899999999999</c:v>
                      </c:pt>
                      <c:pt idx="60">
                        <c:v>69.188900000000004</c:v>
                      </c:pt>
                      <c:pt idx="61">
                        <c:v>69.198899999999995</c:v>
                      </c:pt>
                      <c:pt idx="62">
                        <c:v>69.2089</c:v>
                      </c:pt>
                      <c:pt idx="63">
                        <c:v>69.218900000000005</c:v>
                      </c:pt>
                      <c:pt idx="64">
                        <c:v>69.228899999999996</c:v>
                      </c:pt>
                      <c:pt idx="65">
                        <c:v>69.238900000000001</c:v>
                      </c:pt>
                      <c:pt idx="66">
                        <c:v>69.248900000000006</c:v>
                      </c:pt>
                      <c:pt idx="67">
                        <c:v>69.258899999999997</c:v>
                      </c:pt>
                      <c:pt idx="68">
                        <c:v>69.268900000000002</c:v>
                      </c:pt>
                      <c:pt idx="69">
                        <c:v>69.278899999999993</c:v>
                      </c:pt>
                      <c:pt idx="70">
                        <c:v>69.288899999999998</c:v>
                      </c:pt>
                      <c:pt idx="71">
                        <c:v>69.298900000000003</c:v>
                      </c:pt>
                      <c:pt idx="72">
                        <c:v>69.308899999999994</c:v>
                      </c:pt>
                      <c:pt idx="73">
                        <c:v>69.318899999999999</c:v>
                      </c:pt>
                      <c:pt idx="74">
                        <c:v>69.328900000000004</c:v>
                      </c:pt>
                      <c:pt idx="75">
                        <c:v>69.338899999999995</c:v>
                      </c:pt>
                      <c:pt idx="76">
                        <c:v>69.3489</c:v>
                      </c:pt>
                      <c:pt idx="77">
                        <c:v>69.358900000000006</c:v>
                      </c:pt>
                      <c:pt idx="78">
                        <c:v>69.368899999999996</c:v>
                      </c:pt>
                      <c:pt idx="79">
                        <c:v>69.378900000000002</c:v>
                      </c:pt>
                      <c:pt idx="80">
                        <c:v>69.388900000000007</c:v>
                      </c:pt>
                      <c:pt idx="81">
                        <c:v>69.398899999999998</c:v>
                      </c:pt>
                      <c:pt idx="82">
                        <c:v>69.408900000000003</c:v>
                      </c:pt>
                      <c:pt idx="83">
                        <c:v>69.418899999999994</c:v>
                      </c:pt>
                      <c:pt idx="84">
                        <c:v>69.428899999999999</c:v>
                      </c:pt>
                      <c:pt idx="85">
                        <c:v>69.438900000000004</c:v>
                      </c:pt>
                      <c:pt idx="86">
                        <c:v>69.448899999999995</c:v>
                      </c:pt>
                      <c:pt idx="87">
                        <c:v>69.4589</c:v>
                      </c:pt>
                      <c:pt idx="88">
                        <c:v>69.468900000000005</c:v>
                      </c:pt>
                      <c:pt idx="89">
                        <c:v>69.478899999999996</c:v>
                      </c:pt>
                      <c:pt idx="90">
                        <c:v>69.488900000000001</c:v>
                      </c:pt>
                      <c:pt idx="91">
                        <c:v>69.498900000000006</c:v>
                      </c:pt>
                      <c:pt idx="92">
                        <c:v>69.508899999999997</c:v>
                      </c:pt>
                      <c:pt idx="93">
                        <c:v>69.518900000000002</c:v>
                      </c:pt>
                      <c:pt idx="94">
                        <c:v>69.528899999999993</c:v>
                      </c:pt>
                      <c:pt idx="95">
                        <c:v>69.538899999999998</c:v>
                      </c:pt>
                      <c:pt idx="96">
                        <c:v>69.548900000000003</c:v>
                      </c:pt>
                      <c:pt idx="97">
                        <c:v>69.558899999999994</c:v>
                      </c:pt>
                      <c:pt idx="98">
                        <c:v>69.568899999999999</c:v>
                      </c:pt>
                      <c:pt idx="99">
                        <c:v>69.578900000000004</c:v>
                      </c:pt>
                      <c:pt idx="100">
                        <c:v>69.588899999999995</c:v>
                      </c:pt>
                      <c:pt idx="101">
                        <c:v>69.5989</c:v>
                      </c:pt>
                      <c:pt idx="102">
                        <c:v>69.608900000000006</c:v>
                      </c:pt>
                      <c:pt idx="103">
                        <c:v>69.618899999999996</c:v>
                      </c:pt>
                      <c:pt idx="104">
                        <c:v>69.628900000000002</c:v>
                      </c:pt>
                      <c:pt idx="105">
                        <c:v>69.638900000000007</c:v>
                      </c:pt>
                      <c:pt idx="106">
                        <c:v>69.648899999999998</c:v>
                      </c:pt>
                      <c:pt idx="107">
                        <c:v>69.658900000000003</c:v>
                      </c:pt>
                      <c:pt idx="108">
                        <c:v>69.668899999999994</c:v>
                      </c:pt>
                      <c:pt idx="109">
                        <c:v>69.678899999999999</c:v>
                      </c:pt>
                      <c:pt idx="110">
                        <c:v>69.688900000000004</c:v>
                      </c:pt>
                      <c:pt idx="111">
                        <c:v>69.698899999999995</c:v>
                      </c:pt>
                      <c:pt idx="112">
                        <c:v>69.7089</c:v>
                      </c:pt>
                      <c:pt idx="113">
                        <c:v>69.718900000000005</c:v>
                      </c:pt>
                      <c:pt idx="114">
                        <c:v>69.728899999999996</c:v>
                      </c:pt>
                      <c:pt idx="115">
                        <c:v>69.738900000000001</c:v>
                      </c:pt>
                      <c:pt idx="116">
                        <c:v>69.748900000000006</c:v>
                      </c:pt>
                      <c:pt idx="117">
                        <c:v>69.758899999999997</c:v>
                      </c:pt>
                      <c:pt idx="118">
                        <c:v>69.768900000000002</c:v>
                      </c:pt>
                      <c:pt idx="119">
                        <c:v>69.778899999999993</c:v>
                      </c:pt>
                      <c:pt idx="120">
                        <c:v>69.788899999999998</c:v>
                      </c:pt>
                      <c:pt idx="121">
                        <c:v>69.798900000000003</c:v>
                      </c:pt>
                      <c:pt idx="122">
                        <c:v>69.808899999999994</c:v>
                      </c:pt>
                      <c:pt idx="123">
                        <c:v>69.818899999999999</c:v>
                      </c:pt>
                      <c:pt idx="124">
                        <c:v>69.828900000000004</c:v>
                      </c:pt>
                      <c:pt idx="125">
                        <c:v>69.838899999999995</c:v>
                      </c:pt>
                      <c:pt idx="126">
                        <c:v>69.8489</c:v>
                      </c:pt>
                      <c:pt idx="127">
                        <c:v>69.858900000000006</c:v>
                      </c:pt>
                      <c:pt idx="128">
                        <c:v>69.868899999999996</c:v>
                      </c:pt>
                      <c:pt idx="129">
                        <c:v>69.878900000000002</c:v>
                      </c:pt>
                      <c:pt idx="130">
                        <c:v>69.888900000000007</c:v>
                      </c:pt>
                      <c:pt idx="131">
                        <c:v>69.898899999999998</c:v>
                      </c:pt>
                      <c:pt idx="132">
                        <c:v>69.908900000000003</c:v>
                      </c:pt>
                      <c:pt idx="133">
                        <c:v>69.918899999999994</c:v>
                      </c:pt>
                      <c:pt idx="134">
                        <c:v>69.928899999999999</c:v>
                      </c:pt>
                      <c:pt idx="135">
                        <c:v>69.938900000000004</c:v>
                      </c:pt>
                      <c:pt idx="136">
                        <c:v>69.948899999999995</c:v>
                      </c:pt>
                      <c:pt idx="137">
                        <c:v>69.9589</c:v>
                      </c:pt>
                      <c:pt idx="138">
                        <c:v>69.968900000000005</c:v>
                      </c:pt>
                      <c:pt idx="139">
                        <c:v>69.978899999999996</c:v>
                      </c:pt>
                      <c:pt idx="140">
                        <c:v>69.988900000000001</c:v>
                      </c:pt>
                      <c:pt idx="141">
                        <c:v>69.998900000000006</c:v>
                      </c:pt>
                      <c:pt idx="142">
                        <c:v>70.008899999999997</c:v>
                      </c:pt>
                      <c:pt idx="143">
                        <c:v>70.018900000000002</c:v>
                      </c:pt>
                      <c:pt idx="144">
                        <c:v>70.028899999999993</c:v>
                      </c:pt>
                      <c:pt idx="145">
                        <c:v>70.038899999999998</c:v>
                      </c:pt>
                      <c:pt idx="146">
                        <c:v>70.048900000000003</c:v>
                      </c:pt>
                      <c:pt idx="147">
                        <c:v>70.058899999999994</c:v>
                      </c:pt>
                      <c:pt idx="148">
                        <c:v>70.068899999999999</c:v>
                      </c:pt>
                      <c:pt idx="149">
                        <c:v>70.078900000000004</c:v>
                      </c:pt>
                      <c:pt idx="150">
                        <c:v>70.088899999999995</c:v>
                      </c:pt>
                      <c:pt idx="151">
                        <c:v>70.0989</c:v>
                      </c:pt>
                      <c:pt idx="152">
                        <c:v>70.108900000000006</c:v>
                      </c:pt>
                      <c:pt idx="153">
                        <c:v>70.118899999999996</c:v>
                      </c:pt>
                      <c:pt idx="154">
                        <c:v>70.128900000000002</c:v>
                      </c:pt>
                      <c:pt idx="155">
                        <c:v>70.138900000000007</c:v>
                      </c:pt>
                      <c:pt idx="156">
                        <c:v>70.148899999999998</c:v>
                      </c:pt>
                      <c:pt idx="157">
                        <c:v>70.158900000000003</c:v>
                      </c:pt>
                      <c:pt idx="158">
                        <c:v>70.168899999999994</c:v>
                      </c:pt>
                      <c:pt idx="159">
                        <c:v>70.178899999999999</c:v>
                      </c:pt>
                      <c:pt idx="160">
                        <c:v>70.188900000000004</c:v>
                      </c:pt>
                      <c:pt idx="161">
                        <c:v>70.198899999999995</c:v>
                      </c:pt>
                      <c:pt idx="162">
                        <c:v>70.2089</c:v>
                      </c:pt>
                      <c:pt idx="163">
                        <c:v>70.218900000000005</c:v>
                      </c:pt>
                      <c:pt idx="164">
                        <c:v>70.228899999999996</c:v>
                      </c:pt>
                      <c:pt idx="165">
                        <c:v>70.238900000000001</c:v>
                      </c:pt>
                      <c:pt idx="166">
                        <c:v>70.248900000000006</c:v>
                      </c:pt>
                      <c:pt idx="167">
                        <c:v>70.258899999999997</c:v>
                      </c:pt>
                      <c:pt idx="168">
                        <c:v>70.268900000000002</c:v>
                      </c:pt>
                      <c:pt idx="169">
                        <c:v>70.278899999999993</c:v>
                      </c:pt>
                      <c:pt idx="170">
                        <c:v>70.288899999999998</c:v>
                      </c:pt>
                      <c:pt idx="171">
                        <c:v>70.298900000000003</c:v>
                      </c:pt>
                      <c:pt idx="172">
                        <c:v>70.308899999999994</c:v>
                      </c:pt>
                      <c:pt idx="173">
                        <c:v>70.318899999999999</c:v>
                      </c:pt>
                      <c:pt idx="174">
                        <c:v>70.328900000000004</c:v>
                      </c:pt>
                      <c:pt idx="175">
                        <c:v>70.338899999999995</c:v>
                      </c:pt>
                      <c:pt idx="176">
                        <c:v>70.3489</c:v>
                      </c:pt>
                      <c:pt idx="177">
                        <c:v>70.358900000000006</c:v>
                      </c:pt>
                      <c:pt idx="178">
                        <c:v>70.368899999999996</c:v>
                      </c:pt>
                      <c:pt idx="179">
                        <c:v>70.378900000000002</c:v>
                      </c:pt>
                      <c:pt idx="180">
                        <c:v>70.388900000000007</c:v>
                      </c:pt>
                      <c:pt idx="181">
                        <c:v>70.398899999999998</c:v>
                      </c:pt>
                      <c:pt idx="182">
                        <c:v>70.408900000000003</c:v>
                      </c:pt>
                      <c:pt idx="183">
                        <c:v>70.418899999999994</c:v>
                      </c:pt>
                      <c:pt idx="184">
                        <c:v>70.428899999999999</c:v>
                      </c:pt>
                      <c:pt idx="185">
                        <c:v>70.438900000000004</c:v>
                      </c:pt>
                      <c:pt idx="186">
                        <c:v>70.448899999999995</c:v>
                      </c:pt>
                      <c:pt idx="187">
                        <c:v>70.4589</c:v>
                      </c:pt>
                      <c:pt idx="188">
                        <c:v>70.468900000000005</c:v>
                      </c:pt>
                      <c:pt idx="189">
                        <c:v>70.478899999999996</c:v>
                      </c:pt>
                      <c:pt idx="190">
                        <c:v>70.488900000000001</c:v>
                      </c:pt>
                      <c:pt idx="191">
                        <c:v>70.498900000000006</c:v>
                      </c:pt>
                      <c:pt idx="192">
                        <c:v>70.508899999999997</c:v>
                      </c:pt>
                      <c:pt idx="193">
                        <c:v>70.518900000000002</c:v>
                      </c:pt>
                      <c:pt idx="194">
                        <c:v>70.528899999999993</c:v>
                      </c:pt>
                      <c:pt idx="195">
                        <c:v>70.538899999999998</c:v>
                      </c:pt>
                      <c:pt idx="196">
                        <c:v>70.548900000000003</c:v>
                      </c:pt>
                      <c:pt idx="197">
                        <c:v>70.558899999999994</c:v>
                      </c:pt>
                      <c:pt idx="198">
                        <c:v>70.568899999999999</c:v>
                      </c:pt>
                      <c:pt idx="199">
                        <c:v>70.578900000000004</c:v>
                      </c:pt>
                      <c:pt idx="200">
                        <c:v>70.588899999999995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'θ-scan2_thermo'!$E$5:$E$205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3.3946991123939268E-3</c:v>
                      </c:pt>
                      <c:pt idx="1">
                        <c:v>3.691562401070742E-3</c:v>
                      </c:pt>
                      <c:pt idx="2">
                        <c:v>4.1333725354194229E-3</c:v>
                      </c:pt>
                      <c:pt idx="3">
                        <c:v>2.954014487225549E-3</c:v>
                      </c:pt>
                      <c:pt idx="4">
                        <c:v>5.7601152164830751E-3</c:v>
                      </c:pt>
                      <c:pt idx="5">
                        <c:v>4.2843898183101085E-3</c:v>
                      </c:pt>
                      <c:pt idx="6">
                        <c:v>4.7289879096921728E-3</c:v>
                      </c:pt>
                      <c:pt idx="7">
                        <c:v>5.1769285593473106E-3</c:v>
                      </c:pt>
                      <c:pt idx="8">
                        <c:v>5.7691490965135301E-3</c:v>
                      </c:pt>
                      <c:pt idx="9">
                        <c:v>5.6205594622059383E-3</c:v>
                      </c:pt>
                      <c:pt idx="10">
                        <c:v>8.5856138240935319E-3</c:v>
                      </c:pt>
                      <c:pt idx="11">
                        <c:v>8.8863651611831122E-3</c:v>
                      </c:pt>
                      <c:pt idx="12">
                        <c:v>5.926289844020792E-3</c:v>
                      </c:pt>
                      <c:pt idx="13">
                        <c:v>8.592567133134419E-3</c:v>
                      </c:pt>
                      <c:pt idx="14">
                        <c:v>7.5557495424289937E-3</c:v>
                      </c:pt>
                      <c:pt idx="15">
                        <c:v>7.996097667416888E-3</c:v>
                      </c:pt>
                      <c:pt idx="16">
                        <c:v>6.6607786370297337E-3</c:v>
                      </c:pt>
                      <c:pt idx="17">
                        <c:v>7.9950523062972054E-3</c:v>
                      </c:pt>
                      <c:pt idx="18">
                        <c:v>1.0217423817259154E-2</c:v>
                      </c:pt>
                      <c:pt idx="19">
                        <c:v>1.1992916894445718E-2</c:v>
                      </c:pt>
                      <c:pt idx="20">
                        <c:v>1.1702577308966277E-2</c:v>
                      </c:pt>
                      <c:pt idx="21">
                        <c:v>1.0964919267003445E-2</c:v>
                      </c:pt>
                      <c:pt idx="22">
                        <c:v>1.3636471906177635E-2</c:v>
                      </c:pt>
                      <c:pt idx="23">
                        <c:v>1.2303517093772887E-2</c:v>
                      </c:pt>
                      <c:pt idx="24">
                        <c:v>1.1566490772965446E-2</c:v>
                      </c:pt>
                      <c:pt idx="25">
                        <c:v>1.2760051519153126E-2</c:v>
                      </c:pt>
                      <c:pt idx="26">
                        <c:v>1.5128168513321659E-2</c:v>
                      </c:pt>
                      <c:pt idx="27">
                        <c:v>1.5564483573918497E-2</c:v>
                      </c:pt>
                      <c:pt idx="28">
                        <c:v>1.5710928868947406E-2</c:v>
                      </c:pt>
                      <c:pt idx="29">
                        <c:v>1.8229497006827747E-2</c:v>
                      </c:pt>
                      <c:pt idx="30">
                        <c:v>1.9410596208909045E-2</c:v>
                      </c:pt>
                      <c:pt idx="31">
                        <c:v>2.0457814156383414E-2</c:v>
                      </c:pt>
                      <c:pt idx="32">
                        <c:v>1.7943459210950766E-2</c:v>
                      </c:pt>
                      <c:pt idx="33">
                        <c:v>2.298721225831208E-2</c:v>
                      </c:pt>
                      <c:pt idx="34">
                        <c:v>2.417079457127513E-2</c:v>
                      </c:pt>
                      <c:pt idx="35">
                        <c:v>2.832048576720626E-2</c:v>
                      </c:pt>
                      <c:pt idx="36">
                        <c:v>2.6260467578159089E-2</c:v>
                      </c:pt>
                      <c:pt idx="37">
                        <c:v>2.8339944008579733E-2</c:v>
                      </c:pt>
                      <c:pt idx="38">
                        <c:v>3.0427084201463811E-2</c:v>
                      </c:pt>
                      <c:pt idx="39">
                        <c:v>3.6393491720681168E-2</c:v>
                      </c:pt>
                      <c:pt idx="40">
                        <c:v>3.9819482240347481E-2</c:v>
                      </c:pt>
                      <c:pt idx="41">
                        <c:v>3.922953548931133E-2</c:v>
                      </c:pt>
                      <c:pt idx="42">
                        <c:v>3.9395111111309326E-2</c:v>
                      </c:pt>
                      <c:pt idx="43">
                        <c:v>4.6837640708636552E-2</c:v>
                      </c:pt>
                      <c:pt idx="44">
                        <c:v>4.8772971660732474E-2</c:v>
                      </c:pt>
                      <c:pt idx="45">
                        <c:v>5.058601217016135E-2</c:v>
                      </c:pt>
                      <c:pt idx="46">
                        <c:v>5.1066073514123907E-2</c:v>
                      </c:pt>
                      <c:pt idx="47">
                        <c:v>5.7027831517451034E-2</c:v>
                      </c:pt>
                      <c:pt idx="48">
                        <c:v>6.0472059793342844E-2</c:v>
                      </c:pt>
                      <c:pt idx="49">
                        <c:v>6.4772077927569865E-2</c:v>
                      </c:pt>
                      <c:pt idx="50">
                        <c:v>6.3290221225979534E-2</c:v>
                      </c:pt>
                      <c:pt idx="51">
                        <c:v>6.6431547644892161E-2</c:v>
                      </c:pt>
                      <c:pt idx="52">
                        <c:v>7.323759314236522E-2</c:v>
                      </c:pt>
                      <c:pt idx="53">
                        <c:v>8.1401422364107731E-2</c:v>
                      </c:pt>
                      <c:pt idx="54">
                        <c:v>7.7080583896434532E-2</c:v>
                      </c:pt>
                      <c:pt idx="55">
                        <c:v>8.2137634313818111E-2</c:v>
                      </c:pt>
                      <c:pt idx="56">
                        <c:v>8.1056634657327278E-2</c:v>
                      </c:pt>
                      <c:pt idx="57">
                        <c:v>9.4797202146149132E-2</c:v>
                      </c:pt>
                      <c:pt idx="58">
                        <c:v>9.9231495951845911E-2</c:v>
                      </c:pt>
                      <c:pt idx="59">
                        <c:v>9.881333224003723E-2</c:v>
                      </c:pt>
                      <c:pt idx="60">
                        <c:v>0.10953452988992687</c:v>
                      </c:pt>
                      <c:pt idx="61">
                        <c:v>0.11075215240258336</c:v>
                      </c:pt>
                      <c:pt idx="62">
                        <c:v>0.12428323481601991</c:v>
                      </c:pt>
                      <c:pt idx="63">
                        <c:v>0.12983298246379743</c:v>
                      </c:pt>
                      <c:pt idx="64">
                        <c:v>0.13365891671936408</c:v>
                      </c:pt>
                      <c:pt idx="65">
                        <c:v>0.15327535111685248</c:v>
                      </c:pt>
                      <c:pt idx="66">
                        <c:v>0.16473717995941764</c:v>
                      </c:pt>
                      <c:pt idx="67">
                        <c:v>0.17418169380547804</c:v>
                      </c:pt>
                      <c:pt idx="68">
                        <c:v>0.19396063038190356</c:v>
                      </c:pt>
                      <c:pt idx="69">
                        <c:v>0.20553343199933871</c:v>
                      </c:pt>
                      <c:pt idx="70">
                        <c:v>0.22737776488075426</c:v>
                      </c:pt>
                      <c:pt idx="71">
                        <c:v>0.23429326981674667</c:v>
                      </c:pt>
                      <c:pt idx="72">
                        <c:v>0.26405840523607343</c:v>
                      </c:pt>
                      <c:pt idx="73">
                        <c:v>0.27969530343449839</c:v>
                      </c:pt>
                      <c:pt idx="74">
                        <c:v>0.30304530948771208</c:v>
                      </c:pt>
                      <c:pt idx="75">
                        <c:v>0.32737924961538167</c:v>
                      </c:pt>
                      <c:pt idx="76">
                        <c:v>0.37128135158249931</c:v>
                      </c:pt>
                      <c:pt idx="77">
                        <c:v>0.40342704244734334</c:v>
                      </c:pt>
                      <c:pt idx="78">
                        <c:v>0.43211705689229246</c:v>
                      </c:pt>
                      <c:pt idx="79">
                        <c:v>0.50585511600921573</c:v>
                      </c:pt>
                      <c:pt idx="80">
                        <c:v>0.53944849798943706</c:v>
                      </c:pt>
                      <c:pt idx="81">
                        <c:v>0.58132610939552354</c:v>
                      </c:pt>
                      <c:pt idx="82">
                        <c:v>0.67424963789355918</c:v>
                      </c:pt>
                      <c:pt idx="83">
                        <c:v>0.76344392366021463</c:v>
                      </c:pt>
                      <c:pt idx="84">
                        <c:v>0.86314710644103976</c:v>
                      </c:pt>
                      <c:pt idx="85">
                        <c:v>0.97869733052227048</c:v>
                      </c:pt>
                      <c:pt idx="86">
                        <c:v>1.1300502345097299</c:v>
                      </c:pt>
                      <c:pt idx="87">
                        <c:v>1.3203855471947259</c:v>
                      </c:pt>
                      <c:pt idx="88">
                        <c:v>1.5834157368275676</c:v>
                      </c:pt>
                      <c:pt idx="89">
                        <c:v>1.9131690395990215</c:v>
                      </c:pt>
                      <c:pt idx="90">
                        <c:v>2.2906535066699738</c:v>
                      </c:pt>
                      <c:pt idx="91">
                        <c:v>2.8802174778199237</c:v>
                      </c:pt>
                      <c:pt idx="92">
                        <c:v>3.7146865177918071</c:v>
                      </c:pt>
                      <c:pt idx="93">
                        <c:v>4.9763885560833891</c:v>
                      </c:pt>
                      <c:pt idx="94">
                        <c:v>6.9960907588100483</c:v>
                      </c:pt>
                      <c:pt idx="95">
                        <c:v>10.545257756600973</c:v>
                      </c:pt>
                      <c:pt idx="96">
                        <c:v>17.790741783790711</c:v>
                      </c:pt>
                      <c:pt idx="97">
                        <c:v>36.672456418865664</c:v>
                      </c:pt>
                      <c:pt idx="98">
                        <c:v>127.52415137218667</c:v>
                      </c:pt>
                      <c:pt idx="99">
                        <c:v>8244.0829683961329</c:v>
                      </c:pt>
                      <c:pt idx="100">
                        <c:v>15416.675126191849</c:v>
                      </c:pt>
                      <c:pt idx="101">
                        <c:v>192.36328106592552</c:v>
                      </c:pt>
                      <c:pt idx="102">
                        <c:v>43.548261582485203</c:v>
                      </c:pt>
                      <c:pt idx="103">
                        <c:v>19.833856507128914</c:v>
                      </c:pt>
                      <c:pt idx="104">
                        <c:v>11.514196950272874</c:v>
                      </c:pt>
                      <c:pt idx="105">
                        <c:v>7.5864213118573289</c:v>
                      </c:pt>
                      <c:pt idx="106">
                        <c:v>5.3401518251592828</c:v>
                      </c:pt>
                      <c:pt idx="107">
                        <c:v>4.0453302596343601</c:v>
                      </c:pt>
                      <c:pt idx="108">
                        <c:v>3.1135874408889763</c:v>
                      </c:pt>
                      <c:pt idx="109">
                        <c:v>2.4835526530492698</c:v>
                      </c:pt>
                      <c:pt idx="110">
                        <c:v>2.0426967295268099</c:v>
                      </c:pt>
                      <c:pt idx="111">
                        <c:v>1.6668144525426767</c:v>
                      </c:pt>
                      <c:pt idx="112">
                        <c:v>1.4100199571362344</c:v>
                      </c:pt>
                      <c:pt idx="113">
                        <c:v>1.1959706260840879</c:v>
                      </c:pt>
                      <c:pt idx="114">
                        <c:v>1.0122790303609115</c:v>
                      </c:pt>
                      <c:pt idx="115">
                        <c:v>0.92309467836820269</c:v>
                      </c:pt>
                      <c:pt idx="116">
                        <c:v>0.81071671194246653</c:v>
                      </c:pt>
                      <c:pt idx="117">
                        <c:v>0.71925561798450222</c:v>
                      </c:pt>
                      <c:pt idx="118">
                        <c:v>0.64214185640816768</c:v>
                      </c:pt>
                      <c:pt idx="119">
                        <c:v>0.58564115704742403</c:v>
                      </c:pt>
                      <c:pt idx="120">
                        <c:v>0.51473765106134872</c:v>
                      </c:pt>
                      <c:pt idx="121">
                        <c:v>0.46260438019229777</c:v>
                      </c:pt>
                      <c:pt idx="122">
                        <c:v>0.42156198180968324</c:v>
                      </c:pt>
                      <c:pt idx="123">
                        <c:v>0.39691053744816318</c:v>
                      </c:pt>
                      <c:pt idx="124">
                        <c:v>0.35902991200279094</c:v>
                      </c:pt>
                      <c:pt idx="125">
                        <c:v>0.32356462011166964</c:v>
                      </c:pt>
                      <c:pt idx="126">
                        <c:v>0.30229262549090014</c:v>
                      </c:pt>
                      <c:pt idx="127">
                        <c:v>0.2873009130648646</c:v>
                      </c:pt>
                      <c:pt idx="128">
                        <c:v>0.26919168973203583</c:v>
                      </c:pt>
                      <c:pt idx="129">
                        <c:v>0.2501464778353073</c:v>
                      </c:pt>
                      <c:pt idx="130">
                        <c:v>0.23940385160620722</c:v>
                      </c:pt>
                      <c:pt idx="131">
                        <c:v>0.2201907514135065</c:v>
                      </c:pt>
                      <c:pt idx="132">
                        <c:v>0.21402126772382438</c:v>
                      </c:pt>
                      <c:pt idx="133">
                        <c:v>0.19569605957252997</c:v>
                      </c:pt>
                      <c:pt idx="134">
                        <c:v>0.19481585377694119</c:v>
                      </c:pt>
                      <c:pt idx="135">
                        <c:v>0.1831818926747836</c:v>
                      </c:pt>
                      <c:pt idx="136">
                        <c:v>0.17556946521179209</c:v>
                      </c:pt>
                      <c:pt idx="137">
                        <c:v>0.16943938747601128</c:v>
                      </c:pt>
                      <c:pt idx="138">
                        <c:v>0.15784018902470684</c:v>
                      </c:pt>
                      <c:pt idx="139">
                        <c:v>0.137221114107273</c:v>
                      </c:pt>
                      <c:pt idx="140">
                        <c:v>0.13184803256109356</c:v>
                      </c:pt>
                      <c:pt idx="141">
                        <c:v>0.12628692715751935</c:v>
                      </c:pt>
                      <c:pt idx="142">
                        <c:v>0.12220108780391054</c:v>
                      </c:pt>
                      <c:pt idx="143">
                        <c:v>0.10813488320030028</c:v>
                      </c:pt>
                      <c:pt idx="144">
                        <c:v>0.11736202155931286</c:v>
                      </c:pt>
                      <c:pt idx="145">
                        <c:v>0.10737731143047315</c:v>
                      </c:pt>
                      <c:pt idx="146">
                        <c:v>0.10289092418468673</c:v>
                      </c:pt>
                      <c:pt idx="147">
                        <c:v>0.10154887688526509</c:v>
                      </c:pt>
                      <c:pt idx="148">
                        <c:v>9.2967894850533958E-2</c:v>
                      </c:pt>
                      <c:pt idx="149">
                        <c:v>8.8976609318346569E-2</c:v>
                      </c:pt>
                      <c:pt idx="150">
                        <c:v>8.8735505293299641E-2</c:v>
                      </c:pt>
                      <c:pt idx="151">
                        <c:v>8.4530495850747275E-2</c:v>
                      </c:pt>
                      <c:pt idx="152">
                        <c:v>8.1210592541065676E-2</c:v>
                      </c:pt>
                      <c:pt idx="153">
                        <c:v>7.0940031653472374E-2</c:v>
                      </c:pt>
                      <c:pt idx="154">
                        <c:v>6.6099652653131905E-2</c:v>
                      </c:pt>
                      <c:pt idx="155">
                        <c:v>6.5830295038216302E-2</c:v>
                      </c:pt>
                      <c:pt idx="156">
                        <c:v>6.7198895032223302E-2</c:v>
                      </c:pt>
                      <c:pt idx="157">
                        <c:v>6.3357011315199316E-2</c:v>
                      </c:pt>
                      <c:pt idx="158">
                        <c:v>5.5955814385308292E-2</c:v>
                      </c:pt>
                      <c:pt idx="159">
                        <c:v>6.1128724959805592E-2</c:v>
                      </c:pt>
                      <c:pt idx="160">
                        <c:v>6.024536088772478E-2</c:v>
                      </c:pt>
                      <c:pt idx="161">
                        <c:v>5.2213152066219716E-2</c:v>
                      </c:pt>
                      <c:pt idx="162">
                        <c:v>5.2074773258641155E-2</c:v>
                      </c:pt>
                      <c:pt idx="163">
                        <c:v>5.2201305604584858E-2</c:v>
                      </c:pt>
                      <c:pt idx="164">
                        <c:v>4.8888739279592495E-2</c:v>
                      </c:pt>
                      <c:pt idx="165">
                        <c:v>4.9475924379726234E-2</c:v>
                      </c:pt>
                      <c:pt idx="166">
                        <c:v>4.7533221824028048E-2</c:v>
                      </c:pt>
                      <c:pt idx="167">
                        <c:v>4.4956194275605176E-2</c:v>
                      </c:pt>
                      <c:pt idx="168">
                        <c:v>4.1643408192230578E-2</c:v>
                      </c:pt>
                      <c:pt idx="169">
                        <c:v>4.1640043537012505E-2</c:v>
                      </c:pt>
                      <c:pt idx="170">
                        <c:v>3.921477485533495E-2</c:v>
                      </c:pt>
                      <c:pt idx="171">
                        <c:v>4.1803673409952599E-2</c:v>
                      </c:pt>
                      <c:pt idx="172">
                        <c:v>3.877849909152277E-2</c:v>
                      </c:pt>
                      <c:pt idx="173">
                        <c:v>3.8634216510512721E-2</c:v>
                      </c:pt>
                      <c:pt idx="174">
                        <c:v>3.7437725110426513E-2</c:v>
                      </c:pt>
                      <c:pt idx="175">
                        <c:v>3.320381017208883E-2</c:v>
                      </c:pt>
                      <c:pt idx="176">
                        <c:v>3.1537874075576386E-2</c:v>
                      </c:pt>
                      <c:pt idx="177">
                        <c:v>3.2157161391499225E-2</c:v>
                      </c:pt>
                      <c:pt idx="178">
                        <c:v>2.928335793995188E-2</c:v>
                      </c:pt>
                      <c:pt idx="179">
                        <c:v>3.2328320227766216E-2</c:v>
                      </c:pt>
                      <c:pt idx="180">
                        <c:v>2.6568751152704247E-2</c:v>
                      </c:pt>
                      <c:pt idx="181">
                        <c:v>2.7939813935720176E-2</c:v>
                      </c:pt>
                      <c:pt idx="182">
                        <c:v>2.6877478422395882E-2</c:v>
                      </c:pt>
                      <c:pt idx="183">
                        <c:v>2.7034221512305591E-2</c:v>
                      </c:pt>
                      <c:pt idx="184">
                        <c:v>2.4009091969607588E-2</c:v>
                      </c:pt>
                      <c:pt idx="185">
                        <c:v>2.5386141067137602E-2</c:v>
                      </c:pt>
                      <c:pt idx="186">
                        <c:v>2.7505871933784828E-2</c:v>
                      </c:pt>
                      <c:pt idx="187">
                        <c:v>2.5384011453265968E-2</c:v>
                      </c:pt>
                      <c:pt idx="188">
                        <c:v>2.2197435423859421E-2</c:v>
                      </c:pt>
                      <c:pt idx="189">
                        <c:v>2.1887328864457566E-2</c:v>
                      </c:pt>
                      <c:pt idx="190">
                        <c:v>1.96060732562841E-2</c:v>
                      </c:pt>
                      <c:pt idx="191">
                        <c:v>2.4177604485684647E-2</c:v>
                      </c:pt>
                      <c:pt idx="192">
                        <c:v>2.2353340871021803E-2</c:v>
                      </c:pt>
                      <c:pt idx="193">
                        <c:v>2.0838501129507605E-2</c:v>
                      </c:pt>
                      <c:pt idx="194">
                        <c:v>2.2506127559347784E-2</c:v>
                      </c:pt>
                      <c:pt idx="195">
                        <c:v>2.1287476621599001E-2</c:v>
                      </c:pt>
                      <c:pt idx="196">
                        <c:v>2.1755515532844757E-2</c:v>
                      </c:pt>
                      <c:pt idx="197">
                        <c:v>1.7796397169587981E-2</c:v>
                      </c:pt>
                      <c:pt idx="198">
                        <c:v>1.7497183409919268E-2</c:v>
                      </c:pt>
                      <c:pt idx="199">
                        <c:v>1.6584075687530515E-2</c:v>
                      </c:pt>
                      <c:pt idx="200">
                        <c:v>1.4308179432119926E-2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474-4AF4-895F-5CA5478310C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'θ-scan2_thermo'!$P$2</c15:sqref>
                        </c15:formulaRef>
                      </c:ext>
                    </c:extLst>
                    <c:strCache>
                      <c:ptCount val="1"/>
                      <c:pt idx="0">
                        <c:v>Si_RoughTEOS-2θ-scan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'θ-scan2_thermo'!$N$5:$N$205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68.5822</c:v>
                      </c:pt>
                      <c:pt idx="1">
                        <c:v>68.592200000000005</c:v>
                      </c:pt>
                      <c:pt idx="2">
                        <c:v>68.602199999999996</c:v>
                      </c:pt>
                      <c:pt idx="3">
                        <c:v>68.612200000000001</c:v>
                      </c:pt>
                      <c:pt idx="4">
                        <c:v>68.622200000000007</c:v>
                      </c:pt>
                      <c:pt idx="5">
                        <c:v>68.632199999999997</c:v>
                      </c:pt>
                      <c:pt idx="6">
                        <c:v>68.642200000000003</c:v>
                      </c:pt>
                      <c:pt idx="7">
                        <c:v>68.652199999999993</c:v>
                      </c:pt>
                      <c:pt idx="8">
                        <c:v>68.662199999999999</c:v>
                      </c:pt>
                      <c:pt idx="9">
                        <c:v>68.672200000000004</c:v>
                      </c:pt>
                      <c:pt idx="10">
                        <c:v>68.682199999999995</c:v>
                      </c:pt>
                      <c:pt idx="11">
                        <c:v>68.6922</c:v>
                      </c:pt>
                      <c:pt idx="12">
                        <c:v>68.702200000000005</c:v>
                      </c:pt>
                      <c:pt idx="13">
                        <c:v>68.712199999999996</c:v>
                      </c:pt>
                      <c:pt idx="14">
                        <c:v>68.722200000000001</c:v>
                      </c:pt>
                      <c:pt idx="15">
                        <c:v>68.732200000000006</c:v>
                      </c:pt>
                      <c:pt idx="16">
                        <c:v>68.742199999999997</c:v>
                      </c:pt>
                      <c:pt idx="17">
                        <c:v>68.752200000000002</c:v>
                      </c:pt>
                      <c:pt idx="18">
                        <c:v>68.762200000000007</c:v>
                      </c:pt>
                      <c:pt idx="19">
                        <c:v>68.772199999999998</c:v>
                      </c:pt>
                      <c:pt idx="20">
                        <c:v>68.782200000000003</c:v>
                      </c:pt>
                      <c:pt idx="21">
                        <c:v>68.792199999999994</c:v>
                      </c:pt>
                      <c:pt idx="22">
                        <c:v>68.802199999999999</c:v>
                      </c:pt>
                      <c:pt idx="23">
                        <c:v>68.812200000000004</c:v>
                      </c:pt>
                      <c:pt idx="24">
                        <c:v>68.822199999999995</c:v>
                      </c:pt>
                      <c:pt idx="25">
                        <c:v>68.8322</c:v>
                      </c:pt>
                      <c:pt idx="26">
                        <c:v>68.842200000000005</c:v>
                      </c:pt>
                      <c:pt idx="27">
                        <c:v>68.852199999999996</c:v>
                      </c:pt>
                      <c:pt idx="28">
                        <c:v>68.862200000000001</c:v>
                      </c:pt>
                      <c:pt idx="29">
                        <c:v>68.872200000000007</c:v>
                      </c:pt>
                      <c:pt idx="30">
                        <c:v>68.882199999999997</c:v>
                      </c:pt>
                      <c:pt idx="31">
                        <c:v>68.892200000000003</c:v>
                      </c:pt>
                      <c:pt idx="32">
                        <c:v>68.902199999999993</c:v>
                      </c:pt>
                      <c:pt idx="33">
                        <c:v>68.912199999999999</c:v>
                      </c:pt>
                      <c:pt idx="34">
                        <c:v>68.922200000000004</c:v>
                      </c:pt>
                      <c:pt idx="35">
                        <c:v>68.932199999999995</c:v>
                      </c:pt>
                      <c:pt idx="36">
                        <c:v>68.9422</c:v>
                      </c:pt>
                      <c:pt idx="37">
                        <c:v>68.952200000000005</c:v>
                      </c:pt>
                      <c:pt idx="38">
                        <c:v>68.962199999999996</c:v>
                      </c:pt>
                      <c:pt idx="39">
                        <c:v>68.972200000000001</c:v>
                      </c:pt>
                      <c:pt idx="40">
                        <c:v>68.982200000000006</c:v>
                      </c:pt>
                      <c:pt idx="41">
                        <c:v>68.992199999999997</c:v>
                      </c:pt>
                      <c:pt idx="42">
                        <c:v>69.002200000000002</c:v>
                      </c:pt>
                      <c:pt idx="43">
                        <c:v>69.012200000000007</c:v>
                      </c:pt>
                      <c:pt idx="44">
                        <c:v>69.022199999999998</c:v>
                      </c:pt>
                      <c:pt idx="45">
                        <c:v>69.032200000000003</c:v>
                      </c:pt>
                      <c:pt idx="46">
                        <c:v>69.042199999999994</c:v>
                      </c:pt>
                      <c:pt idx="47">
                        <c:v>69.052199999999999</c:v>
                      </c:pt>
                      <c:pt idx="48">
                        <c:v>69.062200000000004</c:v>
                      </c:pt>
                      <c:pt idx="49">
                        <c:v>69.072199999999995</c:v>
                      </c:pt>
                      <c:pt idx="50">
                        <c:v>69.0822</c:v>
                      </c:pt>
                      <c:pt idx="51">
                        <c:v>69.092200000000005</c:v>
                      </c:pt>
                      <c:pt idx="52">
                        <c:v>69.102199999999996</c:v>
                      </c:pt>
                      <c:pt idx="53">
                        <c:v>69.112200000000001</c:v>
                      </c:pt>
                      <c:pt idx="54">
                        <c:v>69.122200000000007</c:v>
                      </c:pt>
                      <c:pt idx="55">
                        <c:v>69.132199999999997</c:v>
                      </c:pt>
                      <c:pt idx="56">
                        <c:v>69.142200000000003</c:v>
                      </c:pt>
                      <c:pt idx="57">
                        <c:v>69.152199999999993</c:v>
                      </c:pt>
                      <c:pt idx="58">
                        <c:v>69.162199999999999</c:v>
                      </c:pt>
                      <c:pt idx="59">
                        <c:v>69.172200000000004</c:v>
                      </c:pt>
                      <c:pt idx="60">
                        <c:v>69.182199999999995</c:v>
                      </c:pt>
                      <c:pt idx="61">
                        <c:v>69.1922</c:v>
                      </c:pt>
                      <c:pt idx="62">
                        <c:v>69.202200000000005</c:v>
                      </c:pt>
                      <c:pt idx="63">
                        <c:v>69.212199999999996</c:v>
                      </c:pt>
                      <c:pt idx="64">
                        <c:v>69.222200000000001</c:v>
                      </c:pt>
                      <c:pt idx="65">
                        <c:v>69.232200000000006</c:v>
                      </c:pt>
                      <c:pt idx="66">
                        <c:v>69.242199999999997</c:v>
                      </c:pt>
                      <c:pt idx="67">
                        <c:v>69.252200000000002</c:v>
                      </c:pt>
                      <c:pt idx="68">
                        <c:v>69.262200000000007</c:v>
                      </c:pt>
                      <c:pt idx="69">
                        <c:v>69.272199999999998</c:v>
                      </c:pt>
                      <c:pt idx="70">
                        <c:v>69.282200000000003</c:v>
                      </c:pt>
                      <c:pt idx="71">
                        <c:v>69.292199999999994</c:v>
                      </c:pt>
                      <c:pt idx="72">
                        <c:v>69.302199999999999</c:v>
                      </c:pt>
                      <c:pt idx="73">
                        <c:v>69.312200000000004</c:v>
                      </c:pt>
                      <c:pt idx="74">
                        <c:v>69.322199999999995</c:v>
                      </c:pt>
                      <c:pt idx="75">
                        <c:v>69.3322</c:v>
                      </c:pt>
                      <c:pt idx="76">
                        <c:v>69.342200000000005</c:v>
                      </c:pt>
                      <c:pt idx="77">
                        <c:v>69.352199999999996</c:v>
                      </c:pt>
                      <c:pt idx="78">
                        <c:v>69.362200000000001</c:v>
                      </c:pt>
                      <c:pt idx="79">
                        <c:v>69.372200000000007</c:v>
                      </c:pt>
                      <c:pt idx="80">
                        <c:v>69.382199999999997</c:v>
                      </c:pt>
                      <c:pt idx="81">
                        <c:v>69.392200000000003</c:v>
                      </c:pt>
                      <c:pt idx="82">
                        <c:v>69.402199999999993</c:v>
                      </c:pt>
                      <c:pt idx="83">
                        <c:v>69.412199999999999</c:v>
                      </c:pt>
                      <c:pt idx="84">
                        <c:v>69.422200000000004</c:v>
                      </c:pt>
                      <c:pt idx="85">
                        <c:v>69.432199999999995</c:v>
                      </c:pt>
                      <c:pt idx="86">
                        <c:v>69.4422</c:v>
                      </c:pt>
                      <c:pt idx="87">
                        <c:v>69.452200000000005</c:v>
                      </c:pt>
                      <c:pt idx="88">
                        <c:v>69.462199999999996</c:v>
                      </c:pt>
                      <c:pt idx="89">
                        <c:v>69.472200000000001</c:v>
                      </c:pt>
                      <c:pt idx="90">
                        <c:v>69.482200000000006</c:v>
                      </c:pt>
                      <c:pt idx="91">
                        <c:v>69.492199999999997</c:v>
                      </c:pt>
                      <c:pt idx="92">
                        <c:v>69.502200000000002</c:v>
                      </c:pt>
                      <c:pt idx="93">
                        <c:v>69.512200000000007</c:v>
                      </c:pt>
                      <c:pt idx="94">
                        <c:v>69.522199999999998</c:v>
                      </c:pt>
                      <c:pt idx="95">
                        <c:v>69.532200000000003</c:v>
                      </c:pt>
                      <c:pt idx="96">
                        <c:v>69.542199999999994</c:v>
                      </c:pt>
                      <c:pt idx="97">
                        <c:v>69.552199999999999</c:v>
                      </c:pt>
                      <c:pt idx="98">
                        <c:v>69.562200000000004</c:v>
                      </c:pt>
                      <c:pt idx="99">
                        <c:v>69.572199999999995</c:v>
                      </c:pt>
                      <c:pt idx="100">
                        <c:v>69.5822</c:v>
                      </c:pt>
                      <c:pt idx="101">
                        <c:v>69.592200000000005</c:v>
                      </c:pt>
                      <c:pt idx="102">
                        <c:v>69.602199999999996</c:v>
                      </c:pt>
                      <c:pt idx="103">
                        <c:v>69.612200000000001</c:v>
                      </c:pt>
                      <c:pt idx="104">
                        <c:v>69.622200000000007</c:v>
                      </c:pt>
                      <c:pt idx="105">
                        <c:v>69.632199999999997</c:v>
                      </c:pt>
                      <c:pt idx="106">
                        <c:v>69.642200000000003</c:v>
                      </c:pt>
                      <c:pt idx="107">
                        <c:v>69.652199999999993</c:v>
                      </c:pt>
                      <c:pt idx="108">
                        <c:v>69.662199999999999</c:v>
                      </c:pt>
                      <c:pt idx="109">
                        <c:v>69.672200000000004</c:v>
                      </c:pt>
                      <c:pt idx="110">
                        <c:v>69.682199999999995</c:v>
                      </c:pt>
                      <c:pt idx="111">
                        <c:v>69.6922</c:v>
                      </c:pt>
                      <c:pt idx="112">
                        <c:v>69.702200000000005</c:v>
                      </c:pt>
                      <c:pt idx="113">
                        <c:v>69.712199999999996</c:v>
                      </c:pt>
                      <c:pt idx="114">
                        <c:v>69.722200000000001</c:v>
                      </c:pt>
                      <c:pt idx="115">
                        <c:v>69.732200000000006</c:v>
                      </c:pt>
                      <c:pt idx="116">
                        <c:v>69.742199999999997</c:v>
                      </c:pt>
                      <c:pt idx="117">
                        <c:v>69.752200000000002</c:v>
                      </c:pt>
                      <c:pt idx="118">
                        <c:v>69.762200000000007</c:v>
                      </c:pt>
                      <c:pt idx="119">
                        <c:v>69.772199999999998</c:v>
                      </c:pt>
                      <c:pt idx="120">
                        <c:v>69.782200000000003</c:v>
                      </c:pt>
                      <c:pt idx="121">
                        <c:v>69.792199999999994</c:v>
                      </c:pt>
                      <c:pt idx="122">
                        <c:v>69.802199999999999</c:v>
                      </c:pt>
                      <c:pt idx="123">
                        <c:v>69.812200000000004</c:v>
                      </c:pt>
                      <c:pt idx="124">
                        <c:v>69.822199999999995</c:v>
                      </c:pt>
                      <c:pt idx="125">
                        <c:v>69.8322</c:v>
                      </c:pt>
                      <c:pt idx="126">
                        <c:v>69.842200000000005</c:v>
                      </c:pt>
                      <c:pt idx="127">
                        <c:v>69.852199999999996</c:v>
                      </c:pt>
                      <c:pt idx="128">
                        <c:v>69.862200000000001</c:v>
                      </c:pt>
                      <c:pt idx="129">
                        <c:v>69.872200000000007</c:v>
                      </c:pt>
                      <c:pt idx="130">
                        <c:v>69.882199999999997</c:v>
                      </c:pt>
                      <c:pt idx="131">
                        <c:v>69.892200000000003</c:v>
                      </c:pt>
                      <c:pt idx="132">
                        <c:v>69.902199999999993</c:v>
                      </c:pt>
                      <c:pt idx="133">
                        <c:v>69.912199999999999</c:v>
                      </c:pt>
                      <c:pt idx="134">
                        <c:v>69.922200000000004</c:v>
                      </c:pt>
                      <c:pt idx="135">
                        <c:v>69.932199999999995</c:v>
                      </c:pt>
                      <c:pt idx="136">
                        <c:v>69.9422</c:v>
                      </c:pt>
                      <c:pt idx="137">
                        <c:v>69.952200000000005</c:v>
                      </c:pt>
                      <c:pt idx="138">
                        <c:v>69.962199999999996</c:v>
                      </c:pt>
                      <c:pt idx="139">
                        <c:v>69.972200000000001</c:v>
                      </c:pt>
                      <c:pt idx="140">
                        <c:v>69.982200000000006</c:v>
                      </c:pt>
                      <c:pt idx="141">
                        <c:v>69.992199999999997</c:v>
                      </c:pt>
                      <c:pt idx="142">
                        <c:v>70.002200000000002</c:v>
                      </c:pt>
                      <c:pt idx="143">
                        <c:v>70.012200000000007</c:v>
                      </c:pt>
                      <c:pt idx="144">
                        <c:v>70.022199999999998</c:v>
                      </c:pt>
                      <c:pt idx="145">
                        <c:v>70.032200000000003</c:v>
                      </c:pt>
                      <c:pt idx="146">
                        <c:v>70.042199999999994</c:v>
                      </c:pt>
                      <c:pt idx="147">
                        <c:v>70.052199999999999</c:v>
                      </c:pt>
                      <c:pt idx="148">
                        <c:v>70.062200000000004</c:v>
                      </c:pt>
                      <c:pt idx="149">
                        <c:v>70.072199999999995</c:v>
                      </c:pt>
                      <c:pt idx="150">
                        <c:v>70.0822</c:v>
                      </c:pt>
                      <c:pt idx="151">
                        <c:v>70.092200000000005</c:v>
                      </c:pt>
                      <c:pt idx="152">
                        <c:v>70.102199999999996</c:v>
                      </c:pt>
                      <c:pt idx="153">
                        <c:v>70.112200000000001</c:v>
                      </c:pt>
                      <c:pt idx="154">
                        <c:v>70.122200000000007</c:v>
                      </c:pt>
                      <c:pt idx="155">
                        <c:v>70.132199999999997</c:v>
                      </c:pt>
                      <c:pt idx="156">
                        <c:v>70.142200000000003</c:v>
                      </c:pt>
                      <c:pt idx="157">
                        <c:v>70.152199999999993</c:v>
                      </c:pt>
                      <c:pt idx="158">
                        <c:v>70.162199999999999</c:v>
                      </c:pt>
                      <c:pt idx="159">
                        <c:v>70.172200000000004</c:v>
                      </c:pt>
                      <c:pt idx="160">
                        <c:v>70.182199999999995</c:v>
                      </c:pt>
                      <c:pt idx="161">
                        <c:v>70.1922</c:v>
                      </c:pt>
                      <c:pt idx="162">
                        <c:v>70.202200000000005</c:v>
                      </c:pt>
                      <c:pt idx="163">
                        <c:v>70.212199999999996</c:v>
                      </c:pt>
                      <c:pt idx="164">
                        <c:v>70.222200000000001</c:v>
                      </c:pt>
                      <c:pt idx="165">
                        <c:v>70.232200000000006</c:v>
                      </c:pt>
                      <c:pt idx="166">
                        <c:v>70.242199999999997</c:v>
                      </c:pt>
                      <c:pt idx="167">
                        <c:v>70.252200000000002</c:v>
                      </c:pt>
                      <c:pt idx="168">
                        <c:v>70.262200000000007</c:v>
                      </c:pt>
                      <c:pt idx="169">
                        <c:v>70.272199999999998</c:v>
                      </c:pt>
                      <c:pt idx="170">
                        <c:v>70.282200000000003</c:v>
                      </c:pt>
                      <c:pt idx="171">
                        <c:v>70.292199999999994</c:v>
                      </c:pt>
                      <c:pt idx="172">
                        <c:v>70.302199999999999</c:v>
                      </c:pt>
                      <c:pt idx="173">
                        <c:v>70.312200000000004</c:v>
                      </c:pt>
                      <c:pt idx="174">
                        <c:v>70.322199999999995</c:v>
                      </c:pt>
                      <c:pt idx="175">
                        <c:v>70.3322</c:v>
                      </c:pt>
                      <c:pt idx="176">
                        <c:v>70.342200000000005</c:v>
                      </c:pt>
                      <c:pt idx="177">
                        <c:v>70.352199999999996</c:v>
                      </c:pt>
                      <c:pt idx="178">
                        <c:v>70.362200000000001</c:v>
                      </c:pt>
                      <c:pt idx="179">
                        <c:v>70.372200000000007</c:v>
                      </c:pt>
                      <c:pt idx="180">
                        <c:v>70.382199999999997</c:v>
                      </c:pt>
                      <c:pt idx="181">
                        <c:v>70.392200000000003</c:v>
                      </c:pt>
                      <c:pt idx="182">
                        <c:v>70.402199999999993</c:v>
                      </c:pt>
                      <c:pt idx="183">
                        <c:v>70.412199999999999</c:v>
                      </c:pt>
                      <c:pt idx="184">
                        <c:v>70.422200000000004</c:v>
                      </c:pt>
                      <c:pt idx="185">
                        <c:v>70.432199999999995</c:v>
                      </c:pt>
                      <c:pt idx="186">
                        <c:v>70.4422</c:v>
                      </c:pt>
                      <c:pt idx="187">
                        <c:v>70.452200000000005</c:v>
                      </c:pt>
                      <c:pt idx="188">
                        <c:v>70.462199999999996</c:v>
                      </c:pt>
                      <c:pt idx="189">
                        <c:v>70.472200000000001</c:v>
                      </c:pt>
                      <c:pt idx="190">
                        <c:v>70.482200000000006</c:v>
                      </c:pt>
                      <c:pt idx="191">
                        <c:v>70.492199999999997</c:v>
                      </c:pt>
                      <c:pt idx="192">
                        <c:v>70.502200000000002</c:v>
                      </c:pt>
                      <c:pt idx="193">
                        <c:v>70.512200000000007</c:v>
                      </c:pt>
                      <c:pt idx="194">
                        <c:v>70.522199999999998</c:v>
                      </c:pt>
                      <c:pt idx="195">
                        <c:v>70.532200000000003</c:v>
                      </c:pt>
                      <c:pt idx="196">
                        <c:v>70.542199999999994</c:v>
                      </c:pt>
                      <c:pt idx="197">
                        <c:v>70.552199999999999</c:v>
                      </c:pt>
                      <c:pt idx="198">
                        <c:v>70.562200000000004</c:v>
                      </c:pt>
                      <c:pt idx="199">
                        <c:v>70.572199999999995</c:v>
                      </c:pt>
                      <c:pt idx="200">
                        <c:v>70.5822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'θ-scan2_thermo'!$R$5:$R$205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6.2846504200911725E-4</c:v>
                      </c:pt>
                      <c:pt idx="1">
                        <c:v>1.0476696610392628E-3</c:v>
                      </c:pt>
                      <c:pt idx="2">
                        <c:v>1.0472838389923419E-3</c:v>
                      </c:pt>
                      <c:pt idx="3">
                        <c:v>8.3754741827055253E-4</c:v>
                      </c:pt>
                      <c:pt idx="4">
                        <c:v>6.2763781791503031E-4</c:v>
                      </c:pt>
                      <c:pt idx="5">
                        <c:v>2.5079362073822482E-3</c:v>
                      </c:pt>
                      <c:pt idx="6">
                        <c:v>8.355725982656353E-4</c:v>
                      </c:pt>
                      <c:pt idx="7">
                        <c:v>1.8797674426910601E-3</c:v>
                      </c:pt>
                      <c:pt idx="8">
                        <c:v>6.2657259277911013E-4</c:v>
                      </c:pt>
                      <c:pt idx="9">
                        <c:v>1.2536116813709399E-3</c:v>
                      </c:pt>
                      <c:pt idx="10">
                        <c:v>1.0453380681851442E-3</c:v>
                      </c:pt>
                      <c:pt idx="11">
                        <c:v>8.36338768970803E-4</c:v>
                      </c:pt>
                      <c:pt idx="12">
                        <c:v>6.2733343204773395E-4</c:v>
                      </c:pt>
                      <c:pt idx="13">
                        <c:v>6.2794239415554754E-4</c:v>
                      </c:pt>
                      <c:pt idx="14">
                        <c:v>6.2808111734625853E-4</c:v>
                      </c:pt>
                      <c:pt idx="15">
                        <c:v>1.4662731720124229E-3</c:v>
                      </c:pt>
                      <c:pt idx="16">
                        <c:v>2.0941640005166721E-3</c:v>
                      </c:pt>
                      <c:pt idx="17">
                        <c:v>1.0470904205299417E-3</c:v>
                      </c:pt>
                      <c:pt idx="18">
                        <c:v>1.675924368130949E-3</c:v>
                      </c:pt>
                      <c:pt idx="19">
                        <c:v>2.9328253121259336E-3</c:v>
                      </c:pt>
                      <c:pt idx="20">
                        <c:v>1.4674218718391471E-3</c:v>
                      </c:pt>
                      <c:pt idx="21">
                        <c:v>2.0973203628330672E-3</c:v>
                      </c:pt>
                      <c:pt idx="22">
                        <c:v>2.0979641418906016E-3</c:v>
                      </c:pt>
                      <c:pt idx="23">
                        <c:v>2.0996043484569726E-3</c:v>
                      </c:pt>
                      <c:pt idx="24">
                        <c:v>1.0506955341762364E-3</c:v>
                      </c:pt>
                      <c:pt idx="25">
                        <c:v>1.471357143044816E-3</c:v>
                      </c:pt>
                      <c:pt idx="26">
                        <c:v>2.7356371578817432E-3</c:v>
                      </c:pt>
                      <c:pt idx="27">
                        <c:v>2.7377146004973121E-3</c:v>
                      </c:pt>
                      <c:pt idx="28">
                        <c:v>5.0556778643401114E-3</c:v>
                      </c:pt>
                      <c:pt idx="29">
                        <c:v>3.1590211440235016E-3</c:v>
                      </c:pt>
                      <c:pt idx="30">
                        <c:v>3.3699543463859808E-3</c:v>
                      </c:pt>
                      <c:pt idx="31">
                        <c:v>2.5280969535294066E-3</c:v>
                      </c:pt>
                      <c:pt idx="32">
                        <c:v>2.527476779280992E-3</c:v>
                      </c:pt>
                      <c:pt idx="33">
                        <c:v>3.5768434314636822E-3</c:v>
                      </c:pt>
                      <c:pt idx="34">
                        <c:v>5.8892478151731922E-3</c:v>
                      </c:pt>
                      <c:pt idx="35">
                        <c:v>5.674221149574929E-3</c:v>
                      </c:pt>
                      <c:pt idx="36">
                        <c:v>5.8832372807299084E-3</c:v>
                      </c:pt>
                      <c:pt idx="37">
                        <c:v>4.4105638464821337E-3</c:v>
                      </c:pt>
                      <c:pt idx="38">
                        <c:v>5.2503106608818052E-3</c:v>
                      </c:pt>
                      <c:pt idx="39">
                        <c:v>3.7808080721092522E-3</c:v>
                      </c:pt>
                      <c:pt idx="40">
                        <c:v>7.5609826328639496E-3</c:v>
                      </c:pt>
                      <c:pt idx="41">
                        <c:v>6.9336138827590602E-3</c:v>
                      </c:pt>
                      <c:pt idx="42">
                        <c:v>8.6237340726467559E-3</c:v>
                      </c:pt>
                      <c:pt idx="43">
                        <c:v>9.0419360156019229E-3</c:v>
                      </c:pt>
                      <c:pt idx="44">
                        <c:v>8.6181198028796382E-3</c:v>
                      </c:pt>
                      <c:pt idx="45">
                        <c:v>6.9409519128537829E-3</c:v>
                      </c:pt>
                      <c:pt idx="46">
                        <c:v>8.8315653941250065E-3</c:v>
                      </c:pt>
                      <c:pt idx="47">
                        <c:v>1.4293951024845809E-2</c:v>
                      </c:pt>
                      <c:pt idx="48">
                        <c:v>1.1136247512808419E-2</c:v>
                      </c:pt>
                      <c:pt idx="49">
                        <c:v>1.3449071277535056E-2</c:v>
                      </c:pt>
                      <c:pt idx="50">
                        <c:v>1.6602491033551509E-2</c:v>
                      </c:pt>
                      <c:pt idx="51">
                        <c:v>1.4508276961493288E-2</c:v>
                      </c:pt>
                      <c:pt idx="52">
                        <c:v>1.7033985998568219E-2</c:v>
                      </c:pt>
                      <c:pt idx="53">
                        <c:v>1.7260241822302652E-2</c:v>
                      </c:pt>
                      <c:pt idx="54">
                        <c:v>2.1474279161081598E-2</c:v>
                      </c:pt>
                      <c:pt idx="55">
                        <c:v>2.274606647323103E-2</c:v>
                      </c:pt>
                      <c:pt idx="56">
                        <c:v>2.2750883471575847E-2</c:v>
                      </c:pt>
                      <c:pt idx="57">
                        <c:v>2.825834180978146E-2</c:v>
                      </c:pt>
                      <c:pt idx="58">
                        <c:v>3.2909838560786941E-2</c:v>
                      </c:pt>
                      <c:pt idx="59">
                        <c:v>3.5668195200086648E-2</c:v>
                      </c:pt>
                      <c:pt idx="60">
                        <c:v>4.055699541103934E-2</c:v>
                      </c:pt>
                      <c:pt idx="61">
                        <c:v>4.8839761773596287E-2</c:v>
                      </c:pt>
                      <c:pt idx="62">
                        <c:v>4.5498267076816964E-2</c:v>
                      </c:pt>
                      <c:pt idx="63">
                        <c:v>5.6317397739885443E-2</c:v>
                      </c:pt>
                      <c:pt idx="64">
                        <c:v>5.7201656814210924E-2</c:v>
                      </c:pt>
                      <c:pt idx="65">
                        <c:v>6.334182127861504E-2</c:v>
                      </c:pt>
                      <c:pt idx="66">
                        <c:v>7.4083307441217383E-2</c:v>
                      </c:pt>
                      <c:pt idx="67">
                        <c:v>8.4623472829275168E-2</c:v>
                      </c:pt>
                      <c:pt idx="68">
                        <c:v>9.791558859947018E-2</c:v>
                      </c:pt>
                      <c:pt idx="69">
                        <c:v>0.1161778501225465</c:v>
                      </c:pt>
                      <c:pt idx="70">
                        <c:v>0.13006288519385018</c:v>
                      </c:pt>
                      <c:pt idx="71">
                        <c:v>0.14935799163456015</c:v>
                      </c:pt>
                      <c:pt idx="72">
                        <c:v>0.16977087617104206</c:v>
                      </c:pt>
                      <c:pt idx="73">
                        <c:v>0.18950337236955248</c:v>
                      </c:pt>
                      <c:pt idx="74">
                        <c:v>0.23393135037946827</c:v>
                      </c:pt>
                      <c:pt idx="75">
                        <c:v>0.27190952030632304</c:v>
                      </c:pt>
                      <c:pt idx="76">
                        <c:v>0.31892190409352694</c:v>
                      </c:pt>
                      <c:pt idx="77">
                        <c:v>0.37229834029526315</c:v>
                      </c:pt>
                      <c:pt idx="78">
                        <c:v>0.44369278382986299</c:v>
                      </c:pt>
                      <c:pt idx="79">
                        <c:v>0.51256310498720736</c:v>
                      </c:pt>
                      <c:pt idx="80">
                        <c:v>0.66668118662588616</c:v>
                      </c:pt>
                      <c:pt idx="81">
                        <c:v>0.7712257913763586</c:v>
                      </c:pt>
                      <c:pt idx="82">
                        <c:v>0.92988003977785005</c:v>
                      </c:pt>
                      <c:pt idx="83">
                        <c:v>1.1760250812693949</c:v>
                      </c:pt>
                      <c:pt idx="84">
                        <c:v>1.4737090745185255</c:v>
                      </c:pt>
                      <c:pt idx="85">
                        <c:v>1.855242482563388</c:v>
                      </c:pt>
                      <c:pt idx="86">
                        <c:v>2.4534902731204444</c:v>
                      </c:pt>
                      <c:pt idx="87">
                        <c:v>3.1423125258194227</c:v>
                      </c:pt>
                      <c:pt idx="88">
                        <c:v>4.1665168154663474</c:v>
                      </c:pt>
                      <c:pt idx="89">
                        <c:v>5.7952802832263144</c:v>
                      </c:pt>
                      <c:pt idx="90">
                        <c:v>8.0925011559126485</c:v>
                      </c:pt>
                      <c:pt idx="91">
                        <c:v>11.503095423077868</c:v>
                      </c:pt>
                      <c:pt idx="92">
                        <c:v>17.092173264068737</c:v>
                      </c:pt>
                      <c:pt idx="93">
                        <c:v>26.657876644661307</c:v>
                      </c:pt>
                      <c:pt idx="94">
                        <c:v>44.081041522577159</c:v>
                      </c:pt>
                      <c:pt idx="95">
                        <c:v>78.574954015902193</c:v>
                      </c:pt>
                      <c:pt idx="96">
                        <c:v>152.9032591863851</c:v>
                      </c:pt>
                      <c:pt idx="97">
                        <c:v>347.62496054457125</c:v>
                      </c:pt>
                      <c:pt idx="98">
                        <c:v>1053.311753507737</c:v>
                      </c:pt>
                      <c:pt idx="99">
                        <c:v>4768.8368614163874</c:v>
                      </c:pt>
                      <c:pt idx="100">
                        <c:v>13858.720651387723</c:v>
                      </c:pt>
                      <c:pt idx="101">
                        <c:v>7008.4262987911225</c:v>
                      </c:pt>
                      <c:pt idx="102">
                        <c:v>1320.7819588452207</c:v>
                      </c:pt>
                      <c:pt idx="103">
                        <c:v>354.07140509700548</c:v>
                      </c:pt>
                      <c:pt idx="104">
                        <c:v>125.90676968939553</c:v>
                      </c:pt>
                      <c:pt idx="105">
                        <c:v>52.602111808068308</c:v>
                      </c:pt>
                      <c:pt idx="106">
                        <c:v>25.304765988597978</c:v>
                      </c:pt>
                      <c:pt idx="107">
                        <c:v>13.480417523047866</c:v>
                      </c:pt>
                      <c:pt idx="108">
                        <c:v>7.642673554766553</c:v>
                      </c:pt>
                      <c:pt idx="109">
                        <c:v>4.6186576584292647</c:v>
                      </c:pt>
                      <c:pt idx="110">
                        <c:v>2.8640370797049579</c:v>
                      </c:pt>
                      <c:pt idx="111">
                        <c:v>1.8980983388599419</c:v>
                      </c:pt>
                      <c:pt idx="112">
                        <c:v>1.272283683934526</c:v>
                      </c:pt>
                      <c:pt idx="113">
                        <c:v>0.85206028176129878</c:v>
                      </c:pt>
                      <c:pt idx="114">
                        <c:v>0.63037941514760854</c:v>
                      </c:pt>
                      <c:pt idx="115">
                        <c:v>0.45668726330476378</c:v>
                      </c:pt>
                      <c:pt idx="116">
                        <c:v>0.35787709684916719</c:v>
                      </c:pt>
                      <c:pt idx="117">
                        <c:v>0.24915456169531727</c:v>
                      </c:pt>
                      <c:pt idx="118">
                        <c:v>0.19800923130060394</c:v>
                      </c:pt>
                      <c:pt idx="119">
                        <c:v>0.16125921693243786</c:v>
                      </c:pt>
                      <c:pt idx="120">
                        <c:v>0.12159609701482216</c:v>
                      </c:pt>
                      <c:pt idx="121">
                        <c:v>0.10555664344004489</c:v>
                      </c:pt>
                      <c:pt idx="122">
                        <c:v>8.6067120427187283E-2</c:v>
                      </c:pt>
                      <c:pt idx="123">
                        <c:v>7.1025959628886817E-2</c:v>
                      </c:pt>
                      <c:pt idx="124">
                        <c:v>6.1277828242769311E-2</c:v>
                      </c:pt>
                      <c:pt idx="125">
                        <c:v>4.8381127337732761E-2</c:v>
                      </c:pt>
                      <c:pt idx="126">
                        <c:v>3.9709145715392684E-2</c:v>
                      </c:pt>
                      <c:pt idx="127">
                        <c:v>3.082970246718706E-2</c:v>
                      </c:pt>
                      <c:pt idx="128">
                        <c:v>2.6603652888458885E-2</c:v>
                      </c:pt>
                      <c:pt idx="129">
                        <c:v>2.45030330741518E-2</c:v>
                      </c:pt>
                      <c:pt idx="130">
                        <c:v>2.1108590675022545E-2</c:v>
                      </c:pt>
                      <c:pt idx="131">
                        <c:v>1.4348721148071565E-2</c:v>
                      </c:pt>
                      <c:pt idx="132">
                        <c:v>1.7518223648745009E-2</c:v>
                      </c:pt>
                      <c:pt idx="133">
                        <c:v>1.3077072213955074E-2</c:v>
                      </c:pt>
                      <c:pt idx="134">
                        <c:v>1.3291191676220325E-2</c:v>
                      </c:pt>
                      <c:pt idx="135">
                        <c:v>9.9147941575872985E-3</c:v>
                      </c:pt>
                      <c:pt idx="136">
                        <c:v>8.4398466598019778E-3</c:v>
                      </c:pt>
                      <c:pt idx="137">
                        <c:v>6.5387962177409021E-3</c:v>
                      </c:pt>
                      <c:pt idx="138">
                        <c:v>6.5393727830207844E-3</c:v>
                      </c:pt>
                      <c:pt idx="139">
                        <c:v>5.9125872542145404E-3</c:v>
                      </c:pt>
                      <c:pt idx="140">
                        <c:v>6.9748709981756907E-3</c:v>
                      </c:pt>
                      <c:pt idx="141">
                        <c:v>4.8637053369375216E-3</c:v>
                      </c:pt>
                      <c:pt idx="142">
                        <c:v>5.9215974575029156E-3</c:v>
                      </c:pt>
                      <c:pt idx="143">
                        <c:v>4.2303433816256644E-3</c:v>
                      </c:pt>
                      <c:pt idx="144">
                        <c:v>3.8086028933744594E-3</c:v>
                      </c:pt>
                      <c:pt idx="145">
                        <c:v>3.3895400277666886E-3</c:v>
                      </c:pt>
                      <c:pt idx="146">
                        <c:v>3.599924698045728E-3</c:v>
                      </c:pt>
                      <c:pt idx="147">
                        <c:v>2.7538004723699867E-3</c:v>
                      </c:pt>
                      <c:pt idx="148">
                        <c:v>1.9080287326230787E-3</c:v>
                      </c:pt>
                      <c:pt idx="149">
                        <c:v>2.756636262523717E-3</c:v>
                      </c:pt>
                      <c:pt idx="150">
                        <c:v>2.5439562246188695E-3</c:v>
                      </c:pt>
                      <c:pt idx="151">
                        <c:v>1.9084034212160175E-3</c:v>
                      </c:pt>
                      <c:pt idx="152">
                        <c:v>1.0596508175047109E-3</c:v>
                      </c:pt>
                      <c:pt idx="153">
                        <c:v>1.4830952460504804E-3</c:v>
                      </c:pt>
                      <c:pt idx="154">
                        <c:v>1.6949717054135784E-3</c:v>
                      </c:pt>
                      <c:pt idx="155">
                        <c:v>2.7536986833422749E-3</c:v>
                      </c:pt>
                      <c:pt idx="156">
                        <c:v>1.6939803708754038E-3</c:v>
                      </c:pt>
                      <c:pt idx="157">
                        <c:v>1.2714849972081368E-3</c:v>
                      </c:pt>
                      <c:pt idx="158">
                        <c:v>1.6968002843158556E-3</c:v>
                      </c:pt>
                      <c:pt idx="159">
                        <c:v>1.4852345828300687E-3</c:v>
                      </c:pt>
                      <c:pt idx="160">
                        <c:v>1.6986033467539276E-3</c:v>
                      </c:pt>
                      <c:pt idx="161">
                        <c:v>1.6990447609307035E-3</c:v>
                      </c:pt>
                      <c:pt idx="162">
                        <c:v>4.2490854693344356E-3</c:v>
                      </c:pt>
                      <c:pt idx="163">
                        <c:v>1.7005030279263196E-3</c:v>
                      </c:pt>
                      <c:pt idx="164">
                        <c:v>8.5042478079982368E-4</c:v>
                      </c:pt>
                      <c:pt idx="165">
                        <c:v>1.7005070763307251E-3</c:v>
                      </c:pt>
                      <c:pt idx="166">
                        <c:v>1.0625449217429291E-3</c:v>
                      </c:pt>
                      <c:pt idx="167">
                        <c:v>1.2752252031768495E-3</c:v>
                      </c:pt>
                      <c:pt idx="168">
                        <c:v>4.2489389602740139E-4</c:v>
                      </c:pt>
                      <c:pt idx="169">
                        <c:v>4.2501217925526173E-4</c:v>
                      </c:pt>
                      <c:pt idx="170">
                        <c:v>1.2753733129282107E-3</c:v>
                      </c:pt>
                      <c:pt idx="171">
                        <c:v>8.5074916120386453E-4</c:v>
                      </c:pt>
                      <c:pt idx="172">
                        <c:v>2.7637382238177256E-3</c:v>
                      </c:pt>
                      <c:pt idx="173">
                        <c:v>8.502213508775943E-4</c:v>
                      </c:pt>
                      <c:pt idx="174">
                        <c:v>6.3752692594971742E-4</c:v>
                      </c:pt>
                      <c:pt idx="175">
                        <c:v>8.4986060798772941E-4</c:v>
                      </c:pt>
                      <c:pt idx="176">
                        <c:v>2.1244821176497834E-4</c:v>
                      </c:pt>
                      <c:pt idx="177">
                        <c:v>8.4923387533633111E-4</c:v>
                      </c:pt>
                      <c:pt idx="178">
                        <c:v>4.8830878371538614E-3</c:v>
                      </c:pt>
                      <c:pt idx="179">
                        <c:v>8.4930225042802187E-4</c:v>
                      </c:pt>
                      <c:pt idx="180">
                        <c:v>4.2474410495002091E-4</c:v>
                      </c:pt>
                      <c:pt idx="181">
                        <c:v>8.4972955551220516E-4</c:v>
                      </c:pt>
                      <c:pt idx="182">
                        <c:v>2.1237625605423645E-4</c:v>
                      </c:pt>
                      <c:pt idx="183">
                        <c:v>4.2465019652386451E-4</c:v>
                      </c:pt>
                      <c:pt idx="184">
                        <c:v>6.3689828159111544E-4</c:v>
                      </c:pt>
                      <c:pt idx="185">
                        <c:v>8.5018294980624006E-4</c:v>
                      </c:pt>
                      <c:pt idx="186">
                        <c:v>0</c:v>
                      </c:pt>
                      <c:pt idx="187">
                        <c:v>4.2513472147330609E-4</c:v>
                      </c:pt>
                      <c:pt idx="188">
                        <c:v>2.1268572967443833E-4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2.1285239816433538E-4</c:v>
                      </c:pt>
                      <c:pt idx="193">
                        <c:v>0</c:v>
                      </c:pt>
                      <c:pt idx="194">
                        <c:v>4.2594509069425197E-4</c:v>
                      </c:pt>
                      <c:pt idx="195">
                        <c:v>1.2776626745670512E-3</c:v>
                      </c:pt>
                      <c:pt idx="196">
                        <c:v>2.1279730203663827E-4</c:v>
                      </c:pt>
                      <c:pt idx="197">
                        <c:v>2.1260645284821531E-4</c:v>
                      </c:pt>
                      <c:pt idx="198">
                        <c:v>4.2506513007322408E-4</c:v>
                      </c:pt>
                      <c:pt idx="199">
                        <c:v>0</c:v>
                      </c:pt>
                      <c:pt idx="200">
                        <c:v>4.2521347523614126E-4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74-4AF4-895F-5CA5478310C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'θ-scan2_thermo'!$AC$2</c15:sqref>
                        </c15:formulaRef>
                      </c:ext>
                    </c:extLst>
                    <c:strCache>
                      <c:ptCount val="1"/>
                      <c:pt idx="0">
                        <c:v>Si_TEOS-2θ-scan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'θ-scan2_thermo'!$AA$5:$AA$205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68.587100000000007</c:v>
                      </c:pt>
                      <c:pt idx="1">
                        <c:v>68.597099999999998</c:v>
                      </c:pt>
                      <c:pt idx="2">
                        <c:v>68.607100000000003</c:v>
                      </c:pt>
                      <c:pt idx="3">
                        <c:v>68.617099999999994</c:v>
                      </c:pt>
                      <c:pt idx="4">
                        <c:v>68.627099999999999</c:v>
                      </c:pt>
                      <c:pt idx="5">
                        <c:v>68.637100000000004</c:v>
                      </c:pt>
                      <c:pt idx="6">
                        <c:v>68.647099999999995</c:v>
                      </c:pt>
                      <c:pt idx="7">
                        <c:v>68.6571</c:v>
                      </c:pt>
                      <c:pt idx="8">
                        <c:v>68.667100000000005</c:v>
                      </c:pt>
                      <c:pt idx="9">
                        <c:v>68.677099999999996</c:v>
                      </c:pt>
                      <c:pt idx="10">
                        <c:v>68.687100000000001</c:v>
                      </c:pt>
                      <c:pt idx="11">
                        <c:v>68.697100000000006</c:v>
                      </c:pt>
                      <c:pt idx="12">
                        <c:v>68.707099999999997</c:v>
                      </c:pt>
                      <c:pt idx="13">
                        <c:v>68.717100000000002</c:v>
                      </c:pt>
                      <c:pt idx="14">
                        <c:v>68.727099999999993</c:v>
                      </c:pt>
                      <c:pt idx="15">
                        <c:v>68.737099999999998</c:v>
                      </c:pt>
                      <c:pt idx="16">
                        <c:v>68.747100000000003</c:v>
                      </c:pt>
                      <c:pt idx="17">
                        <c:v>68.757099999999994</c:v>
                      </c:pt>
                      <c:pt idx="18">
                        <c:v>68.767099999999999</c:v>
                      </c:pt>
                      <c:pt idx="19">
                        <c:v>68.777100000000004</c:v>
                      </c:pt>
                      <c:pt idx="20">
                        <c:v>68.787099999999995</c:v>
                      </c:pt>
                      <c:pt idx="21">
                        <c:v>68.7971</c:v>
                      </c:pt>
                      <c:pt idx="22">
                        <c:v>68.807100000000005</c:v>
                      </c:pt>
                      <c:pt idx="23">
                        <c:v>68.817099999999996</c:v>
                      </c:pt>
                      <c:pt idx="24">
                        <c:v>68.827100000000002</c:v>
                      </c:pt>
                      <c:pt idx="25">
                        <c:v>68.837100000000007</c:v>
                      </c:pt>
                      <c:pt idx="26">
                        <c:v>68.847099999999998</c:v>
                      </c:pt>
                      <c:pt idx="27">
                        <c:v>68.857100000000003</c:v>
                      </c:pt>
                      <c:pt idx="28">
                        <c:v>68.867099999999994</c:v>
                      </c:pt>
                      <c:pt idx="29">
                        <c:v>68.877099999999999</c:v>
                      </c:pt>
                      <c:pt idx="30">
                        <c:v>68.887100000000004</c:v>
                      </c:pt>
                      <c:pt idx="31">
                        <c:v>68.897099999999995</c:v>
                      </c:pt>
                      <c:pt idx="32">
                        <c:v>68.9071</c:v>
                      </c:pt>
                      <c:pt idx="33">
                        <c:v>68.917100000000005</c:v>
                      </c:pt>
                      <c:pt idx="34">
                        <c:v>68.927099999999996</c:v>
                      </c:pt>
                      <c:pt idx="35">
                        <c:v>68.937100000000001</c:v>
                      </c:pt>
                      <c:pt idx="36">
                        <c:v>68.947100000000006</c:v>
                      </c:pt>
                      <c:pt idx="37">
                        <c:v>68.957099999999997</c:v>
                      </c:pt>
                      <c:pt idx="38">
                        <c:v>68.967100000000002</c:v>
                      </c:pt>
                      <c:pt idx="39">
                        <c:v>68.977099999999993</c:v>
                      </c:pt>
                      <c:pt idx="40">
                        <c:v>68.987099999999998</c:v>
                      </c:pt>
                      <c:pt idx="41">
                        <c:v>68.997100000000003</c:v>
                      </c:pt>
                      <c:pt idx="42">
                        <c:v>69.007099999999994</c:v>
                      </c:pt>
                      <c:pt idx="43">
                        <c:v>69.017099999999999</c:v>
                      </c:pt>
                      <c:pt idx="44">
                        <c:v>69.027100000000004</c:v>
                      </c:pt>
                      <c:pt idx="45">
                        <c:v>69.037099999999995</c:v>
                      </c:pt>
                      <c:pt idx="46">
                        <c:v>69.0471</c:v>
                      </c:pt>
                      <c:pt idx="47">
                        <c:v>69.057100000000005</c:v>
                      </c:pt>
                      <c:pt idx="48">
                        <c:v>69.067099999999996</c:v>
                      </c:pt>
                      <c:pt idx="49">
                        <c:v>69.077100000000002</c:v>
                      </c:pt>
                      <c:pt idx="50">
                        <c:v>69.087100000000007</c:v>
                      </c:pt>
                      <c:pt idx="51">
                        <c:v>69.097099999999998</c:v>
                      </c:pt>
                      <c:pt idx="52">
                        <c:v>69.107100000000003</c:v>
                      </c:pt>
                      <c:pt idx="53">
                        <c:v>69.117099999999994</c:v>
                      </c:pt>
                      <c:pt idx="54">
                        <c:v>69.127099999999999</c:v>
                      </c:pt>
                      <c:pt idx="55">
                        <c:v>69.137100000000004</c:v>
                      </c:pt>
                      <c:pt idx="56">
                        <c:v>69.147099999999995</c:v>
                      </c:pt>
                      <c:pt idx="57">
                        <c:v>69.1571</c:v>
                      </c:pt>
                      <c:pt idx="58">
                        <c:v>69.167100000000005</c:v>
                      </c:pt>
                      <c:pt idx="59">
                        <c:v>69.177099999999996</c:v>
                      </c:pt>
                      <c:pt idx="60">
                        <c:v>69.187100000000001</c:v>
                      </c:pt>
                      <c:pt idx="61">
                        <c:v>69.197100000000006</c:v>
                      </c:pt>
                      <c:pt idx="62">
                        <c:v>69.207099999999997</c:v>
                      </c:pt>
                      <c:pt idx="63">
                        <c:v>69.217100000000002</c:v>
                      </c:pt>
                      <c:pt idx="64">
                        <c:v>69.227099999999993</c:v>
                      </c:pt>
                      <c:pt idx="65">
                        <c:v>69.237099999999998</c:v>
                      </c:pt>
                      <c:pt idx="66">
                        <c:v>69.247100000000003</c:v>
                      </c:pt>
                      <c:pt idx="67">
                        <c:v>69.257099999999994</c:v>
                      </c:pt>
                      <c:pt idx="68">
                        <c:v>69.267099999999999</c:v>
                      </c:pt>
                      <c:pt idx="69">
                        <c:v>69.277100000000004</c:v>
                      </c:pt>
                      <c:pt idx="70">
                        <c:v>69.287099999999995</c:v>
                      </c:pt>
                      <c:pt idx="71">
                        <c:v>69.2971</c:v>
                      </c:pt>
                      <c:pt idx="72">
                        <c:v>69.307100000000005</c:v>
                      </c:pt>
                      <c:pt idx="73">
                        <c:v>69.317099999999996</c:v>
                      </c:pt>
                      <c:pt idx="74">
                        <c:v>69.327100000000002</c:v>
                      </c:pt>
                      <c:pt idx="75">
                        <c:v>69.337100000000007</c:v>
                      </c:pt>
                      <c:pt idx="76">
                        <c:v>69.347099999999998</c:v>
                      </c:pt>
                      <c:pt idx="77">
                        <c:v>69.357100000000003</c:v>
                      </c:pt>
                      <c:pt idx="78">
                        <c:v>69.367099999999994</c:v>
                      </c:pt>
                      <c:pt idx="79">
                        <c:v>69.377099999999999</c:v>
                      </c:pt>
                      <c:pt idx="80">
                        <c:v>69.387100000000004</c:v>
                      </c:pt>
                      <c:pt idx="81">
                        <c:v>69.397099999999995</c:v>
                      </c:pt>
                      <c:pt idx="82">
                        <c:v>69.4071</c:v>
                      </c:pt>
                      <c:pt idx="83">
                        <c:v>69.417100000000005</c:v>
                      </c:pt>
                      <c:pt idx="84">
                        <c:v>69.427099999999996</c:v>
                      </c:pt>
                      <c:pt idx="85">
                        <c:v>69.437100000000001</c:v>
                      </c:pt>
                      <c:pt idx="86">
                        <c:v>69.447100000000006</c:v>
                      </c:pt>
                      <c:pt idx="87">
                        <c:v>69.457099999999997</c:v>
                      </c:pt>
                      <c:pt idx="88">
                        <c:v>69.467100000000002</c:v>
                      </c:pt>
                      <c:pt idx="89">
                        <c:v>69.477099999999993</c:v>
                      </c:pt>
                      <c:pt idx="90">
                        <c:v>69.487099999999998</c:v>
                      </c:pt>
                      <c:pt idx="91">
                        <c:v>69.497100000000003</c:v>
                      </c:pt>
                      <c:pt idx="92">
                        <c:v>69.507099999999994</c:v>
                      </c:pt>
                      <c:pt idx="93">
                        <c:v>69.517099999999999</c:v>
                      </c:pt>
                      <c:pt idx="94">
                        <c:v>69.527100000000004</c:v>
                      </c:pt>
                      <c:pt idx="95">
                        <c:v>69.537099999999995</c:v>
                      </c:pt>
                      <c:pt idx="96">
                        <c:v>69.5471</c:v>
                      </c:pt>
                      <c:pt idx="97">
                        <c:v>69.557100000000005</c:v>
                      </c:pt>
                      <c:pt idx="98">
                        <c:v>69.567099999999996</c:v>
                      </c:pt>
                      <c:pt idx="99">
                        <c:v>69.577100000000002</c:v>
                      </c:pt>
                      <c:pt idx="100">
                        <c:v>69.587100000000007</c:v>
                      </c:pt>
                      <c:pt idx="101">
                        <c:v>69.597099999999998</c:v>
                      </c:pt>
                      <c:pt idx="102">
                        <c:v>69.607100000000003</c:v>
                      </c:pt>
                      <c:pt idx="103">
                        <c:v>69.617099999999994</c:v>
                      </c:pt>
                      <c:pt idx="104">
                        <c:v>69.627099999999999</c:v>
                      </c:pt>
                      <c:pt idx="105">
                        <c:v>69.637100000000004</c:v>
                      </c:pt>
                      <c:pt idx="106">
                        <c:v>69.647099999999995</c:v>
                      </c:pt>
                      <c:pt idx="107">
                        <c:v>69.6571</c:v>
                      </c:pt>
                      <c:pt idx="108">
                        <c:v>69.667100000000005</c:v>
                      </c:pt>
                      <c:pt idx="109">
                        <c:v>69.677099999999996</c:v>
                      </c:pt>
                      <c:pt idx="110">
                        <c:v>69.687100000000001</c:v>
                      </c:pt>
                      <c:pt idx="111">
                        <c:v>69.697100000000006</c:v>
                      </c:pt>
                      <c:pt idx="112">
                        <c:v>69.707099999999997</c:v>
                      </c:pt>
                      <c:pt idx="113">
                        <c:v>69.717100000000002</c:v>
                      </c:pt>
                      <c:pt idx="114">
                        <c:v>69.727099999999993</c:v>
                      </c:pt>
                      <c:pt idx="115">
                        <c:v>69.737099999999998</c:v>
                      </c:pt>
                      <c:pt idx="116">
                        <c:v>69.747100000000003</c:v>
                      </c:pt>
                      <c:pt idx="117">
                        <c:v>69.757099999999994</c:v>
                      </c:pt>
                      <c:pt idx="118">
                        <c:v>69.767099999999999</c:v>
                      </c:pt>
                      <c:pt idx="119">
                        <c:v>69.777100000000004</c:v>
                      </c:pt>
                      <c:pt idx="120">
                        <c:v>69.787099999999995</c:v>
                      </c:pt>
                      <c:pt idx="121">
                        <c:v>69.7971</c:v>
                      </c:pt>
                      <c:pt idx="122">
                        <c:v>69.807100000000005</c:v>
                      </c:pt>
                      <c:pt idx="123">
                        <c:v>69.817099999999996</c:v>
                      </c:pt>
                      <c:pt idx="124">
                        <c:v>69.827100000000002</c:v>
                      </c:pt>
                      <c:pt idx="125">
                        <c:v>69.837100000000007</c:v>
                      </c:pt>
                      <c:pt idx="126">
                        <c:v>69.847099999999998</c:v>
                      </c:pt>
                      <c:pt idx="127">
                        <c:v>69.857100000000003</c:v>
                      </c:pt>
                      <c:pt idx="128">
                        <c:v>69.867099999999994</c:v>
                      </c:pt>
                      <c:pt idx="129">
                        <c:v>69.877099999999999</c:v>
                      </c:pt>
                      <c:pt idx="130">
                        <c:v>69.887100000000004</c:v>
                      </c:pt>
                      <c:pt idx="131">
                        <c:v>69.897099999999995</c:v>
                      </c:pt>
                      <c:pt idx="132">
                        <c:v>69.9071</c:v>
                      </c:pt>
                      <c:pt idx="133">
                        <c:v>69.917100000000005</c:v>
                      </c:pt>
                      <c:pt idx="134">
                        <c:v>69.927099999999996</c:v>
                      </c:pt>
                      <c:pt idx="135">
                        <c:v>69.937100000000001</c:v>
                      </c:pt>
                      <c:pt idx="136">
                        <c:v>69.947100000000006</c:v>
                      </c:pt>
                      <c:pt idx="137">
                        <c:v>69.957099999999997</c:v>
                      </c:pt>
                      <c:pt idx="138">
                        <c:v>69.967100000000002</c:v>
                      </c:pt>
                      <c:pt idx="139">
                        <c:v>69.977099999999993</c:v>
                      </c:pt>
                      <c:pt idx="140">
                        <c:v>69.987099999999998</c:v>
                      </c:pt>
                      <c:pt idx="141">
                        <c:v>69.997100000000003</c:v>
                      </c:pt>
                      <c:pt idx="142">
                        <c:v>70.007099999999994</c:v>
                      </c:pt>
                      <c:pt idx="143">
                        <c:v>70.017099999999999</c:v>
                      </c:pt>
                      <c:pt idx="144">
                        <c:v>70.027100000000004</c:v>
                      </c:pt>
                      <c:pt idx="145">
                        <c:v>70.037099999999995</c:v>
                      </c:pt>
                      <c:pt idx="146">
                        <c:v>70.0471</c:v>
                      </c:pt>
                      <c:pt idx="147">
                        <c:v>70.057100000000005</c:v>
                      </c:pt>
                      <c:pt idx="148">
                        <c:v>70.067099999999996</c:v>
                      </c:pt>
                      <c:pt idx="149">
                        <c:v>70.077100000000002</c:v>
                      </c:pt>
                      <c:pt idx="150">
                        <c:v>70.087100000000007</c:v>
                      </c:pt>
                      <c:pt idx="151">
                        <c:v>70.097099999999998</c:v>
                      </c:pt>
                      <c:pt idx="152">
                        <c:v>70.107100000000003</c:v>
                      </c:pt>
                      <c:pt idx="153">
                        <c:v>70.117099999999994</c:v>
                      </c:pt>
                      <c:pt idx="154">
                        <c:v>70.127099999999999</c:v>
                      </c:pt>
                      <c:pt idx="155">
                        <c:v>70.137100000000004</c:v>
                      </c:pt>
                      <c:pt idx="156">
                        <c:v>70.147099999999995</c:v>
                      </c:pt>
                      <c:pt idx="157">
                        <c:v>70.1571</c:v>
                      </c:pt>
                      <c:pt idx="158">
                        <c:v>70.167100000000005</c:v>
                      </c:pt>
                      <c:pt idx="159">
                        <c:v>70.177099999999996</c:v>
                      </c:pt>
                      <c:pt idx="160">
                        <c:v>70.187100000000001</c:v>
                      </c:pt>
                      <c:pt idx="161">
                        <c:v>70.197100000000006</c:v>
                      </c:pt>
                      <c:pt idx="162">
                        <c:v>70.207099999999997</c:v>
                      </c:pt>
                      <c:pt idx="163">
                        <c:v>70.217100000000002</c:v>
                      </c:pt>
                      <c:pt idx="164">
                        <c:v>70.227099999999993</c:v>
                      </c:pt>
                      <c:pt idx="165">
                        <c:v>70.237099999999998</c:v>
                      </c:pt>
                      <c:pt idx="166">
                        <c:v>70.247100000000003</c:v>
                      </c:pt>
                      <c:pt idx="167">
                        <c:v>70.257099999999994</c:v>
                      </c:pt>
                      <c:pt idx="168">
                        <c:v>70.267099999999999</c:v>
                      </c:pt>
                      <c:pt idx="169">
                        <c:v>70.277100000000004</c:v>
                      </c:pt>
                      <c:pt idx="170">
                        <c:v>70.287099999999995</c:v>
                      </c:pt>
                      <c:pt idx="171">
                        <c:v>70.2971</c:v>
                      </c:pt>
                      <c:pt idx="172">
                        <c:v>70.307100000000005</c:v>
                      </c:pt>
                      <c:pt idx="173">
                        <c:v>70.317099999999996</c:v>
                      </c:pt>
                      <c:pt idx="174">
                        <c:v>70.327100000000002</c:v>
                      </c:pt>
                      <c:pt idx="175">
                        <c:v>70.337100000000007</c:v>
                      </c:pt>
                      <c:pt idx="176">
                        <c:v>70.347099999999998</c:v>
                      </c:pt>
                      <c:pt idx="177">
                        <c:v>70.357100000000003</c:v>
                      </c:pt>
                      <c:pt idx="178">
                        <c:v>70.367099999999994</c:v>
                      </c:pt>
                      <c:pt idx="179">
                        <c:v>70.377099999999999</c:v>
                      </c:pt>
                      <c:pt idx="180">
                        <c:v>70.387100000000004</c:v>
                      </c:pt>
                      <c:pt idx="181">
                        <c:v>70.397099999999995</c:v>
                      </c:pt>
                      <c:pt idx="182">
                        <c:v>70.4071</c:v>
                      </c:pt>
                      <c:pt idx="183">
                        <c:v>70.417100000000005</c:v>
                      </c:pt>
                      <c:pt idx="184">
                        <c:v>70.427099999999996</c:v>
                      </c:pt>
                      <c:pt idx="185">
                        <c:v>70.437100000000001</c:v>
                      </c:pt>
                      <c:pt idx="186">
                        <c:v>70.447100000000006</c:v>
                      </c:pt>
                      <c:pt idx="187">
                        <c:v>70.457099999999997</c:v>
                      </c:pt>
                      <c:pt idx="188">
                        <c:v>70.467100000000002</c:v>
                      </c:pt>
                      <c:pt idx="189">
                        <c:v>70.477099999999993</c:v>
                      </c:pt>
                      <c:pt idx="190">
                        <c:v>70.487099999999998</c:v>
                      </c:pt>
                      <c:pt idx="191">
                        <c:v>70.497100000000003</c:v>
                      </c:pt>
                      <c:pt idx="192">
                        <c:v>70.507099999999994</c:v>
                      </c:pt>
                      <c:pt idx="193">
                        <c:v>70.517099999999999</c:v>
                      </c:pt>
                      <c:pt idx="194">
                        <c:v>70.527100000000004</c:v>
                      </c:pt>
                      <c:pt idx="195">
                        <c:v>70.537099999999995</c:v>
                      </c:pt>
                      <c:pt idx="196">
                        <c:v>70.5471</c:v>
                      </c:pt>
                      <c:pt idx="197">
                        <c:v>70.557100000000005</c:v>
                      </c:pt>
                      <c:pt idx="198">
                        <c:v>70.567099999999996</c:v>
                      </c:pt>
                      <c:pt idx="199">
                        <c:v>70.577100000000002</c:v>
                      </c:pt>
                      <c:pt idx="200">
                        <c:v>70.587100000000007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'θ-scan2_thermo'!$AE$5:$AE$205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1.5223430528788186E-2</c:v>
                      </c:pt>
                      <c:pt idx="1">
                        <c:v>1.8655821511432233E-2</c:v>
                      </c:pt>
                      <c:pt idx="2">
                        <c:v>1.6863628767664313E-2</c:v>
                      </c:pt>
                      <c:pt idx="3">
                        <c:v>1.8668410631293667E-2</c:v>
                      </c:pt>
                      <c:pt idx="4">
                        <c:v>1.6151918194626164E-2</c:v>
                      </c:pt>
                      <c:pt idx="5">
                        <c:v>1.8127009349821685E-2</c:v>
                      </c:pt>
                      <c:pt idx="6">
                        <c:v>1.9744074435304213E-2</c:v>
                      </c:pt>
                      <c:pt idx="7">
                        <c:v>2.260766780680485E-2</c:v>
                      </c:pt>
                      <c:pt idx="8">
                        <c:v>2.6188757948288038E-2</c:v>
                      </c:pt>
                      <c:pt idx="9">
                        <c:v>2.3669420394530148E-2</c:v>
                      </c:pt>
                      <c:pt idx="10">
                        <c:v>2.2068295561651307E-2</c:v>
                      </c:pt>
                      <c:pt idx="11">
                        <c:v>2.00864420031606E-2</c:v>
                      </c:pt>
                      <c:pt idx="12">
                        <c:v>2.4751076806357797E-2</c:v>
                      </c:pt>
                      <c:pt idx="13">
                        <c:v>2.3849954734399822E-2</c:v>
                      </c:pt>
                      <c:pt idx="14">
                        <c:v>2.3666355167231305E-2</c:v>
                      </c:pt>
                      <c:pt idx="15">
                        <c:v>2.6887478108887513E-2</c:v>
                      </c:pt>
                      <c:pt idx="16">
                        <c:v>2.384225205953586E-2</c:v>
                      </c:pt>
                      <c:pt idx="17">
                        <c:v>2.5862552959414219E-2</c:v>
                      </c:pt>
                      <c:pt idx="18">
                        <c:v>2.7130554835118541E-2</c:v>
                      </c:pt>
                      <c:pt idx="19">
                        <c:v>2.6422576700561081E-2</c:v>
                      </c:pt>
                      <c:pt idx="20">
                        <c:v>2.932418159807219E-2</c:v>
                      </c:pt>
                      <c:pt idx="21">
                        <c:v>3.1311065575304477E-2</c:v>
                      </c:pt>
                      <c:pt idx="22">
                        <c:v>3.3467350278680467E-2</c:v>
                      </c:pt>
                      <c:pt idx="23">
                        <c:v>2.7536485573419235E-2</c:v>
                      </c:pt>
                      <c:pt idx="24">
                        <c:v>2.5895535969259122E-2</c:v>
                      </c:pt>
                      <c:pt idx="25">
                        <c:v>2.7896548583216187E-2</c:v>
                      </c:pt>
                      <c:pt idx="26">
                        <c:v>3.4402566914208448E-2</c:v>
                      </c:pt>
                      <c:pt idx="27">
                        <c:v>3.3525179671982076E-2</c:v>
                      </c:pt>
                      <c:pt idx="28">
                        <c:v>3.048990658704483E-2</c:v>
                      </c:pt>
                      <c:pt idx="29">
                        <c:v>3.7174859386094376E-2</c:v>
                      </c:pt>
                      <c:pt idx="30">
                        <c:v>3.7357868874710425E-2</c:v>
                      </c:pt>
                      <c:pt idx="31">
                        <c:v>4.2601054303888844E-2</c:v>
                      </c:pt>
                      <c:pt idx="32">
                        <c:v>3.7002980924042778E-2</c:v>
                      </c:pt>
                      <c:pt idx="33">
                        <c:v>3.627621380572351E-2</c:v>
                      </c:pt>
                      <c:pt idx="34">
                        <c:v>3.8254722134931078E-2</c:v>
                      </c:pt>
                      <c:pt idx="35">
                        <c:v>3.9901012268821028E-2</c:v>
                      </c:pt>
                      <c:pt idx="36">
                        <c:v>4.1882653434347793E-2</c:v>
                      </c:pt>
                      <c:pt idx="37">
                        <c:v>4.5121443372164428E-2</c:v>
                      </c:pt>
                      <c:pt idx="38">
                        <c:v>4.9308444549764227E-2</c:v>
                      </c:pt>
                      <c:pt idx="39">
                        <c:v>4.9318219870234915E-2</c:v>
                      </c:pt>
                      <c:pt idx="40">
                        <c:v>4.4436152907186534E-2</c:v>
                      </c:pt>
                      <c:pt idx="41">
                        <c:v>4.8596725296116652E-2</c:v>
                      </c:pt>
                      <c:pt idx="42">
                        <c:v>5.6916932285040286E-2</c:v>
                      </c:pt>
                      <c:pt idx="43">
                        <c:v>5.1832362508969533E-2</c:v>
                      </c:pt>
                      <c:pt idx="44">
                        <c:v>5.0411197270090927E-2</c:v>
                      </c:pt>
                      <c:pt idx="45">
                        <c:v>6.1406644534869138E-2</c:v>
                      </c:pt>
                      <c:pt idx="46">
                        <c:v>5.9807653887216532E-2</c:v>
                      </c:pt>
                      <c:pt idx="47">
                        <c:v>7.1185890262758511E-2</c:v>
                      </c:pt>
                      <c:pt idx="48">
                        <c:v>7.012963173231361E-2</c:v>
                      </c:pt>
                      <c:pt idx="49">
                        <c:v>6.8677063602985269E-2</c:v>
                      </c:pt>
                      <c:pt idx="50">
                        <c:v>7.5560268090000382E-2</c:v>
                      </c:pt>
                      <c:pt idx="51">
                        <c:v>7.8946366259544293E-2</c:v>
                      </c:pt>
                      <c:pt idx="52">
                        <c:v>8.6197372031869404E-2</c:v>
                      </c:pt>
                      <c:pt idx="53">
                        <c:v>8.5337863086391352E-2</c:v>
                      </c:pt>
                      <c:pt idx="54">
                        <c:v>8.9267727793713059E-2</c:v>
                      </c:pt>
                      <c:pt idx="55">
                        <c:v>9.6860979610384298E-2</c:v>
                      </c:pt>
                      <c:pt idx="56">
                        <c:v>9.9435648457377943E-2</c:v>
                      </c:pt>
                      <c:pt idx="57">
                        <c:v>0.11824125142201378</c:v>
                      </c:pt>
                      <c:pt idx="58">
                        <c:v>0.12210544077965715</c:v>
                      </c:pt>
                      <c:pt idx="59">
                        <c:v>0.13059577812066706</c:v>
                      </c:pt>
                      <c:pt idx="60">
                        <c:v>0.12232407490880252</c:v>
                      </c:pt>
                      <c:pt idx="61">
                        <c:v>0.14607260717231343</c:v>
                      </c:pt>
                      <c:pt idx="62">
                        <c:v>0.14987978934938648</c:v>
                      </c:pt>
                      <c:pt idx="63">
                        <c:v>0.15713066089680949</c:v>
                      </c:pt>
                      <c:pt idx="64">
                        <c:v>0.16774577384246958</c:v>
                      </c:pt>
                      <c:pt idx="65">
                        <c:v>0.18095722354002308</c:v>
                      </c:pt>
                      <c:pt idx="66">
                        <c:v>0.19907713991230075</c:v>
                      </c:pt>
                      <c:pt idx="67">
                        <c:v>0.20946582015681078</c:v>
                      </c:pt>
                      <c:pt idx="68">
                        <c:v>0.21770004215991334</c:v>
                      </c:pt>
                      <c:pt idx="69">
                        <c:v>0.23766379532451914</c:v>
                      </c:pt>
                      <c:pt idx="70">
                        <c:v>0.25427707993852</c:v>
                      </c:pt>
                      <c:pt idx="71">
                        <c:v>0.26834350090238196</c:v>
                      </c:pt>
                      <c:pt idx="72">
                        <c:v>0.28580231769550035</c:v>
                      </c:pt>
                      <c:pt idx="73">
                        <c:v>0.31370618213701151</c:v>
                      </c:pt>
                      <c:pt idx="74">
                        <c:v>0.32170981038833624</c:v>
                      </c:pt>
                      <c:pt idx="75">
                        <c:v>0.35909480035625829</c:v>
                      </c:pt>
                      <c:pt idx="76">
                        <c:v>0.38269102454853243</c:v>
                      </c:pt>
                      <c:pt idx="77">
                        <c:v>0.44258379148280225</c:v>
                      </c:pt>
                      <c:pt idx="78">
                        <c:v>0.48713392642327003</c:v>
                      </c:pt>
                      <c:pt idx="79">
                        <c:v>0.50896025618536245</c:v>
                      </c:pt>
                      <c:pt idx="80">
                        <c:v>0.57392589903996072</c:v>
                      </c:pt>
                      <c:pt idx="81">
                        <c:v>0.6708226851563529</c:v>
                      </c:pt>
                      <c:pt idx="82">
                        <c:v>0.73944563300326827</c:v>
                      </c:pt>
                      <c:pt idx="83">
                        <c:v>0.81504254416890376</c:v>
                      </c:pt>
                      <c:pt idx="84">
                        <c:v>0.91151563494959065</c:v>
                      </c:pt>
                      <c:pt idx="85">
                        <c:v>1.0360812013405063</c:v>
                      </c:pt>
                      <c:pt idx="86">
                        <c:v>1.2096273495274543</c:v>
                      </c:pt>
                      <c:pt idx="87">
                        <c:v>1.3977652880510352</c:v>
                      </c:pt>
                      <c:pt idx="88">
                        <c:v>1.6394620270429743</c:v>
                      </c:pt>
                      <c:pt idx="89">
                        <c:v>1.9991823935742132</c:v>
                      </c:pt>
                      <c:pt idx="90">
                        <c:v>2.4233062831701297</c:v>
                      </c:pt>
                      <c:pt idx="91">
                        <c:v>2.9847744675713948</c:v>
                      </c:pt>
                      <c:pt idx="92">
                        <c:v>3.8259673712609463</c:v>
                      </c:pt>
                      <c:pt idx="93">
                        <c:v>5.0423302908913632</c:v>
                      </c:pt>
                      <c:pt idx="94">
                        <c:v>7.126541114516014</c:v>
                      </c:pt>
                      <c:pt idx="95">
                        <c:v>10.658680216304107</c:v>
                      </c:pt>
                      <c:pt idx="96">
                        <c:v>17.606045599046499</c:v>
                      </c:pt>
                      <c:pt idx="97">
                        <c:v>35.691786032059909</c:v>
                      </c:pt>
                      <c:pt idx="98">
                        <c:v>121.66034240496381</c:v>
                      </c:pt>
                      <c:pt idx="99">
                        <c:v>7411.2050255298418</c:v>
                      </c:pt>
                      <c:pt idx="100">
                        <c:v>17653.435843421412</c:v>
                      </c:pt>
                      <c:pt idx="101">
                        <c:v>221.58295233692692</c:v>
                      </c:pt>
                      <c:pt idx="102">
                        <c:v>46.897407303092884</c:v>
                      </c:pt>
                      <c:pt idx="103">
                        <c:v>21.190627937453559</c:v>
                      </c:pt>
                      <c:pt idx="104">
                        <c:v>12.037255382752328</c:v>
                      </c:pt>
                      <c:pt idx="105">
                        <c:v>7.7431707042528997</c:v>
                      </c:pt>
                      <c:pt idx="106">
                        <c:v>5.3895328340289428</c:v>
                      </c:pt>
                      <c:pt idx="107">
                        <c:v>3.8624342623135712</c:v>
                      </c:pt>
                      <c:pt idx="108">
                        <c:v>2.9655089724631312</c:v>
                      </c:pt>
                      <c:pt idx="109">
                        <c:v>2.3725077314066176</c:v>
                      </c:pt>
                      <c:pt idx="110">
                        <c:v>1.9323301752254955</c:v>
                      </c:pt>
                      <c:pt idx="111">
                        <c:v>1.5724132501392598</c:v>
                      </c:pt>
                      <c:pt idx="112">
                        <c:v>1.3392364260667102</c:v>
                      </c:pt>
                      <c:pt idx="113">
                        <c:v>1.1591277432674756</c:v>
                      </c:pt>
                      <c:pt idx="114">
                        <c:v>1.0357853926976237</c:v>
                      </c:pt>
                      <c:pt idx="115">
                        <c:v>0.89422902624020617</c:v>
                      </c:pt>
                      <c:pt idx="116">
                        <c:v>0.75629786791527842</c:v>
                      </c:pt>
                      <c:pt idx="117">
                        <c:v>0.67680544470718607</c:v>
                      </c:pt>
                      <c:pt idx="118">
                        <c:v>0.60166448937083772</c:v>
                      </c:pt>
                      <c:pt idx="119">
                        <c:v>0.55416957333145256</c:v>
                      </c:pt>
                      <c:pt idx="120">
                        <c:v>0.47964175732623993</c:v>
                      </c:pt>
                      <c:pt idx="121">
                        <c:v>0.43136893697838807</c:v>
                      </c:pt>
                      <c:pt idx="122">
                        <c:v>0.40819815588844227</c:v>
                      </c:pt>
                      <c:pt idx="123">
                        <c:v>0.36979820393657686</c:v>
                      </c:pt>
                      <c:pt idx="124">
                        <c:v>0.33543074483585716</c:v>
                      </c:pt>
                      <c:pt idx="125">
                        <c:v>0.32124786427797292</c:v>
                      </c:pt>
                      <c:pt idx="126">
                        <c:v>0.28090716261508986</c:v>
                      </c:pt>
                      <c:pt idx="127">
                        <c:v>0.26061359384297456</c:v>
                      </c:pt>
                      <c:pt idx="128">
                        <c:v>0.24401805916559907</c:v>
                      </c:pt>
                      <c:pt idx="129">
                        <c:v>0.22137524743715156</c:v>
                      </c:pt>
                      <c:pt idx="130">
                        <c:v>0.2051095119353353</c:v>
                      </c:pt>
                      <c:pt idx="131">
                        <c:v>0.19363273757287855</c:v>
                      </c:pt>
                      <c:pt idx="132">
                        <c:v>0.18058604265098702</c:v>
                      </c:pt>
                      <c:pt idx="133">
                        <c:v>0.16923691422621767</c:v>
                      </c:pt>
                      <c:pt idx="134">
                        <c:v>0.15651348226517575</c:v>
                      </c:pt>
                      <c:pt idx="135">
                        <c:v>0.13680459758552688</c:v>
                      </c:pt>
                      <c:pt idx="136">
                        <c:v>0.13719092006102765</c:v>
                      </c:pt>
                      <c:pt idx="137">
                        <c:v>0.12806492760105448</c:v>
                      </c:pt>
                      <c:pt idx="138">
                        <c:v>0.10776649726224612</c:v>
                      </c:pt>
                      <c:pt idx="139">
                        <c:v>0.12101100539256894</c:v>
                      </c:pt>
                      <c:pt idx="140">
                        <c:v>0.10304439824386721</c:v>
                      </c:pt>
                      <c:pt idx="141">
                        <c:v>0.10071605821227018</c:v>
                      </c:pt>
                      <c:pt idx="142">
                        <c:v>9.9761732373282563E-2</c:v>
                      </c:pt>
                      <c:pt idx="143">
                        <c:v>9.4275115252243677E-2</c:v>
                      </c:pt>
                      <c:pt idx="144">
                        <c:v>8.8423063092802956E-2</c:v>
                      </c:pt>
                      <c:pt idx="145">
                        <c:v>8.7529439098536138E-2</c:v>
                      </c:pt>
                      <c:pt idx="146">
                        <c:v>8.2686595794863413E-2</c:v>
                      </c:pt>
                      <c:pt idx="147">
                        <c:v>7.0833936352212246E-2</c:v>
                      </c:pt>
                      <c:pt idx="148">
                        <c:v>7.5985959479196272E-2</c:v>
                      </c:pt>
                      <c:pt idx="149">
                        <c:v>6.7904715444374777E-2</c:v>
                      </c:pt>
                      <c:pt idx="150">
                        <c:v>6.8297084701403596E-2</c:v>
                      </c:pt>
                      <c:pt idx="151">
                        <c:v>6.2784576125035532E-2</c:v>
                      </c:pt>
                      <c:pt idx="152">
                        <c:v>5.9660446412401411E-2</c:v>
                      </c:pt>
                      <c:pt idx="153">
                        <c:v>5.6912885166871596E-2</c:v>
                      </c:pt>
                      <c:pt idx="154">
                        <c:v>5.5279388435705692E-2</c:v>
                      </c:pt>
                      <c:pt idx="155">
                        <c:v>5.6036283383615826E-2</c:v>
                      </c:pt>
                      <c:pt idx="156">
                        <c:v>4.9057483105829254E-2</c:v>
                      </c:pt>
                      <c:pt idx="157">
                        <c:v>4.8332426917251259E-2</c:v>
                      </c:pt>
                      <c:pt idx="158">
                        <c:v>4.4690758086765203E-2</c:v>
                      </c:pt>
                      <c:pt idx="159">
                        <c:v>4.7993404021022944E-2</c:v>
                      </c:pt>
                      <c:pt idx="160">
                        <c:v>4.2521542109706309E-2</c:v>
                      </c:pt>
                      <c:pt idx="161">
                        <c:v>4.1431772805610612E-2</c:v>
                      </c:pt>
                      <c:pt idx="162">
                        <c:v>3.925837985252608E-2</c:v>
                      </c:pt>
                      <c:pt idx="163">
                        <c:v>4.0541644441376402E-2</c:v>
                      </c:pt>
                      <c:pt idx="164">
                        <c:v>3.7265893545624346E-2</c:v>
                      </c:pt>
                      <c:pt idx="165">
                        <c:v>3.5449377710052118E-2</c:v>
                      </c:pt>
                      <c:pt idx="166">
                        <c:v>2.8829375672142204E-2</c:v>
                      </c:pt>
                      <c:pt idx="167">
                        <c:v>3.3425107905247387E-2</c:v>
                      </c:pt>
                      <c:pt idx="168">
                        <c:v>3.3816062526781765E-2</c:v>
                      </c:pt>
                      <c:pt idx="169">
                        <c:v>2.941434062350607E-2</c:v>
                      </c:pt>
                      <c:pt idx="170">
                        <c:v>2.79479261002409E-2</c:v>
                      </c:pt>
                      <c:pt idx="171">
                        <c:v>3.1834744333236097E-2</c:v>
                      </c:pt>
                      <c:pt idx="172">
                        <c:v>2.8713111474237898E-2</c:v>
                      </c:pt>
                      <c:pt idx="173">
                        <c:v>2.5044848694493065E-2</c:v>
                      </c:pt>
                      <c:pt idx="174">
                        <c:v>2.5970764618174411E-2</c:v>
                      </c:pt>
                      <c:pt idx="175">
                        <c:v>2.4487085317884252E-2</c:v>
                      </c:pt>
                      <c:pt idx="176">
                        <c:v>2.5765926204252464E-2</c:v>
                      </c:pt>
                      <c:pt idx="177">
                        <c:v>2.1173170779352567E-2</c:v>
                      </c:pt>
                      <c:pt idx="178">
                        <c:v>2.1172522903652811E-2</c:v>
                      </c:pt>
                      <c:pt idx="179">
                        <c:v>2.2106579837424898E-2</c:v>
                      </c:pt>
                      <c:pt idx="180">
                        <c:v>2.4130644710407947E-2</c:v>
                      </c:pt>
                      <c:pt idx="181">
                        <c:v>1.8062667244401694E-2</c:v>
                      </c:pt>
                      <c:pt idx="182">
                        <c:v>2.0287361250586718E-2</c:v>
                      </c:pt>
                      <c:pt idx="183">
                        <c:v>1.5683516236959846E-2</c:v>
                      </c:pt>
                      <c:pt idx="184">
                        <c:v>1.8457418311434898E-2</c:v>
                      </c:pt>
                      <c:pt idx="185">
                        <c:v>1.9752341450862642E-2</c:v>
                      </c:pt>
                      <c:pt idx="186">
                        <c:v>1.6445826928700061E-2</c:v>
                      </c:pt>
                      <c:pt idx="187">
                        <c:v>1.4971063429567884E-2</c:v>
                      </c:pt>
                      <c:pt idx="188">
                        <c:v>1.5171028368157936E-2</c:v>
                      </c:pt>
                      <c:pt idx="189">
                        <c:v>1.8510563089848348E-2</c:v>
                      </c:pt>
                      <c:pt idx="190">
                        <c:v>1.4255785335569801E-2</c:v>
                      </c:pt>
                      <c:pt idx="191">
                        <c:v>1.5547852746212603E-2</c:v>
                      </c:pt>
                      <c:pt idx="192">
                        <c:v>1.2777779670782172E-2</c:v>
                      </c:pt>
                      <c:pt idx="193">
                        <c:v>1.2784860353657031E-2</c:v>
                      </c:pt>
                      <c:pt idx="194">
                        <c:v>1.3719373006113927E-2</c:v>
                      </c:pt>
                      <c:pt idx="195">
                        <c:v>1.4088197230905517E-2</c:v>
                      </c:pt>
                      <c:pt idx="196">
                        <c:v>9.6424737618090173E-3</c:v>
                      </c:pt>
                      <c:pt idx="197">
                        <c:v>8.8905071258248095E-3</c:v>
                      </c:pt>
                      <c:pt idx="198">
                        <c:v>1.0370515941686736E-2</c:v>
                      </c:pt>
                      <c:pt idx="199">
                        <c:v>8.6988819456593064E-3</c:v>
                      </c:pt>
                      <c:pt idx="200">
                        <c:v>7.584551563388814E-3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74-4AF4-895F-5CA5478310C7}"/>
                  </c:ext>
                </c:extLst>
              </c15:ser>
            </c15:filteredScatterSeries>
          </c:ext>
        </c:extLst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0285052902965046"/>
          <c:y val="0.14513973941332362"/>
          <c:w val="0.29678448567539883"/>
          <c:h val="0.20769084854591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三サンプル</a:t>
            </a:r>
            <a:r>
              <a:rPr lang="el-GR" altLang="ja-JP"/>
              <a:t>θ-</a:t>
            </a:r>
            <a:r>
              <a:rPr lang="en-US" altLang="ja-JP"/>
              <a:t>scan</a:t>
            </a:r>
            <a:r>
              <a:rPr lang="ja-JP" altLang="en-US"/>
              <a:t>比べ</a:t>
            </a:r>
            <a:r>
              <a:rPr lang="en-US" altLang="ja-JP"/>
              <a:t>(</a:t>
            </a:r>
            <a:r>
              <a:rPr lang="zh-CN" altLang="en-US"/>
              <a:t>非</a:t>
            </a:r>
            <a:r>
              <a:rPr lang="en-US" altLang="ja-JP"/>
              <a:t>90deg)</a:t>
            </a:r>
            <a:endParaRPr lang="zh-CN" altLang="en-US"/>
          </a:p>
        </c:rich>
      </c:tx>
      <c:layout>
        <c:manualLayout>
          <c:xMode val="edge"/>
          <c:yMode val="edge"/>
          <c:x val="0.44750274427911579"/>
          <c:y val="1.66753544825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'θ-scan2_thermo'!$C$1</c:f>
              <c:strCache>
                <c:ptCount val="1"/>
                <c:pt idx="0">
                  <c:v>Si_Thermo_2θ-scan</c:v>
                </c:pt>
              </c:strCache>
              <c:extLst xmlns:c15="http://schemas.microsoft.com/office/drawing/2012/chart"/>
            </c:strRef>
          </c:tx>
          <c:spPr>
            <a:ln w="22225" cap="sq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'θ-scan2_thermo'!$A$5:$A$205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  <c:extLst xmlns:c15="http://schemas.microsoft.com/office/drawing/2012/chart"/>
            </c:numRef>
          </c:xVal>
          <c:yVal>
            <c:numRef>
              <c:f>'θ-scan2_thermo'!$E$5:$E$205</c:f>
              <c:numCache>
                <c:formatCode>0.00E+00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8244.0829683961329</c:v>
                </c:pt>
                <c:pt idx="100">
                  <c:v>15416.675126191849</c:v>
                </c:pt>
                <c:pt idx="101">
                  <c:v>192.36328106592552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FDBD-4DB1-9EB0-4E5984FDA6F0}"/>
            </c:ext>
          </c:extLst>
        </c:ser>
        <c:ser>
          <c:idx val="2"/>
          <c:order val="2"/>
          <c:tx>
            <c:strRef>
              <c:f>'θ-scan2_thermo'!$P$2</c:f>
              <c:strCache>
                <c:ptCount val="1"/>
                <c:pt idx="0">
                  <c:v>Si_RoughTEOS-2θ-scan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'θ-scan2_thermo'!$N$5:$N$205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  <c:extLst xmlns:c15="http://schemas.microsoft.com/office/drawing/2012/chart"/>
            </c:numRef>
          </c:xVal>
          <c:yVal>
            <c:numRef>
              <c:f>'θ-scan2_thermo'!$R$5:$R$205</c:f>
              <c:numCache>
                <c:formatCode>0.00E+00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4768.8368614163874</c:v>
                </c:pt>
                <c:pt idx="100">
                  <c:v>13858.720651387723</c:v>
                </c:pt>
                <c:pt idx="101">
                  <c:v>7008.4262987911225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FDBD-4DB1-9EB0-4E5984FDA6F0}"/>
            </c:ext>
          </c:extLst>
        </c:ser>
        <c:ser>
          <c:idx val="4"/>
          <c:order val="4"/>
          <c:tx>
            <c:strRef>
              <c:f>'θ-scan2_thermo'!$AC$2</c:f>
              <c:strCache>
                <c:ptCount val="1"/>
                <c:pt idx="0">
                  <c:v>Si_TEOS-2θ-scan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'θ-scan2_thermo'!$AA$5:$AA$205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  <c:extLst xmlns:c15="http://schemas.microsoft.com/office/drawing/2012/chart"/>
            </c:numRef>
          </c:xVal>
          <c:yVal>
            <c:numRef>
              <c:f>'θ-scan2_thermo'!$AE$5:$AE$205</c:f>
              <c:numCache>
                <c:formatCode>0.00E+00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7411.2050255298418</c:v>
                </c:pt>
                <c:pt idx="100">
                  <c:v>17653.435843421412</c:v>
                </c:pt>
                <c:pt idx="101">
                  <c:v>221.58295233692692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FDBD-4DB1-9EB0-4E5984FDA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'θ-scan2_thermo'!$I$1</c15:sqref>
                        </c15:formulaRef>
                      </c:ext>
                    </c:extLst>
                    <c:strCache>
                      <c:ptCount val="1"/>
                      <c:pt idx="0">
                        <c:v>Si_Thermo_2θ-scan_2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'θ-scan2_thermo'!$G$5:$G$205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68.588999999999999</c:v>
                      </c:pt>
                      <c:pt idx="1">
                        <c:v>68.599000000000004</c:v>
                      </c:pt>
                      <c:pt idx="2">
                        <c:v>68.608999999999995</c:v>
                      </c:pt>
                      <c:pt idx="3">
                        <c:v>68.619</c:v>
                      </c:pt>
                      <c:pt idx="4">
                        <c:v>68.629000000000005</c:v>
                      </c:pt>
                      <c:pt idx="5">
                        <c:v>68.638999999999996</c:v>
                      </c:pt>
                      <c:pt idx="6">
                        <c:v>68.649000000000001</c:v>
                      </c:pt>
                      <c:pt idx="7">
                        <c:v>68.659000000000006</c:v>
                      </c:pt>
                      <c:pt idx="8">
                        <c:v>68.668999999999997</c:v>
                      </c:pt>
                      <c:pt idx="9">
                        <c:v>68.679000000000002</c:v>
                      </c:pt>
                      <c:pt idx="10">
                        <c:v>68.688999999999993</c:v>
                      </c:pt>
                      <c:pt idx="11">
                        <c:v>68.698999999999998</c:v>
                      </c:pt>
                      <c:pt idx="12">
                        <c:v>68.709000000000003</c:v>
                      </c:pt>
                      <c:pt idx="13">
                        <c:v>68.718999999999994</c:v>
                      </c:pt>
                      <c:pt idx="14">
                        <c:v>68.728999999999999</c:v>
                      </c:pt>
                      <c:pt idx="15">
                        <c:v>68.739000000000004</c:v>
                      </c:pt>
                      <c:pt idx="16">
                        <c:v>68.748999999999995</c:v>
                      </c:pt>
                      <c:pt idx="17">
                        <c:v>68.759</c:v>
                      </c:pt>
                      <c:pt idx="18">
                        <c:v>68.769000000000005</c:v>
                      </c:pt>
                      <c:pt idx="19">
                        <c:v>68.778999999999996</c:v>
                      </c:pt>
                      <c:pt idx="20">
                        <c:v>68.789000000000001</c:v>
                      </c:pt>
                      <c:pt idx="21">
                        <c:v>68.799000000000007</c:v>
                      </c:pt>
                      <c:pt idx="22">
                        <c:v>68.808999999999997</c:v>
                      </c:pt>
                      <c:pt idx="23">
                        <c:v>68.819000000000003</c:v>
                      </c:pt>
                      <c:pt idx="24">
                        <c:v>68.828999999999994</c:v>
                      </c:pt>
                      <c:pt idx="25">
                        <c:v>68.838999999999999</c:v>
                      </c:pt>
                      <c:pt idx="26">
                        <c:v>68.849000000000004</c:v>
                      </c:pt>
                      <c:pt idx="27">
                        <c:v>68.858999999999995</c:v>
                      </c:pt>
                      <c:pt idx="28">
                        <c:v>68.869</c:v>
                      </c:pt>
                      <c:pt idx="29">
                        <c:v>68.879000000000005</c:v>
                      </c:pt>
                      <c:pt idx="30">
                        <c:v>68.888999999999996</c:v>
                      </c:pt>
                      <c:pt idx="31">
                        <c:v>68.899000000000001</c:v>
                      </c:pt>
                      <c:pt idx="32">
                        <c:v>68.909000000000006</c:v>
                      </c:pt>
                      <c:pt idx="33">
                        <c:v>68.918999999999997</c:v>
                      </c:pt>
                      <c:pt idx="34">
                        <c:v>68.929000000000002</c:v>
                      </c:pt>
                      <c:pt idx="35">
                        <c:v>68.938999999999993</c:v>
                      </c:pt>
                      <c:pt idx="36">
                        <c:v>68.948999999999998</c:v>
                      </c:pt>
                      <c:pt idx="37">
                        <c:v>68.959000000000003</c:v>
                      </c:pt>
                      <c:pt idx="38">
                        <c:v>68.968999999999994</c:v>
                      </c:pt>
                      <c:pt idx="39">
                        <c:v>68.978999999999999</c:v>
                      </c:pt>
                      <c:pt idx="40">
                        <c:v>68.989000000000004</c:v>
                      </c:pt>
                      <c:pt idx="41">
                        <c:v>68.998999999999995</c:v>
                      </c:pt>
                      <c:pt idx="42">
                        <c:v>69.009</c:v>
                      </c:pt>
                      <c:pt idx="43">
                        <c:v>69.019000000000005</c:v>
                      </c:pt>
                      <c:pt idx="44">
                        <c:v>69.028999999999996</c:v>
                      </c:pt>
                      <c:pt idx="45">
                        <c:v>69.039000000000001</c:v>
                      </c:pt>
                      <c:pt idx="46">
                        <c:v>69.049000000000007</c:v>
                      </c:pt>
                      <c:pt idx="47">
                        <c:v>69.058999999999997</c:v>
                      </c:pt>
                      <c:pt idx="48">
                        <c:v>69.069000000000003</c:v>
                      </c:pt>
                      <c:pt idx="49">
                        <c:v>69.078999999999994</c:v>
                      </c:pt>
                      <c:pt idx="50">
                        <c:v>69.088999999999999</c:v>
                      </c:pt>
                      <c:pt idx="51">
                        <c:v>69.099000000000004</c:v>
                      </c:pt>
                      <c:pt idx="52">
                        <c:v>69.108999999999995</c:v>
                      </c:pt>
                      <c:pt idx="53">
                        <c:v>69.119</c:v>
                      </c:pt>
                      <c:pt idx="54">
                        <c:v>69.129000000000005</c:v>
                      </c:pt>
                      <c:pt idx="55">
                        <c:v>69.138999999999996</c:v>
                      </c:pt>
                      <c:pt idx="56">
                        <c:v>69.149000000000001</c:v>
                      </c:pt>
                      <c:pt idx="57">
                        <c:v>69.159000000000006</c:v>
                      </c:pt>
                      <c:pt idx="58">
                        <c:v>69.168999999999997</c:v>
                      </c:pt>
                      <c:pt idx="59">
                        <c:v>69.179000000000002</c:v>
                      </c:pt>
                      <c:pt idx="60">
                        <c:v>69.188999999999993</c:v>
                      </c:pt>
                      <c:pt idx="61">
                        <c:v>69.198999999999998</c:v>
                      </c:pt>
                      <c:pt idx="62">
                        <c:v>69.209000000000003</c:v>
                      </c:pt>
                      <c:pt idx="63">
                        <c:v>69.218999999999994</c:v>
                      </c:pt>
                      <c:pt idx="64">
                        <c:v>69.228999999999999</c:v>
                      </c:pt>
                      <c:pt idx="65">
                        <c:v>69.239000000000004</c:v>
                      </c:pt>
                      <c:pt idx="66">
                        <c:v>69.248999999999995</c:v>
                      </c:pt>
                      <c:pt idx="67">
                        <c:v>69.259</c:v>
                      </c:pt>
                      <c:pt idx="68">
                        <c:v>69.269000000000005</c:v>
                      </c:pt>
                      <c:pt idx="69">
                        <c:v>69.278999999999996</c:v>
                      </c:pt>
                      <c:pt idx="70">
                        <c:v>69.289000000000001</c:v>
                      </c:pt>
                      <c:pt idx="71">
                        <c:v>69.299000000000007</c:v>
                      </c:pt>
                      <c:pt idx="72">
                        <c:v>69.308999999999997</c:v>
                      </c:pt>
                      <c:pt idx="73">
                        <c:v>69.319000000000003</c:v>
                      </c:pt>
                      <c:pt idx="74">
                        <c:v>69.328999999999994</c:v>
                      </c:pt>
                      <c:pt idx="75">
                        <c:v>69.338999999999999</c:v>
                      </c:pt>
                      <c:pt idx="76">
                        <c:v>69.349000000000004</c:v>
                      </c:pt>
                      <c:pt idx="77">
                        <c:v>69.358999999999995</c:v>
                      </c:pt>
                      <c:pt idx="78">
                        <c:v>69.369</c:v>
                      </c:pt>
                      <c:pt idx="79">
                        <c:v>69.379000000000005</c:v>
                      </c:pt>
                      <c:pt idx="80">
                        <c:v>69.388999999999996</c:v>
                      </c:pt>
                      <c:pt idx="81">
                        <c:v>69.399000000000001</c:v>
                      </c:pt>
                      <c:pt idx="82">
                        <c:v>69.409000000000006</c:v>
                      </c:pt>
                      <c:pt idx="83">
                        <c:v>69.418999999999997</c:v>
                      </c:pt>
                      <c:pt idx="84">
                        <c:v>69.429000000000002</c:v>
                      </c:pt>
                      <c:pt idx="85">
                        <c:v>69.438999999999993</c:v>
                      </c:pt>
                      <c:pt idx="86">
                        <c:v>69.448999999999998</c:v>
                      </c:pt>
                      <c:pt idx="87">
                        <c:v>69.459000000000003</c:v>
                      </c:pt>
                      <c:pt idx="88">
                        <c:v>69.468999999999994</c:v>
                      </c:pt>
                      <c:pt idx="89">
                        <c:v>69.478999999999999</c:v>
                      </c:pt>
                      <c:pt idx="90">
                        <c:v>69.489000000000004</c:v>
                      </c:pt>
                      <c:pt idx="91">
                        <c:v>69.498999999999995</c:v>
                      </c:pt>
                      <c:pt idx="92">
                        <c:v>69.509</c:v>
                      </c:pt>
                      <c:pt idx="93">
                        <c:v>69.519000000000005</c:v>
                      </c:pt>
                      <c:pt idx="94">
                        <c:v>69.528999999999996</c:v>
                      </c:pt>
                      <c:pt idx="95">
                        <c:v>69.539000000000001</c:v>
                      </c:pt>
                      <c:pt idx="96">
                        <c:v>69.549000000000007</c:v>
                      </c:pt>
                      <c:pt idx="97">
                        <c:v>69.558999999999997</c:v>
                      </c:pt>
                      <c:pt idx="98">
                        <c:v>69.569000000000003</c:v>
                      </c:pt>
                      <c:pt idx="99">
                        <c:v>69.578999999999994</c:v>
                      </c:pt>
                      <c:pt idx="100">
                        <c:v>69.588999999999999</c:v>
                      </c:pt>
                      <c:pt idx="101">
                        <c:v>69.599000000000004</c:v>
                      </c:pt>
                      <c:pt idx="102">
                        <c:v>69.608999999999995</c:v>
                      </c:pt>
                      <c:pt idx="103">
                        <c:v>69.619</c:v>
                      </c:pt>
                      <c:pt idx="104">
                        <c:v>69.629000000000005</c:v>
                      </c:pt>
                      <c:pt idx="105">
                        <c:v>69.638999999999996</c:v>
                      </c:pt>
                      <c:pt idx="106">
                        <c:v>69.649000000000001</c:v>
                      </c:pt>
                      <c:pt idx="107">
                        <c:v>69.659000000000006</c:v>
                      </c:pt>
                      <c:pt idx="108">
                        <c:v>69.668999999999997</c:v>
                      </c:pt>
                      <c:pt idx="109">
                        <c:v>69.679000000000002</c:v>
                      </c:pt>
                      <c:pt idx="110">
                        <c:v>69.688999999999993</c:v>
                      </c:pt>
                      <c:pt idx="111">
                        <c:v>69.698999999999998</c:v>
                      </c:pt>
                      <c:pt idx="112">
                        <c:v>69.709000000000003</c:v>
                      </c:pt>
                      <c:pt idx="113">
                        <c:v>69.718999999999994</c:v>
                      </c:pt>
                      <c:pt idx="114">
                        <c:v>69.728999999999999</c:v>
                      </c:pt>
                      <c:pt idx="115">
                        <c:v>69.739000000000004</c:v>
                      </c:pt>
                      <c:pt idx="116">
                        <c:v>69.748999999999995</c:v>
                      </c:pt>
                      <c:pt idx="117">
                        <c:v>69.759</c:v>
                      </c:pt>
                      <c:pt idx="118">
                        <c:v>69.769000000000005</c:v>
                      </c:pt>
                      <c:pt idx="119">
                        <c:v>69.778999999999996</c:v>
                      </c:pt>
                      <c:pt idx="120">
                        <c:v>69.789000000000001</c:v>
                      </c:pt>
                      <c:pt idx="121">
                        <c:v>69.799000000000007</c:v>
                      </c:pt>
                      <c:pt idx="122">
                        <c:v>69.808999999999997</c:v>
                      </c:pt>
                      <c:pt idx="123">
                        <c:v>69.819000000000003</c:v>
                      </c:pt>
                      <c:pt idx="124">
                        <c:v>69.828999999999994</c:v>
                      </c:pt>
                      <c:pt idx="125">
                        <c:v>69.838999999999999</c:v>
                      </c:pt>
                      <c:pt idx="126">
                        <c:v>69.849000000000004</c:v>
                      </c:pt>
                      <c:pt idx="127">
                        <c:v>69.858999999999995</c:v>
                      </c:pt>
                      <c:pt idx="128">
                        <c:v>69.869</c:v>
                      </c:pt>
                      <c:pt idx="129">
                        <c:v>69.879000000000005</c:v>
                      </c:pt>
                      <c:pt idx="130">
                        <c:v>69.888999999999996</c:v>
                      </c:pt>
                      <c:pt idx="131">
                        <c:v>69.899000000000001</c:v>
                      </c:pt>
                      <c:pt idx="132">
                        <c:v>69.909000000000006</c:v>
                      </c:pt>
                      <c:pt idx="133">
                        <c:v>69.918999999999997</c:v>
                      </c:pt>
                      <c:pt idx="134">
                        <c:v>69.929000000000002</c:v>
                      </c:pt>
                      <c:pt idx="135">
                        <c:v>69.938999999999993</c:v>
                      </c:pt>
                      <c:pt idx="136">
                        <c:v>69.948999999999998</c:v>
                      </c:pt>
                      <c:pt idx="137">
                        <c:v>69.959000000000003</c:v>
                      </c:pt>
                      <c:pt idx="138">
                        <c:v>69.968999999999994</c:v>
                      </c:pt>
                      <c:pt idx="139">
                        <c:v>69.978999999999999</c:v>
                      </c:pt>
                      <c:pt idx="140">
                        <c:v>69.989000000000004</c:v>
                      </c:pt>
                      <c:pt idx="141">
                        <c:v>69.998999999999995</c:v>
                      </c:pt>
                      <c:pt idx="142">
                        <c:v>70.009</c:v>
                      </c:pt>
                      <c:pt idx="143">
                        <c:v>70.019000000000005</c:v>
                      </c:pt>
                      <c:pt idx="144">
                        <c:v>70.028999999999996</c:v>
                      </c:pt>
                      <c:pt idx="145">
                        <c:v>70.039000000000001</c:v>
                      </c:pt>
                      <c:pt idx="146">
                        <c:v>70.049000000000007</c:v>
                      </c:pt>
                      <c:pt idx="147">
                        <c:v>70.058999999999997</c:v>
                      </c:pt>
                      <c:pt idx="148">
                        <c:v>70.069000000000003</c:v>
                      </c:pt>
                      <c:pt idx="149">
                        <c:v>70.078999999999994</c:v>
                      </c:pt>
                      <c:pt idx="150">
                        <c:v>70.088999999999999</c:v>
                      </c:pt>
                      <c:pt idx="151">
                        <c:v>70.099000000000004</c:v>
                      </c:pt>
                      <c:pt idx="152">
                        <c:v>70.108999999999995</c:v>
                      </c:pt>
                      <c:pt idx="153">
                        <c:v>70.119</c:v>
                      </c:pt>
                      <c:pt idx="154">
                        <c:v>70.129000000000005</c:v>
                      </c:pt>
                      <c:pt idx="155">
                        <c:v>70.138999999999996</c:v>
                      </c:pt>
                      <c:pt idx="156">
                        <c:v>70.149000000000001</c:v>
                      </c:pt>
                      <c:pt idx="157">
                        <c:v>70.159000000000006</c:v>
                      </c:pt>
                      <c:pt idx="158">
                        <c:v>70.168999999999997</c:v>
                      </c:pt>
                      <c:pt idx="159">
                        <c:v>70.179000000000002</c:v>
                      </c:pt>
                      <c:pt idx="160">
                        <c:v>70.188999999999993</c:v>
                      </c:pt>
                      <c:pt idx="161">
                        <c:v>70.198999999999998</c:v>
                      </c:pt>
                      <c:pt idx="162">
                        <c:v>70.209000000000003</c:v>
                      </c:pt>
                      <c:pt idx="163">
                        <c:v>70.218999999999994</c:v>
                      </c:pt>
                      <c:pt idx="164">
                        <c:v>70.228999999999999</c:v>
                      </c:pt>
                      <c:pt idx="165">
                        <c:v>70.239000000000004</c:v>
                      </c:pt>
                      <c:pt idx="166">
                        <c:v>70.248999999999995</c:v>
                      </c:pt>
                      <c:pt idx="167">
                        <c:v>70.259</c:v>
                      </c:pt>
                      <c:pt idx="168">
                        <c:v>70.269000000000005</c:v>
                      </c:pt>
                      <c:pt idx="169">
                        <c:v>70.278999999999996</c:v>
                      </c:pt>
                      <c:pt idx="170">
                        <c:v>70.289000000000001</c:v>
                      </c:pt>
                      <c:pt idx="171">
                        <c:v>70.299000000000007</c:v>
                      </c:pt>
                      <c:pt idx="172">
                        <c:v>70.308999999999997</c:v>
                      </c:pt>
                      <c:pt idx="173">
                        <c:v>70.319000000000003</c:v>
                      </c:pt>
                      <c:pt idx="174">
                        <c:v>70.328999999999994</c:v>
                      </c:pt>
                      <c:pt idx="175">
                        <c:v>70.338999999999999</c:v>
                      </c:pt>
                      <c:pt idx="176">
                        <c:v>70.349000000000004</c:v>
                      </c:pt>
                      <c:pt idx="177">
                        <c:v>70.358999999999995</c:v>
                      </c:pt>
                      <c:pt idx="178">
                        <c:v>70.369</c:v>
                      </c:pt>
                      <c:pt idx="179">
                        <c:v>70.379000000000005</c:v>
                      </c:pt>
                      <c:pt idx="180">
                        <c:v>70.388999999999996</c:v>
                      </c:pt>
                      <c:pt idx="181">
                        <c:v>70.399000000000001</c:v>
                      </c:pt>
                      <c:pt idx="182">
                        <c:v>70.409000000000006</c:v>
                      </c:pt>
                      <c:pt idx="183">
                        <c:v>70.418999999999997</c:v>
                      </c:pt>
                      <c:pt idx="184">
                        <c:v>70.429000000000002</c:v>
                      </c:pt>
                      <c:pt idx="185">
                        <c:v>70.438999999999993</c:v>
                      </c:pt>
                      <c:pt idx="186">
                        <c:v>70.448999999999998</c:v>
                      </c:pt>
                      <c:pt idx="187">
                        <c:v>70.459000000000003</c:v>
                      </c:pt>
                      <c:pt idx="188">
                        <c:v>70.468999999999994</c:v>
                      </c:pt>
                      <c:pt idx="189">
                        <c:v>70.478999999999999</c:v>
                      </c:pt>
                      <c:pt idx="190">
                        <c:v>70.489000000000004</c:v>
                      </c:pt>
                      <c:pt idx="191">
                        <c:v>70.498999999999995</c:v>
                      </c:pt>
                      <c:pt idx="192">
                        <c:v>70.509</c:v>
                      </c:pt>
                      <c:pt idx="193">
                        <c:v>70.519000000000005</c:v>
                      </c:pt>
                      <c:pt idx="194">
                        <c:v>70.528999999999996</c:v>
                      </c:pt>
                      <c:pt idx="195">
                        <c:v>70.539000000000001</c:v>
                      </c:pt>
                      <c:pt idx="196">
                        <c:v>70.549000000000007</c:v>
                      </c:pt>
                      <c:pt idx="197">
                        <c:v>70.558999999999997</c:v>
                      </c:pt>
                      <c:pt idx="198">
                        <c:v>70.569000000000003</c:v>
                      </c:pt>
                      <c:pt idx="199">
                        <c:v>70.578999999999994</c:v>
                      </c:pt>
                      <c:pt idx="200">
                        <c:v>70.588999999999999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'θ-scan2_thermo'!$K$5:$K$205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1.1978686339804744E-2</c:v>
                      </c:pt>
                      <c:pt idx="1">
                        <c:v>1.0008764067605034E-2</c:v>
                      </c:pt>
                      <c:pt idx="2">
                        <c:v>1.3951054285275589E-2</c:v>
                      </c:pt>
                      <c:pt idx="3">
                        <c:v>1.5919877782605896E-2</c:v>
                      </c:pt>
                      <c:pt idx="4">
                        <c:v>1.608861372033038E-2</c:v>
                      </c:pt>
                      <c:pt idx="5">
                        <c:v>1.7735033282253152E-2</c:v>
                      </c:pt>
                      <c:pt idx="6">
                        <c:v>1.970990501895321E-2</c:v>
                      </c:pt>
                      <c:pt idx="7">
                        <c:v>1.8066698374269791E-2</c:v>
                      </c:pt>
                      <c:pt idx="8">
                        <c:v>1.7906683410018023E-2</c:v>
                      </c:pt>
                      <c:pt idx="9">
                        <c:v>1.8893315656637679E-2</c:v>
                      </c:pt>
                      <c:pt idx="10">
                        <c:v>1.6594579921024914E-2</c:v>
                      </c:pt>
                      <c:pt idx="11">
                        <c:v>2.0547587621160084E-2</c:v>
                      </c:pt>
                      <c:pt idx="12">
                        <c:v>2.1693378912875427E-2</c:v>
                      </c:pt>
                      <c:pt idx="13">
                        <c:v>1.9236892848517376E-2</c:v>
                      </c:pt>
                      <c:pt idx="14">
                        <c:v>2.3180458538075554E-2</c:v>
                      </c:pt>
                      <c:pt idx="15">
                        <c:v>2.2364326321042668E-2</c:v>
                      </c:pt>
                      <c:pt idx="16">
                        <c:v>2.434000513705676E-2</c:v>
                      </c:pt>
                      <c:pt idx="17">
                        <c:v>2.3687772653048798E-2</c:v>
                      </c:pt>
                      <c:pt idx="18">
                        <c:v>2.6162672024299234E-2</c:v>
                      </c:pt>
                      <c:pt idx="19">
                        <c:v>2.6162685800113428E-2</c:v>
                      </c:pt>
                      <c:pt idx="20">
                        <c:v>2.896419862126794E-2</c:v>
                      </c:pt>
                      <c:pt idx="21">
                        <c:v>2.7153556819722764E-2</c:v>
                      </c:pt>
                      <c:pt idx="22">
                        <c:v>2.9455429985101148E-2</c:v>
                      </c:pt>
                      <c:pt idx="23">
                        <c:v>3.0778253317336104E-2</c:v>
                      </c:pt>
                      <c:pt idx="24">
                        <c:v>2.7823940640503822E-2</c:v>
                      </c:pt>
                      <c:pt idx="25">
                        <c:v>3.4410914127744906E-2</c:v>
                      </c:pt>
                      <c:pt idx="26">
                        <c:v>3.095945151708723E-2</c:v>
                      </c:pt>
                      <c:pt idx="27">
                        <c:v>3.5404178048698234E-2</c:v>
                      </c:pt>
                      <c:pt idx="28">
                        <c:v>3.4575875028957294E-2</c:v>
                      </c:pt>
                      <c:pt idx="29">
                        <c:v>4.2158833999953425E-2</c:v>
                      </c:pt>
                      <c:pt idx="30">
                        <c:v>4.2990663811427729E-2</c:v>
                      </c:pt>
                      <c:pt idx="31">
                        <c:v>3.8390837975439226E-2</c:v>
                      </c:pt>
                      <c:pt idx="32">
                        <c:v>4.4806446118905996E-2</c:v>
                      </c:pt>
                      <c:pt idx="33">
                        <c:v>4.2019432158292049E-2</c:v>
                      </c:pt>
                      <c:pt idx="34">
                        <c:v>4.2675085247190075E-2</c:v>
                      </c:pt>
                      <c:pt idx="35">
                        <c:v>5.0936919521051852E-2</c:v>
                      </c:pt>
                      <c:pt idx="36">
                        <c:v>4.6988082849453633E-2</c:v>
                      </c:pt>
                      <c:pt idx="37">
                        <c:v>4.8804569980790455E-2</c:v>
                      </c:pt>
                      <c:pt idx="38">
                        <c:v>6.3157521537250766E-2</c:v>
                      </c:pt>
                      <c:pt idx="39">
                        <c:v>5.5898750247401437E-2</c:v>
                      </c:pt>
                      <c:pt idx="40">
                        <c:v>5.8377219177417825E-2</c:v>
                      </c:pt>
                      <c:pt idx="41">
                        <c:v>5.6385212295517663E-2</c:v>
                      </c:pt>
                      <c:pt idx="42">
                        <c:v>6.3974181339466668E-2</c:v>
                      </c:pt>
                      <c:pt idx="43">
                        <c:v>6.6611038754961854E-2</c:v>
                      </c:pt>
                      <c:pt idx="44">
                        <c:v>6.4966913455744305E-2</c:v>
                      </c:pt>
                      <c:pt idx="45">
                        <c:v>7.1256576573776959E-2</c:v>
                      </c:pt>
                      <c:pt idx="46">
                        <c:v>7.5547023543768022E-2</c:v>
                      </c:pt>
                      <c:pt idx="47">
                        <c:v>7.488475994189206E-2</c:v>
                      </c:pt>
                      <c:pt idx="48">
                        <c:v>8.6002726170868932E-2</c:v>
                      </c:pt>
                      <c:pt idx="49">
                        <c:v>8.6872068129634133E-2</c:v>
                      </c:pt>
                      <c:pt idx="50">
                        <c:v>9.282525216838633E-2</c:v>
                      </c:pt>
                      <c:pt idx="51">
                        <c:v>9.6537321973359069E-2</c:v>
                      </c:pt>
                      <c:pt idx="52">
                        <c:v>9.0760633624946643E-2</c:v>
                      </c:pt>
                      <c:pt idx="53">
                        <c:v>9.4805430137365629E-2</c:v>
                      </c:pt>
                      <c:pt idx="54">
                        <c:v>0.1014635026098217</c:v>
                      </c:pt>
                      <c:pt idx="55">
                        <c:v>0.10912888094343789</c:v>
                      </c:pt>
                      <c:pt idx="56">
                        <c:v>0.11277039434366222</c:v>
                      </c:pt>
                      <c:pt idx="57">
                        <c:v>0.11556421496136049</c:v>
                      </c:pt>
                      <c:pt idx="58">
                        <c:v>0.12381946499595584</c:v>
                      </c:pt>
                      <c:pt idx="59">
                        <c:v>0.12410814644880425</c:v>
                      </c:pt>
                      <c:pt idx="60">
                        <c:v>0.14384769373081294</c:v>
                      </c:pt>
                      <c:pt idx="61">
                        <c:v>0.15340419548063297</c:v>
                      </c:pt>
                      <c:pt idx="62">
                        <c:v>0.14956964808280335</c:v>
                      </c:pt>
                      <c:pt idx="63">
                        <c:v>0.15669850448237976</c:v>
                      </c:pt>
                      <c:pt idx="64">
                        <c:v>0.17735373176985211</c:v>
                      </c:pt>
                      <c:pt idx="65">
                        <c:v>0.18222957135748369</c:v>
                      </c:pt>
                      <c:pt idx="66">
                        <c:v>0.19315970025255921</c:v>
                      </c:pt>
                      <c:pt idx="67">
                        <c:v>0.19748389624768845</c:v>
                      </c:pt>
                      <c:pt idx="68">
                        <c:v>0.22349143282840825</c:v>
                      </c:pt>
                      <c:pt idx="69">
                        <c:v>0.22646671840636562</c:v>
                      </c:pt>
                      <c:pt idx="70">
                        <c:v>0.23888418340206538</c:v>
                      </c:pt>
                      <c:pt idx="71">
                        <c:v>0.25397458217745783</c:v>
                      </c:pt>
                      <c:pt idx="72">
                        <c:v>0.28961087789717266</c:v>
                      </c:pt>
                      <c:pt idx="73">
                        <c:v>0.2983344527221678</c:v>
                      </c:pt>
                      <c:pt idx="74">
                        <c:v>0.34218585976448707</c:v>
                      </c:pt>
                      <c:pt idx="75">
                        <c:v>0.33938299244877806</c:v>
                      </c:pt>
                      <c:pt idx="76">
                        <c:v>0.39072574044721509</c:v>
                      </c:pt>
                      <c:pt idx="77">
                        <c:v>0.4214615647836189</c:v>
                      </c:pt>
                      <c:pt idx="78">
                        <c:v>0.441713026383799</c:v>
                      </c:pt>
                      <c:pt idx="79">
                        <c:v>0.48362475411185424</c:v>
                      </c:pt>
                      <c:pt idx="80">
                        <c:v>0.53947211957220587</c:v>
                      </c:pt>
                      <c:pt idx="81">
                        <c:v>0.58644905099621791</c:v>
                      </c:pt>
                      <c:pt idx="82">
                        <c:v>0.66799133381525955</c:v>
                      </c:pt>
                      <c:pt idx="83">
                        <c:v>0.74369498982675286</c:v>
                      </c:pt>
                      <c:pt idx="84">
                        <c:v>0.82650778006175529</c:v>
                      </c:pt>
                      <c:pt idx="85">
                        <c:v>0.9100009552523689</c:v>
                      </c:pt>
                      <c:pt idx="86">
                        <c:v>1.0458924439560076</c:v>
                      </c:pt>
                      <c:pt idx="87">
                        <c:v>1.2048223749598661</c:v>
                      </c:pt>
                      <c:pt idx="88">
                        <c:v>1.384814913024847</c:v>
                      </c:pt>
                      <c:pt idx="89">
                        <c:v>1.5629704900354617</c:v>
                      </c:pt>
                      <c:pt idx="90">
                        <c:v>1.8979324133327165</c:v>
                      </c:pt>
                      <c:pt idx="91">
                        <c:v>2.3735845935925393</c:v>
                      </c:pt>
                      <c:pt idx="92">
                        <c:v>3.0024166443775555</c:v>
                      </c:pt>
                      <c:pt idx="93">
                        <c:v>3.7956303866888041</c:v>
                      </c:pt>
                      <c:pt idx="94">
                        <c:v>5.0886525205001547</c:v>
                      </c:pt>
                      <c:pt idx="95">
                        <c:v>7.1198079358223314</c:v>
                      </c:pt>
                      <c:pt idx="96">
                        <c:v>11.051106364051215</c:v>
                      </c:pt>
                      <c:pt idx="97">
                        <c:v>18.737379072691301</c:v>
                      </c:pt>
                      <c:pt idx="98">
                        <c:v>39.952260413515617</c:v>
                      </c:pt>
                      <c:pt idx="99">
                        <c:v>187.50362405538468</c:v>
                      </c:pt>
                      <c:pt idx="100">
                        <c:v>11747.363038625652</c:v>
                      </c:pt>
                      <c:pt idx="101">
                        <c:v>5819.7639594137927</c:v>
                      </c:pt>
                      <c:pt idx="102">
                        <c:v>104.1875430828705</c:v>
                      </c:pt>
                      <c:pt idx="103">
                        <c:v>31.059037744809935</c:v>
                      </c:pt>
                      <c:pt idx="104">
                        <c:v>14.629796815420331</c:v>
                      </c:pt>
                      <c:pt idx="105">
                        <c:v>8.5112530689758064</c:v>
                      </c:pt>
                      <c:pt idx="106">
                        <c:v>5.7252626091885634</c:v>
                      </c:pt>
                      <c:pt idx="107">
                        <c:v>4.0247201393610839</c:v>
                      </c:pt>
                      <c:pt idx="108">
                        <c:v>2.8825993717747243</c:v>
                      </c:pt>
                      <c:pt idx="109">
                        <c:v>2.1540654805010315</c:v>
                      </c:pt>
                      <c:pt idx="110">
                        <c:v>1.7302038076110364</c:v>
                      </c:pt>
                      <c:pt idx="111">
                        <c:v>1.4757337908495765</c:v>
                      </c:pt>
                      <c:pt idx="112">
                        <c:v>1.2462239099901409</c:v>
                      </c:pt>
                      <c:pt idx="113">
                        <c:v>1.0368686811713204</c:v>
                      </c:pt>
                      <c:pt idx="114">
                        <c:v>0.89395279394305038</c:v>
                      </c:pt>
                      <c:pt idx="115">
                        <c:v>0.7680808574956971</c:v>
                      </c:pt>
                      <c:pt idx="116">
                        <c:v>0.66314483737427188</c:v>
                      </c:pt>
                      <c:pt idx="117">
                        <c:v>0.59695177433124635</c:v>
                      </c:pt>
                      <c:pt idx="118">
                        <c:v>0.50083348020519991</c:v>
                      </c:pt>
                      <c:pt idx="119">
                        <c:v>0.43470447393427791</c:v>
                      </c:pt>
                      <c:pt idx="120">
                        <c:v>0.39570173925776053</c:v>
                      </c:pt>
                      <c:pt idx="121">
                        <c:v>0.37152842544393994</c:v>
                      </c:pt>
                      <c:pt idx="122">
                        <c:v>0.33223341922674665</c:v>
                      </c:pt>
                      <c:pt idx="123">
                        <c:v>0.29124415565769018</c:v>
                      </c:pt>
                      <c:pt idx="124">
                        <c:v>0.25259517865267628</c:v>
                      </c:pt>
                      <c:pt idx="125">
                        <c:v>0.23205064182780638</c:v>
                      </c:pt>
                      <c:pt idx="126">
                        <c:v>0.204645703510003</c:v>
                      </c:pt>
                      <c:pt idx="127">
                        <c:v>0.17838413828857094</c:v>
                      </c:pt>
                      <c:pt idx="128">
                        <c:v>0.15513738446317885</c:v>
                      </c:pt>
                      <c:pt idx="129">
                        <c:v>0.1394800211411148</c:v>
                      </c:pt>
                      <c:pt idx="130">
                        <c:v>0.12383484706612476</c:v>
                      </c:pt>
                      <c:pt idx="131">
                        <c:v>0.12323946560773198</c:v>
                      </c:pt>
                      <c:pt idx="132">
                        <c:v>0.11259542857570526</c:v>
                      </c:pt>
                      <c:pt idx="133">
                        <c:v>9.6985225091145724E-2</c:v>
                      </c:pt>
                      <c:pt idx="134">
                        <c:v>8.7677881910004932E-2</c:v>
                      </c:pt>
                      <c:pt idx="135">
                        <c:v>7.8009484057081982E-2</c:v>
                      </c:pt>
                      <c:pt idx="136">
                        <c:v>6.6204813239631899E-2</c:v>
                      </c:pt>
                      <c:pt idx="137">
                        <c:v>5.43825961323397E-2</c:v>
                      </c:pt>
                      <c:pt idx="138">
                        <c:v>5.2881558529284035E-2</c:v>
                      </c:pt>
                      <c:pt idx="139">
                        <c:v>4.6053765859661706E-2</c:v>
                      </c:pt>
                      <c:pt idx="140">
                        <c:v>4.8049873440956181E-2</c:v>
                      </c:pt>
                      <c:pt idx="141">
                        <c:v>4.1743186139984956E-2</c:v>
                      </c:pt>
                      <c:pt idx="142">
                        <c:v>3.3924846852182479E-2</c:v>
                      </c:pt>
                      <c:pt idx="143">
                        <c:v>2.861569972082224E-2</c:v>
                      </c:pt>
                      <c:pt idx="144">
                        <c:v>2.7291114434155602E-2</c:v>
                      </c:pt>
                      <c:pt idx="145">
                        <c:v>2.5302187184315681E-2</c:v>
                      </c:pt>
                      <c:pt idx="146">
                        <c:v>2.3139231636676638E-2</c:v>
                      </c:pt>
                      <c:pt idx="147">
                        <c:v>1.6970946587988693E-2</c:v>
                      </c:pt>
                      <c:pt idx="148">
                        <c:v>1.3146370642350474E-2</c:v>
                      </c:pt>
                      <c:pt idx="149">
                        <c:v>1.4975117843362064E-2</c:v>
                      </c:pt>
                      <c:pt idx="150">
                        <c:v>1.4977437738167263E-2</c:v>
                      </c:pt>
                      <c:pt idx="151">
                        <c:v>1.3648871949862033E-2</c:v>
                      </c:pt>
                      <c:pt idx="152">
                        <c:v>1.1820392564560196E-2</c:v>
                      </c:pt>
                      <c:pt idx="153">
                        <c:v>1.3152920549400489E-2</c:v>
                      </c:pt>
                      <c:pt idx="154">
                        <c:v>1.032206129832685E-2</c:v>
                      </c:pt>
                      <c:pt idx="155">
                        <c:v>6.9955509461907392E-3</c:v>
                      </c:pt>
                      <c:pt idx="156">
                        <c:v>1.0328074277911022E-2</c:v>
                      </c:pt>
                      <c:pt idx="157">
                        <c:v>7.665767855385623E-3</c:v>
                      </c:pt>
                      <c:pt idx="158">
                        <c:v>5.5005260336396834E-3</c:v>
                      </c:pt>
                      <c:pt idx="159">
                        <c:v>4.334962050825196E-3</c:v>
                      </c:pt>
                      <c:pt idx="160">
                        <c:v>6.6704583775570826E-3</c:v>
                      </c:pt>
                      <c:pt idx="161">
                        <c:v>4.6714297342809012E-3</c:v>
                      </c:pt>
                      <c:pt idx="162">
                        <c:v>4.1712524721136341E-3</c:v>
                      </c:pt>
                      <c:pt idx="163">
                        <c:v>4.0033970158144857E-3</c:v>
                      </c:pt>
                      <c:pt idx="164">
                        <c:v>4.1683525568582879E-3</c:v>
                      </c:pt>
                      <c:pt idx="165">
                        <c:v>3.0002025136696728E-3</c:v>
                      </c:pt>
                      <c:pt idx="166">
                        <c:v>3.1660749800208172E-3</c:v>
                      </c:pt>
                      <c:pt idx="167">
                        <c:v>3.4991189801594456E-3</c:v>
                      </c:pt>
                      <c:pt idx="168">
                        <c:v>2.1668012611383378E-3</c:v>
                      </c:pt>
                      <c:pt idx="169">
                        <c:v>2.6675747980470818E-3</c:v>
                      </c:pt>
                      <c:pt idx="170">
                        <c:v>6.3365490263550582E-3</c:v>
                      </c:pt>
                      <c:pt idx="171">
                        <c:v>2.8361096483365839E-3</c:v>
                      </c:pt>
                      <c:pt idx="172">
                        <c:v>2.001488940981345E-3</c:v>
                      </c:pt>
                      <c:pt idx="173">
                        <c:v>2.3359702154453648E-3</c:v>
                      </c:pt>
                      <c:pt idx="174">
                        <c:v>2.8370116608021465E-3</c:v>
                      </c:pt>
                      <c:pt idx="175">
                        <c:v>1.6695031246503956E-3</c:v>
                      </c:pt>
                      <c:pt idx="176">
                        <c:v>1.5025743857379915E-3</c:v>
                      </c:pt>
                      <c:pt idx="177">
                        <c:v>1.8365598629191719E-3</c:v>
                      </c:pt>
                      <c:pt idx="178">
                        <c:v>1.1688874944617692E-3</c:v>
                      </c:pt>
                      <c:pt idx="179">
                        <c:v>6.6768961166437731E-4</c:v>
                      </c:pt>
                      <c:pt idx="180">
                        <c:v>1.6692504159229529E-3</c:v>
                      </c:pt>
                      <c:pt idx="181">
                        <c:v>8.3445259851125972E-4</c:v>
                      </c:pt>
                      <c:pt idx="182">
                        <c:v>1.3353356245912203E-3</c:v>
                      </c:pt>
                      <c:pt idx="183">
                        <c:v>1.0014516041001432E-3</c:v>
                      </c:pt>
                      <c:pt idx="184">
                        <c:v>1.6688960057661024E-3</c:v>
                      </c:pt>
                      <c:pt idx="185">
                        <c:v>1.8355325154322812E-3</c:v>
                      </c:pt>
                      <c:pt idx="186">
                        <c:v>2.8364069111356882E-3</c:v>
                      </c:pt>
                      <c:pt idx="187">
                        <c:v>1.8352125604083154E-3</c:v>
                      </c:pt>
                      <c:pt idx="188">
                        <c:v>1.0010452413887962E-3</c:v>
                      </c:pt>
                      <c:pt idx="189">
                        <c:v>6.6776363537868503E-4</c:v>
                      </c:pt>
                      <c:pt idx="190">
                        <c:v>1.5024002095347492E-3</c:v>
                      </c:pt>
                      <c:pt idx="191">
                        <c:v>1.0021493598395157E-3</c:v>
                      </c:pt>
                      <c:pt idx="192">
                        <c:v>8.3514036830525387E-4</c:v>
                      </c:pt>
                      <c:pt idx="193">
                        <c:v>6.6821901740297908E-4</c:v>
                      </c:pt>
                      <c:pt idx="194">
                        <c:v>2.5061135386719134E-3</c:v>
                      </c:pt>
                      <c:pt idx="195">
                        <c:v>1.002624989194627E-3</c:v>
                      </c:pt>
                      <c:pt idx="196">
                        <c:v>5.0122408109712076E-4</c:v>
                      </c:pt>
                      <c:pt idx="197">
                        <c:v>1.3367298078232012E-3</c:v>
                      </c:pt>
                      <c:pt idx="198">
                        <c:v>1.1699259047484101E-3</c:v>
                      </c:pt>
                      <c:pt idx="199">
                        <c:v>8.356122987557298E-4</c:v>
                      </c:pt>
                      <c:pt idx="200">
                        <c:v>6.6862575126162577E-4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BD-4DB1-9EB0-4E5984FDA6F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'θ-scan2_thermo'!$U$2</c15:sqref>
                        </c15:formulaRef>
                      </c:ext>
                    </c:extLst>
                    <c:strCache>
                      <c:ptCount val="1"/>
                      <c:pt idx="0">
                        <c:v>Si_RoughTEOS-2θ-scan_2</c:v>
                      </c:pt>
                    </c:strCache>
                  </c:strRef>
                </c:tx>
                <c:spPr>
                  <a:ln w="25400" cap="rnd">
                    <a:solidFill>
                      <a:schemeClr val="accent1">
                        <a:alpha val="99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'θ-scan2_thermo'!$T$5:$T$205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68.581999999999994</c:v>
                      </c:pt>
                      <c:pt idx="1">
                        <c:v>68.591999999999999</c:v>
                      </c:pt>
                      <c:pt idx="2">
                        <c:v>68.602000000000004</c:v>
                      </c:pt>
                      <c:pt idx="3">
                        <c:v>68.611999999999995</c:v>
                      </c:pt>
                      <c:pt idx="4">
                        <c:v>68.622</c:v>
                      </c:pt>
                      <c:pt idx="5">
                        <c:v>68.632000000000005</c:v>
                      </c:pt>
                      <c:pt idx="6">
                        <c:v>68.641999999999996</c:v>
                      </c:pt>
                      <c:pt idx="7">
                        <c:v>68.652000000000001</c:v>
                      </c:pt>
                      <c:pt idx="8">
                        <c:v>68.662000000000006</c:v>
                      </c:pt>
                      <c:pt idx="9">
                        <c:v>68.671999999999997</c:v>
                      </c:pt>
                      <c:pt idx="10">
                        <c:v>68.682000000000002</c:v>
                      </c:pt>
                      <c:pt idx="11">
                        <c:v>68.691999999999993</c:v>
                      </c:pt>
                      <c:pt idx="12">
                        <c:v>68.701999999999998</c:v>
                      </c:pt>
                      <c:pt idx="13">
                        <c:v>68.712000000000003</c:v>
                      </c:pt>
                      <c:pt idx="14">
                        <c:v>68.721999999999994</c:v>
                      </c:pt>
                      <c:pt idx="15">
                        <c:v>68.731999999999999</c:v>
                      </c:pt>
                      <c:pt idx="16">
                        <c:v>68.742000000000004</c:v>
                      </c:pt>
                      <c:pt idx="17">
                        <c:v>68.751999999999995</c:v>
                      </c:pt>
                      <c:pt idx="18">
                        <c:v>68.762</c:v>
                      </c:pt>
                      <c:pt idx="19">
                        <c:v>68.772000000000006</c:v>
                      </c:pt>
                      <c:pt idx="20">
                        <c:v>68.781999999999996</c:v>
                      </c:pt>
                      <c:pt idx="21">
                        <c:v>68.792000000000002</c:v>
                      </c:pt>
                      <c:pt idx="22">
                        <c:v>68.802000000000007</c:v>
                      </c:pt>
                      <c:pt idx="23">
                        <c:v>68.811999999999998</c:v>
                      </c:pt>
                      <c:pt idx="24">
                        <c:v>68.822000000000003</c:v>
                      </c:pt>
                      <c:pt idx="25">
                        <c:v>68.831999999999994</c:v>
                      </c:pt>
                      <c:pt idx="26">
                        <c:v>68.841999999999999</c:v>
                      </c:pt>
                      <c:pt idx="27">
                        <c:v>68.852000000000004</c:v>
                      </c:pt>
                      <c:pt idx="28">
                        <c:v>68.861999999999995</c:v>
                      </c:pt>
                      <c:pt idx="29">
                        <c:v>68.872</c:v>
                      </c:pt>
                      <c:pt idx="30">
                        <c:v>68.882000000000005</c:v>
                      </c:pt>
                      <c:pt idx="31">
                        <c:v>68.891999999999996</c:v>
                      </c:pt>
                      <c:pt idx="32">
                        <c:v>68.902000000000001</c:v>
                      </c:pt>
                      <c:pt idx="33">
                        <c:v>68.912000000000006</c:v>
                      </c:pt>
                      <c:pt idx="34">
                        <c:v>68.921999999999997</c:v>
                      </c:pt>
                      <c:pt idx="35">
                        <c:v>68.932000000000002</c:v>
                      </c:pt>
                      <c:pt idx="36">
                        <c:v>68.941999999999993</c:v>
                      </c:pt>
                      <c:pt idx="37">
                        <c:v>68.951999999999998</c:v>
                      </c:pt>
                      <c:pt idx="38">
                        <c:v>68.962000000000003</c:v>
                      </c:pt>
                      <c:pt idx="39">
                        <c:v>68.971999999999994</c:v>
                      </c:pt>
                      <c:pt idx="40">
                        <c:v>68.981999999999999</c:v>
                      </c:pt>
                      <c:pt idx="41">
                        <c:v>68.992000000000004</c:v>
                      </c:pt>
                      <c:pt idx="42">
                        <c:v>69.001999999999995</c:v>
                      </c:pt>
                      <c:pt idx="43">
                        <c:v>69.012</c:v>
                      </c:pt>
                      <c:pt idx="44">
                        <c:v>69.022000000000006</c:v>
                      </c:pt>
                      <c:pt idx="45">
                        <c:v>69.031999999999996</c:v>
                      </c:pt>
                      <c:pt idx="46">
                        <c:v>69.042000000000002</c:v>
                      </c:pt>
                      <c:pt idx="47">
                        <c:v>69.052000000000007</c:v>
                      </c:pt>
                      <c:pt idx="48">
                        <c:v>69.061999999999998</c:v>
                      </c:pt>
                      <c:pt idx="49">
                        <c:v>69.072000000000003</c:v>
                      </c:pt>
                      <c:pt idx="50">
                        <c:v>69.081999999999994</c:v>
                      </c:pt>
                      <c:pt idx="51">
                        <c:v>69.091999999999999</c:v>
                      </c:pt>
                      <c:pt idx="52">
                        <c:v>69.102000000000004</c:v>
                      </c:pt>
                      <c:pt idx="53">
                        <c:v>69.111999999999995</c:v>
                      </c:pt>
                      <c:pt idx="54">
                        <c:v>69.122</c:v>
                      </c:pt>
                      <c:pt idx="55">
                        <c:v>69.132000000000005</c:v>
                      </c:pt>
                      <c:pt idx="56">
                        <c:v>69.141999999999996</c:v>
                      </c:pt>
                      <c:pt idx="57">
                        <c:v>69.152000000000001</c:v>
                      </c:pt>
                      <c:pt idx="58">
                        <c:v>69.162000000000006</c:v>
                      </c:pt>
                      <c:pt idx="59">
                        <c:v>69.171999999999997</c:v>
                      </c:pt>
                      <c:pt idx="60">
                        <c:v>69.182000000000002</c:v>
                      </c:pt>
                      <c:pt idx="61">
                        <c:v>69.191999999999993</c:v>
                      </c:pt>
                      <c:pt idx="62">
                        <c:v>69.201999999999998</c:v>
                      </c:pt>
                      <c:pt idx="63">
                        <c:v>69.212000000000003</c:v>
                      </c:pt>
                      <c:pt idx="64">
                        <c:v>69.221999999999994</c:v>
                      </c:pt>
                      <c:pt idx="65">
                        <c:v>69.231999999999999</c:v>
                      </c:pt>
                      <c:pt idx="66">
                        <c:v>69.242000000000004</c:v>
                      </c:pt>
                      <c:pt idx="67">
                        <c:v>69.251999999999995</c:v>
                      </c:pt>
                      <c:pt idx="68">
                        <c:v>69.262</c:v>
                      </c:pt>
                      <c:pt idx="69">
                        <c:v>69.272000000000006</c:v>
                      </c:pt>
                      <c:pt idx="70">
                        <c:v>69.281999999999996</c:v>
                      </c:pt>
                      <c:pt idx="71">
                        <c:v>69.292000000000002</c:v>
                      </c:pt>
                      <c:pt idx="72">
                        <c:v>69.302000000000007</c:v>
                      </c:pt>
                      <c:pt idx="73">
                        <c:v>69.311999999999998</c:v>
                      </c:pt>
                      <c:pt idx="74">
                        <c:v>69.322000000000003</c:v>
                      </c:pt>
                      <c:pt idx="75">
                        <c:v>69.331999999999994</c:v>
                      </c:pt>
                      <c:pt idx="76">
                        <c:v>69.341999999999999</c:v>
                      </c:pt>
                      <c:pt idx="77">
                        <c:v>69.352000000000004</c:v>
                      </c:pt>
                      <c:pt idx="78">
                        <c:v>69.361999999999995</c:v>
                      </c:pt>
                      <c:pt idx="79">
                        <c:v>69.372</c:v>
                      </c:pt>
                      <c:pt idx="80">
                        <c:v>69.382000000000005</c:v>
                      </c:pt>
                      <c:pt idx="81">
                        <c:v>69.391999999999996</c:v>
                      </c:pt>
                      <c:pt idx="82">
                        <c:v>69.402000000000001</c:v>
                      </c:pt>
                      <c:pt idx="83">
                        <c:v>69.412000000000006</c:v>
                      </c:pt>
                      <c:pt idx="84">
                        <c:v>69.421999999999997</c:v>
                      </c:pt>
                      <c:pt idx="85">
                        <c:v>69.432000000000002</c:v>
                      </c:pt>
                      <c:pt idx="86">
                        <c:v>69.441999999999993</c:v>
                      </c:pt>
                      <c:pt idx="87">
                        <c:v>69.451999999999998</c:v>
                      </c:pt>
                      <c:pt idx="88">
                        <c:v>69.462000000000003</c:v>
                      </c:pt>
                      <c:pt idx="89">
                        <c:v>69.471999999999994</c:v>
                      </c:pt>
                      <c:pt idx="90">
                        <c:v>69.481999999999999</c:v>
                      </c:pt>
                      <c:pt idx="91">
                        <c:v>69.492000000000004</c:v>
                      </c:pt>
                      <c:pt idx="92">
                        <c:v>69.501999999999995</c:v>
                      </c:pt>
                      <c:pt idx="93">
                        <c:v>69.512</c:v>
                      </c:pt>
                      <c:pt idx="94">
                        <c:v>69.522000000000006</c:v>
                      </c:pt>
                      <c:pt idx="95">
                        <c:v>69.531999999999996</c:v>
                      </c:pt>
                      <c:pt idx="96">
                        <c:v>69.542000000000002</c:v>
                      </c:pt>
                      <c:pt idx="97">
                        <c:v>69.552000000000007</c:v>
                      </c:pt>
                      <c:pt idx="98">
                        <c:v>69.561999999999998</c:v>
                      </c:pt>
                      <c:pt idx="99">
                        <c:v>69.572000000000003</c:v>
                      </c:pt>
                      <c:pt idx="100">
                        <c:v>69.581999999999994</c:v>
                      </c:pt>
                      <c:pt idx="101">
                        <c:v>69.591999999999999</c:v>
                      </c:pt>
                      <c:pt idx="102">
                        <c:v>69.602000000000004</c:v>
                      </c:pt>
                      <c:pt idx="103">
                        <c:v>69.611999999999995</c:v>
                      </c:pt>
                      <c:pt idx="104">
                        <c:v>69.622</c:v>
                      </c:pt>
                      <c:pt idx="105">
                        <c:v>69.632000000000005</c:v>
                      </c:pt>
                      <c:pt idx="106">
                        <c:v>69.641999999999996</c:v>
                      </c:pt>
                      <c:pt idx="107">
                        <c:v>69.652000000000001</c:v>
                      </c:pt>
                      <c:pt idx="108">
                        <c:v>69.662000000000006</c:v>
                      </c:pt>
                      <c:pt idx="109">
                        <c:v>69.671999999999997</c:v>
                      </c:pt>
                      <c:pt idx="110">
                        <c:v>69.682000000000002</c:v>
                      </c:pt>
                      <c:pt idx="111">
                        <c:v>69.691999999999993</c:v>
                      </c:pt>
                      <c:pt idx="112">
                        <c:v>69.701999999999998</c:v>
                      </c:pt>
                      <c:pt idx="113">
                        <c:v>69.712000000000003</c:v>
                      </c:pt>
                      <c:pt idx="114">
                        <c:v>69.721999999999994</c:v>
                      </c:pt>
                      <c:pt idx="115">
                        <c:v>69.731999999999999</c:v>
                      </c:pt>
                      <c:pt idx="116">
                        <c:v>69.742000000000004</c:v>
                      </c:pt>
                      <c:pt idx="117">
                        <c:v>69.751999999999995</c:v>
                      </c:pt>
                      <c:pt idx="118">
                        <c:v>69.762</c:v>
                      </c:pt>
                      <c:pt idx="119">
                        <c:v>69.772000000000006</c:v>
                      </c:pt>
                      <c:pt idx="120">
                        <c:v>69.781999999999996</c:v>
                      </c:pt>
                      <c:pt idx="121">
                        <c:v>69.792000000000002</c:v>
                      </c:pt>
                      <c:pt idx="122">
                        <c:v>69.802000000000007</c:v>
                      </c:pt>
                      <c:pt idx="123">
                        <c:v>69.811999999999998</c:v>
                      </c:pt>
                      <c:pt idx="124">
                        <c:v>69.822000000000003</c:v>
                      </c:pt>
                      <c:pt idx="125">
                        <c:v>69.831999999999994</c:v>
                      </c:pt>
                      <c:pt idx="126">
                        <c:v>69.841999999999999</c:v>
                      </c:pt>
                      <c:pt idx="127">
                        <c:v>69.852000000000004</c:v>
                      </c:pt>
                      <c:pt idx="128">
                        <c:v>69.861999999999995</c:v>
                      </c:pt>
                      <c:pt idx="129">
                        <c:v>69.872</c:v>
                      </c:pt>
                      <c:pt idx="130">
                        <c:v>69.882000000000005</c:v>
                      </c:pt>
                      <c:pt idx="131">
                        <c:v>69.891999999999996</c:v>
                      </c:pt>
                      <c:pt idx="132">
                        <c:v>69.902000000000001</c:v>
                      </c:pt>
                      <c:pt idx="133">
                        <c:v>69.912000000000006</c:v>
                      </c:pt>
                      <c:pt idx="134">
                        <c:v>69.921999999999997</c:v>
                      </c:pt>
                      <c:pt idx="135">
                        <c:v>69.932000000000002</c:v>
                      </c:pt>
                      <c:pt idx="136">
                        <c:v>69.941999999999993</c:v>
                      </c:pt>
                      <c:pt idx="137">
                        <c:v>69.951999999999998</c:v>
                      </c:pt>
                      <c:pt idx="138">
                        <c:v>69.962000000000003</c:v>
                      </c:pt>
                      <c:pt idx="139">
                        <c:v>69.971999999999994</c:v>
                      </c:pt>
                      <c:pt idx="140">
                        <c:v>69.981999999999999</c:v>
                      </c:pt>
                      <c:pt idx="141">
                        <c:v>69.992000000000004</c:v>
                      </c:pt>
                      <c:pt idx="142">
                        <c:v>70.001999999999995</c:v>
                      </c:pt>
                      <c:pt idx="143">
                        <c:v>70.012</c:v>
                      </c:pt>
                      <c:pt idx="144">
                        <c:v>70.022000000000006</c:v>
                      </c:pt>
                      <c:pt idx="145">
                        <c:v>70.031999999999996</c:v>
                      </c:pt>
                      <c:pt idx="146">
                        <c:v>70.042000000000002</c:v>
                      </c:pt>
                      <c:pt idx="147">
                        <c:v>70.052000000000007</c:v>
                      </c:pt>
                      <c:pt idx="148">
                        <c:v>70.061999999999998</c:v>
                      </c:pt>
                      <c:pt idx="149">
                        <c:v>70.072000000000003</c:v>
                      </c:pt>
                      <c:pt idx="150">
                        <c:v>70.081999999999994</c:v>
                      </c:pt>
                      <c:pt idx="151">
                        <c:v>70.091999999999999</c:v>
                      </c:pt>
                      <c:pt idx="152">
                        <c:v>70.102000000000004</c:v>
                      </c:pt>
                      <c:pt idx="153">
                        <c:v>70.111999999999995</c:v>
                      </c:pt>
                      <c:pt idx="154">
                        <c:v>70.122</c:v>
                      </c:pt>
                      <c:pt idx="155">
                        <c:v>70.132000000000005</c:v>
                      </c:pt>
                      <c:pt idx="156">
                        <c:v>70.141999999999996</c:v>
                      </c:pt>
                      <c:pt idx="157">
                        <c:v>70.152000000000001</c:v>
                      </c:pt>
                      <c:pt idx="158">
                        <c:v>70.162000000000006</c:v>
                      </c:pt>
                      <c:pt idx="159">
                        <c:v>70.171999999999997</c:v>
                      </c:pt>
                      <c:pt idx="160">
                        <c:v>70.182000000000002</c:v>
                      </c:pt>
                      <c:pt idx="161">
                        <c:v>70.191999999999993</c:v>
                      </c:pt>
                      <c:pt idx="162">
                        <c:v>70.201999999999998</c:v>
                      </c:pt>
                      <c:pt idx="163">
                        <c:v>70.212000000000003</c:v>
                      </c:pt>
                      <c:pt idx="164">
                        <c:v>70.221999999999994</c:v>
                      </c:pt>
                      <c:pt idx="165">
                        <c:v>70.231999999999999</c:v>
                      </c:pt>
                      <c:pt idx="166">
                        <c:v>70.242000000000004</c:v>
                      </c:pt>
                      <c:pt idx="167">
                        <c:v>70.251999999999995</c:v>
                      </c:pt>
                      <c:pt idx="168">
                        <c:v>70.262</c:v>
                      </c:pt>
                      <c:pt idx="169">
                        <c:v>70.272000000000006</c:v>
                      </c:pt>
                      <c:pt idx="170">
                        <c:v>70.281999999999996</c:v>
                      </c:pt>
                      <c:pt idx="171">
                        <c:v>70.292000000000002</c:v>
                      </c:pt>
                      <c:pt idx="172">
                        <c:v>70.302000000000007</c:v>
                      </c:pt>
                      <c:pt idx="173">
                        <c:v>70.311999999999998</c:v>
                      </c:pt>
                      <c:pt idx="174">
                        <c:v>70.322000000000003</c:v>
                      </c:pt>
                      <c:pt idx="175">
                        <c:v>70.331999999999994</c:v>
                      </c:pt>
                      <c:pt idx="176">
                        <c:v>70.341999999999999</c:v>
                      </c:pt>
                      <c:pt idx="177">
                        <c:v>70.352000000000004</c:v>
                      </c:pt>
                      <c:pt idx="178">
                        <c:v>70.361999999999995</c:v>
                      </c:pt>
                      <c:pt idx="179">
                        <c:v>70.372</c:v>
                      </c:pt>
                      <c:pt idx="180">
                        <c:v>70.382000000000005</c:v>
                      </c:pt>
                      <c:pt idx="181">
                        <c:v>70.391999999999996</c:v>
                      </c:pt>
                      <c:pt idx="182">
                        <c:v>70.402000000000001</c:v>
                      </c:pt>
                      <c:pt idx="183">
                        <c:v>70.412000000000006</c:v>
                      </c:pt>
                      <c:pt idx="184">
                        <c:v>70.421999999999997</c:v>
                      </c:pt>
                      <c:pt idx="185">
                        <c:v>70.432000000000002</c:v>
                      </c:pt>
                      <c:pt idx="186">
                        <c:v>70.441999999999993</c:v>
                      </c:pt>
                      <c:pt idx="187">
                        <c:v>70.451999999999998</c:v>
                      </c:pt>
                      <c:pt idx="188">
                        <c:v>70.462000000000003</c:v>
                      </c:pt>
                      <c:pt idx="189">
                        <c:v>70.471999999999994</c:v>
                      </c:pt>
                      <c:pt idx="190">
                        <c:v>70.481999999999999</c:v>
                      </c:pt>
                      <c:pt idx="191">
                        <c:v>70.492000000000004</c:v>
                      </c:pt>
                      <c:pt idx="192">
                        <c:v>70.501999999999995</c:v>
                      </c:pt>
                      <c:pt idx="193">
                        <c:v>70.512</c:v>
                      </c:pt>
                      <c:pt idx="194">
                        <c:v>70.522000000000006</c:v>
                      </c:pt>
                      <c:pt idx="195">
                        <c:v>70.531999999999996</c:v>
                      </c:pt>
                      <c:pt idx="196">
                        <c:v>70.542000000000002</c:v>
                      </c:pt>
                      <c:pt idx="197">
                        <c:v>70.552000000000007</c:v>
                      </c:pt>
                      <c:pt idx="198">
                        <c:v>70.561999999999998</c:v>
                      </c:pt>
                      <c:pt idx="199">
                        <c:v>70.572000000000003</c:v>
                      </c:pt>
                      <c:pt idx="200">
                        <c:v>70.581999999999994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'θ-scan2_thermo'!$X$5:$X$205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0</c:v>
                      </c:pt>
                      <c:pt idx="1">
                        <c:v>5.0329946773816441E-4</c:v>
                      </c:pt>
                      <c:pt idx="2">
                        <c:v>7.5476355811341018E-4</c:v>
                      </c:pt>
                      <c:pt idx="3">
                        <c:v>2.516848159104268E-4</c:v>
                      </c:pt>
                      <c:pt idx="4">
                        <c:v>2.5172718200708473E-4</c:v>
                      </c:pt>
                      <c:pt idx="5">
                        <c:v>7.5493789780194294E-4</c:v>
                      </c:pt>
                      <c:pt idx="6">
                        <c:v>5.0330797911000101E-4</c:v>
                      </c:pt>
                      <c:pt idx="7">
                        <c:v>7.5563067643932217E-4</c:v>
                      </c:pt>
                      <c:pt idx="8">
                        <c:v>1.0066520067934918E-3</c:v>
                      </c:pt>
                      <c:pt idx="9">
                        <c:v>5.0344603778402792E-4</c:v>
                      </c:pt>
                      <c:pt idx="10">
                        <c:v>0</c:v>
                      </c:pt>
                      <c:pt idx="11">
                        <c:v>1.2593360563705012E-3</c:v>
                      </c:pt>
                      <c:pt idx="12">
                        <c:v>0</c:v>
                      </c:pt>
                      <c:pt idx="13">
                        <c:v>1.5106504634297959E-3</c:v>
                      </c:pt>
                      <c:pt idx="14">
                        <c:v>1.2592046284332686E-3</c:v>
                      </c:pt>
                      <c:pt idx="15">
                        <c:v>1.511342321857073E-3</c:v>
                      </c:pt>
                      <c:pt idx="16">
                        <c:v>1.0073549757002055E-3</c:v>
                      </c:pt>
                      <c:pt idx="17">
                        <c:v>2.0143018452465273E-3</c:v>
                      </c:pt>
                      <c:pt idx="18">
                        <c:v>2.0149528137090741E-3</c:v>
                      </c:pt>
                      <c:pt idx="19">
                        <c:v>1.0076098728033602E-3</c:v>
                      </c:pt>
                      <c:pt idx="20">
                        <c:v>7.5559200419444235E-4</c:v>
                      </c:pt>
                      <c:pt idx="21">
                        <c:v>1.5116674271193641E-3</c:v>
                      </c:pt>
                      <c:pt idx="22">
                        <c:v>3.0232396431367926E-3</c:v>
                      </c:pt>
                      <c:pt idx="23">
                        <c:v>1.5117285189550347E-3</c:v>
                      </c:pt>
                      <c:pt idx="24">
                        <c:v>2.7721309610108601E-3</c:v>
                      </c:pt>
                      <c:pt idx="25">
                        <c:v>2.5198903132064906E-3</c:v>
                      </c:pt>
                      <c:pt idx="26">
                        <c:v>7.5580480766430415E-4</c:v>
                      </c:pt>
                      <c:pt idx="27">
                        <c:v>1.5119760218746644E-3</c:v>
                      </c:pt>
                      <c:pt idx="28">
                        <c:v>1.7643224165127672E-3</c:v>
                      </c:pt>
                      <c:pt idx="29">
                        <c:v>2.5214939074781687E-3</c:v>
                      </c:pt>
                      <c:pt idx="30">
                        <c:v>1.7646620030683439E-3</c:v>
                      </c:pt>
                      <c:pt idx="31">
                        <c:v>4.0332054815598187E-3</c:v>
                      </c:pt>
                      <c:pt idx="32">
                        <c:v>1.7645766382354718E-3</c:v>
                      </c:pt>
                      <c:pt idx="33">
                        <c:v>3.0248467719755307E-3</c:v>
                      </c:pt>
                      <c:pt idx="34">
                        <c:v>3.0240584260184142E-3</c:v>
                      </c:pt>
                      <c:pt idx="35">
                        <c:v>2.7726182572728108E-3</c:v>
                      </c:pt>
                      <c:pt idx="36">
                        <c:v>4.5360484304818828E-3</c:v>
                      </c:pt>
                      <c:pt idx="37">
                        <c:v>5.0383534580285506E-3</c:v>
                      </c:pt>
                      <c:pt idx="38">
                        <c:v>5.7941566887089822E-3</c:v>
                      </c:pt>
                      <c:pt idx="39">
                        <c:v>6.046161384089279E-3</c:v>
                      </c:pt>
                      <c:pt idx="40">
                        <c:v>8.063932672613329E-3</c:v>
                      </c:pt>
                      <c:pt idx="41">
                        <c:v>5.5472996048103766E-3</c:v>
                      </c:pt>
                      <c:pt idx="42">
                        <c:v>8.8263312156442938E-3</c:v>
                      </c:pt>
                      <c:pt idx="43">
                        <c:v>7.3181451035754736E-3</c:v>
                      </c:pt>
                      <c:pt idx="44">
                        <c:v>6.5608576958797694E-3</c:v>
                      </c:pt>
                      <c:pt idx="45">
                        <c:v>7.0664167207773318E-3</c:v>
                      </c:pt>
                      <c:pt idx="46">
                        <c:v>1.4393201560627069E-2</c:v>
                      </c:pt>
                      <c:pt idx="47">
                        <c:v>1.0360543633391608E-2</c:v>
                      </c:pt>
                      <c:pt idx="48">
                        <c:v>1.0106325109260744E-2</c:v>
                      </c:pt>
                      <c:pt idx="49">
                        <c:v>9.6038342550065665E-3</c:v>
                      </c:pt>
                      <c:pt idx="50">
                        <c:v>1.7705902381441339E-2</c:v>
                      </c:pt>
                      <c:pt idx="51">
                        <c:v>1.8972648776555068E-2</c:v>
                      </c:pt>
                      <c:pt idx="52">
                        <c:v>1.8478143634052972E-2</c:v>
                      </c:pt>
                      <c:pt idx="53">
                        <c:v>1.848423219031568E-2</c:v>
                      </c:pt>
                      <c:pt idx="54">
                        <c:v>2.3687849164946005E-2</c:v>
                      </c:pt>
                      <c:pt idx="55">
                        <c:v>2.3058025826053142E-2</c:v>
                      </c:pt>
                      <c:pt idx="56">
                        <c:v>2.2820924962516632E-2</c:v>
                      </c:pt>
                      <c:pt idx="57">
                        <c:v>2.9654257964924588E-2</c:v>
                      </c:pt>
                      <c:pt idx="58">
                        <c:v>2.9404271984446152E-2</c:v>
                      </c:pt>
                      <c:pt idx="59">
                        <c:v>3.0677033509563172E-2</c:v>
                      </c:pt>
                      <c:pt idx="60">
                        <c:v>3.3721051903113482E-2</c:v>
                      </c:pt>
                      <c:pt idx="61">
                        <c:v>4.0574226743994385E-2</c:v>
                      </c:pt>
                      <c:pt idx="62">
                        <c:v>5.0193060763719363E-2</c:v>
                      </c:pt>
                      <c:pt idx="63">
                        <c:v>5.0708290871478261E-2</c:v>
                      </c:pt>
                      <c:pt idx="64">
                        <c:v>5.2716440143954407E-2</c:v>
                      </c:pt>
                      <c:pt idx="65">
                        <c:v>6.8676654093686104E-2</c:v>
                      </c:pt>
                      <c:pt idx="66">
                        <c:v>7.5228712383079197E-2</c:v>
                      </c:pt>
                      <c:pt idx="67">
                        <c:v>9.1185403405364476E-2</c:v>
                      </c:pt>
                      <c:pt idx="68">
                        <c:v>0.10844554286145887</c:v>
                      </c:pt>
                      <c:pt idx="69">
                        <c:v>0.1152036541079914</c:v>
                      </c:pt>
                      <c:pt idx="70">
                        <c:v>0.12787700146815459</c:v>
                      </c:pt>
                      <c:pt idx="71">
                        <c:v>0.14154645093670834</c:v>
                      </c:pt>
                      <c:pt idx="72">
                        <c:v>0.16392803807427578</c:v>
                      </c:pt>
                      <c:pt idx="73">
                        <c:v>0.20094451562821139</c:v>
                      </c:pt>
                      <c:pt idx="74">
                        <c:v>0.23633475346118324</c:v>
                      </c:pt>
                      <c:pt idx="75">
                        <c:v>0.26735571964861299</c:v>
                      </c:pt>
                      <c:pt idx="76">
                        <c:v>0.31927070867100221</c:v>
                      </c:pt>
                      <c:pt idx="77">
                        <c:v>0.35811729753180899</c:v>
                      </c:pt>
                      <c:pt idx="78">
                        <c:v>0.42973247771526529</c:v>
                      </c:pt>
                      <c:pt idx="79">
                        <c:v>0.509895044532651</c:v>
                      </c:pt>
                      <c:pt idx="80">
                        <c:v>0.62884173086060957</c:v>
                      </c:pt>
                      <c:pt idx="81">
                        <c:v>0.72073461655890958</c:v>
                      </c:pt>
                      <c:pt idx="82">
                        <c:v>0.89216891186536174</c:v>
                      </c:pt>
                      <c:pt idx="83">
                        <c:v>1.156744545250296</c:v>
                      </c:pt>
                      <c:pt idx="84">
                        <c:v>1.4451882644619369</c:v>
                      </c:pt>
                      <c:pt idx="85">
                        <c:v>1.8013899786985255</c:v>
                      </c:pt>
                      <c:pt idx="86">
                        <c:v>2.2975310590610429</c:v>
                      </c:pt>
                      <c:pt idx="87">
                        <c:v>3.0249799365000478</c:v>
                      </c:pt>
                      <c:pt idx="88">
                        <c:v>4.1010124944180664</c:v>
                      </c:pt>
                      <c:pt idx="89">
                        <c:v>5.5776975141823684</c:v>
                      </c:pt>
                      <c:pt idx="90">
                        <c:v>7.8343271717129941</c:v>
                      </c:pt>
                      <c:pt idx="91">
                        <c:v>11.133852701796579</c:v>
                      </c:pt>
                      <c:pt idx="92">
                        <c:v>16.608759067995173</c:v>
                      </c:pt>
                      <c:pt idx="93">
                        <c:v>26.251302135343455</c:v>
                      </c:pt>
                      <c:pt idx="94">
                        <c:v>43.191839340966396</c:v>
                      </c:pt>
                      <c:pt idx="95">
                        <c:v>78.646007109312905</c:v>
                      </c:pt>
                      <c:pt idx="96">
                        <c:v>155.41573011829033</c:v>
                      </c:pt>
                      <c:pt idx="97">
                        <c:v>360.12797038067777</c:v>
                      </c:pt>
                      <c:pt idx="98">
                        <c:v>1270.2159755141679</c:v>
                      </c:pt>
                      <c:pt idx="99">
                        <c:v>6333.3870766085902</c:v>
                      </c:pt>
                      <c:pt idx="100">
                        <c:v>9787.7558285354335</c:v>
                      </c:pt>
                      <c:pt idx="101">
                        <c:v>3418.2673987841531</c:v>
                      </c:pt>
                      <c:pt idx="102">
                        <c:v>731.47285666191976</c:v>
                      </c:pt>
                      <c:pt idx="103">
                        <c:v>222.7357950585652</c:v>
                      </c:pt>
                      <c:pt idx="104">
                        <c:v>82.743696328671135</c:v>
                      </c:pt>
                      <c:pt idx="105">
                        <c:v>35.62360428180579</c:v>
                      </c:pt>
                      <c:pt idx="106">
                        <c:v>17.935443060905154</c:v>
                      </c:pt>
                      <c:pt idx="107">
                        <c:v>10.050895320836736</c:v>
                      </c:pt>
                      <c:pt idx="108">
                        <c:v>5.8710863043591663</c:v>
                      </c:pt>
                      <c:pt idx="109">
                        <c:v>3.5596471210941267</c:v>
                      </c:pt>
                      <c:pt idx="110">
                        <c:v>2.2343752135613038</c:v>
                      </c:pt>
                      <c:pt idx="111">
                        <c:v>1.4556035571989354</c:v>
                      </c:pt>
                      <c:pt idx="112">
                        <c:v>1.010831202556256</c:v>
                      </c:pt>
                      <c:pt idx="113">
                        <c:v>0.71464445344856897</c:v>
                      </c:pt>
                      <c:pt idx="114">
                        <c:v>0.48768926596179885</c:v>
                      </c:pt>
                      <c:pt idx="115">
                        <c:v>0.37656875785731309</c:v>
                      </c:pt>
                      <c:pt idx="116">
                        <c:v>0.27261515650754758</c:v>
                      </c:pt>
                      <c:pt idx="117">
                        <c:v>0.23054331943286752</c:v>
                      </c:pt>
                      <c:pt idx="118">
                        <c:v>0.1665655490872742</c:v>
                      </c:pt>
                      <c:pt idx="119">
                        <c:v>0.13776432194840843</c:v>
                      </c:pt>
                      <c:pt idx="120">
                        <c:v>0.10904419685847989</c:v>
                      </c:pt>
                      <c:pt idx="121">
                        <c:v>9.0486425028260487E-2</c:v>
                      </c:pt>
                      <c:pt idx="122">
                        <c:v>7.3177368983924615E-2</c:v>
                      </c:pt>
                      <c:pt idx="123">
                        <c:v>5.5877250481661901E-2</c:v>
                      </c:pt>
                      <c:pt idx="124">
                        <c:v>5.2096668545111587E-2</c:v>
                      </c:pt>
                      <c:pt idx="125">
                        <c:v>3.9384030710599968E-2</c:v>
                      </c:pt>
                      <c:pt idx="126">
                        <c:v>3.608509179755115E-2</c:v>
                      </c:pt>
                      <c:pt idx="127">
                        <c:v>3.201526325134614E-2</c:v>
                      </c:pt>
                      <c:pt idx="128">
                        <c:v>2.7448491190749859E-2</c:v>
                      </c:pt>
                      <c:pt idx="129">
                        <c:v>2.6435107327298299E-2</c:v>
                      </c:pt>
                      <c:pt idx="130">
                        <c:v>1.5253908553479224E-2</c:v>
                      </c:pt>
                      <c:pt idx="131">
                        <c:v>1.3477202041312964E-2</c:v>
                      </c:pt>
                      <c:pt idx="132">
                        <c:v>1.5508430153818713E-2</c:v>
                      </c:pt>
                      <c:pt idx="133">
                        <c:v>1.0925622554042131E-2</c:v>
                      </c:pt>
                      <c:pt idx="134">
                        <c:v>1.2451412492044754E-2</c:v>
                      </c:pt>
                      <c:pt idx="135">
                        <c:v>9.1534065165135084E-3</c:v>
                      </c:pt>
                      <c:pt idx="136">
                        <c:v>8.6437404332542697E-3</c:v>
                      </c:pt>
                      <c:pt idx="137">
                        <c:v>8.8946053811752648E-3</c:v>
                      </c:pt>
                      <c:pt idx="138">
                        <c:v>6.1019334077701409E-3</c:v>
                      </c:pt>
                      <c:pt idx="139">
                        <c:v>1.017045452956321E-2</c:v>
                      </c:pt>
                      <c:pt idx="140">
                        <c:v>4.8318548832238586E-3</c:v>
                      </c:pt>
                      <c:pt idx="141">
                        <c:v>4.8326448722013421E-3</c:v>
                      </c:pt>
                      <c:pt idx="142">
                        <c:v>3.5605004690323562E-3</c:v>
                      </c:pt>
                      <c:pt idx="143">
                        <c:v>3.8154853661128635E-3</c:v>
                      </c:pt>
                      <c:pt idx="144">
                        <c:v>5.3410063417328969E-3</c:v>
                      </c:pt>
                      <c:pt idx="145">
                        <c:v>5.3395509437656292E-3</c:v>
                      </c:pt>
                      <c:pt idx="146">
                        <c:v>2.0344447259042211E-3</c:v>
                      </c:pt>
                      <c:pt idx="147">
                        <c:v>2.0344739060284131E-3</c:v>
                      </c:pt>
                      <c:pt idx="148">
                        <c:v>2.7968835293029105E-3</c:v>
                      </c:pt>
                      <c:pt idx="149">
                        <c:v>2.5424888016080732E-3</c:v>
                      </c:pt>
                      <c:pt idx="150">
                        <c:v>1.0170948729315405E-3</c:v>
                      </c:pt>
                      <c:pt idx="151">
                        <c:v>2.8065311142755176E-3</c:v>
                      </c:pt>
                      <c:pt idx="152">
                        <c:v>2.0366596185514741E-3</c:v>
                      </c:pt>
                      <c:pt idx="153">
                        <c:v>3.3042247232718145E-3</c:v>
                      </c:pt>
                      <c:pt idx="154">
                        <c:v>1.7798749337822957E-3</c:v>
                      </c:pt>
                      <c:pt idx="155">
                        <c:v>1.2712528043836865E-3</c:v>
                      </c:pt>
                      <c:pt idx="156">
                        <c:v>1.5260526564977808E-3</c:v>
                      </c:pt>
                      <c:pt idx="157">
                        <c:v>1.2717329301838206E-3</c:v>
                      </c:pt>
                      <c:pt idx="158">
                        <c:v>1.0182179556627174E-3</c:v>
                      </c:pt>
                      <c:pt idx="159">
                        <c:v>1.5280641200153785E-3</c:v>
                      </c:pt>
                      <c:pt idx="160">
                        <c:v>2.8023191585746302E-3</c:v>
                      </c:pt>
                      <c:pt idx="161">
                        <c:v>1.7840784859963347E-3</c:v>
                      </c:pt>
                      <c:pt idx="162">
                        <c:v>1.0192939086078657E-3</c:v>
                      </c:pt>
                      <c:pt idx="163">
                        <c:v>1.2745262178199973E-3</c:v>
                      </c:pt>
                      <c:pt idx="164">
                        <c:v>1.53009529127455E-3</c:v>
                      </c:pt>
                      <c:pt idx="165">
                        <c:v>1.5375852331544276E-3</c:v>
                      </c:pt>
                      <c:pt idx="166">
                        <c:v>0</c:v>
                      </c:pt>
                      <c:pt idx="167">
                        <c:v>1.5296172912833382E-3</c:v>
                      </c:pt>
                      <c:pt idx="168">
                        <c:v>5.0990854280376276E-4</c:v>
                      </c:pt>
                      <c:pt idx="169">
                        <c:v>1.0199061456867085E-3</c:v>
                      </c:pt>
                      <c:pt idx="170">
                        <c:v>5.1012395833644191E-4</c:v>
                      </c:pt>
                      <c:pt idx="171">
                        <c:v>2.5501703947352651E-4</c:v>
                      </c:pt>
                      <c:pt idx="172">
                        <c:v>5.1031844764190136E-4</c:v>
                      </c:pt>
                      <c:pt idx="173">
                        <c:v>7.6563782722499391E-4</c:v>
                      </c:pt>
                      <c:pt idx="174">
                        <c:v>0</c:v>
                      </c:pt>
                      <c:pt idx="175">
                        <c:v>5.1055832054086917E-4</c:v>
                      </c:pt>
                      <c:pt idx="176">
                        <c:v>2.5540155125794206E-4</c:v>
                      </c:pt>
                      <c:pt idx="177">
                        <c:v>2.55291138609711E-4</c:v>
                      </c:pt>
                      <c:pt idx="178">
                        <c:v>1.0217441719648573E-3</c:v>
                      </c:pt>
                      <c:pt idx="179">
                        <c:v>7.6629932065266329E-4</c:v>
                      </c:pt>
                      <c:pt idx="180">
                        <c:v>5.1088593189246813E-4</c:v>
                      </c:pt>
                      <c:pt idx="181">
                        <c:v>7.6665612173763224E-4</c:v>
                      </c:pt>
                      <c:pt idx="182">
                        <c:v>0</c:v>
                      </c:pt>
                      <c:pt idx="183">
                        <c:v>2.5559552927635919E-4</c:v>
                      </c:pt>
                      <c:pt idx="184">
                        <c:v>5.1128839127121295E-4</c:v>
                      </c:pt>
                      <c:pt idx="185">
                        <c:v>7.6654291597831115E-4</c:v>
                      </c:pt>
                      <c:pt idx="186">
                        <c:v>2.5558656644163207E-4</c:v>
                      </c:pt>
                      <c:pt idx="187">
                        <c:v>7.6713713397106469E-4</c:v>
                      </c:pt>
                      <c:pt idx="188">
                        <c:v>5.1141642558070186E-4</c:v>
                      </c:pt>
                      <c:pt idx="189">
                        <c:v>5.1128342441890146E-4</c:v>
                      </c:pt>
                      <c:pt idx="190">
                        <c:v>5.112792810922479E-4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5.1107831237648198E-4</c:v>
                      </c:pt>
                      <c:pt idx="198">
                        <c:v>2.5555441777049779E-4</c:v>
                      </c:pt>
                      <c:pt idx="199">
                        <c:v>2.5562869461750011E-4</c:v>
                      </c:pt>
                      <c:pt idx="2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BD-4DB1-9EB0-4E5984FDA6F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'θ-scan2_thermo'!$AI$2</c15:sqref>
                        </c15:formulaRef>
                      </c:ext>
                    </c:extLst>
                    <c:strCache>
                      <c:ptCount val="1"/>
                      <c:pt idx="0">
                        <c:v>Si_TEOS-2θ-scan_2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'θ-scan2_thermo'!$AG$5:$AG$205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68.584599999999995</c:v>
                      </c:pt>
                      <c:pt idx="1">
                        <c:v>68.5946</c:v>
                      </c:pt>
                      <c:pt idx="2">
                        <c:v>68.604600000000005</c:v>
                      </c:pt>
                      <c:pt idx="3">
                        <c:v>68.614599999999996</c:v>
                      </c:pt>
                      <c:pt idx="4">
                        <c:v>68.624600000000001</c:v>
                      </c:pt>
                      <c:pt idx="5">
                        <c:v>68.634600000000006</c:v>
                      </c:pt>
                      <c:pt idx="6">
                        <c:v>68.644599999999997</c:v>
                      </c:pt>
                      <c:pt idx="7">
                        <c:v>68.654600000000002</c:v>
                      </c:pt>
                      <c:pt idx="8">
                        <c:v>68.664599999999993</c:v>
                      </c:pt>
                      <c:pt idx="9">
                        <c:v>68.674599999999998</c:v>
                      </c:pt>
                      <c:pt idx="10">
                        <c:v>68.684600000000003</c:v>
                      </c:pt>
                      <c:pt idx="11">
                        <c:v>68.694599999999994</c:v>
                      </c:pt>
                      <c:pt idx="12">
                        <c:v>68.704599999999999</c:v>
                      </c:pt>
                      <c:pt idx="13">
                        <c:v>68.714600000000004</c:v>
                      </c:pt>
                      <c:pt idx="14">
                        <c:v>68.724599999999995</c:v>
                      </c:pt>
                      <c:pt idx="15">
                        <c:v>68.7346</c:v>
                      </c:pt>
                      <c:pt idx="16">
                        <c:v>68.744600000000005</c:v>
                      </c:pt>
                      <c:pt idx="17">
                        <c:v>68.754599999999996</c:v>
                      </c:pt>
                      <c:pt idx="18">
                        <c:v>68.764600000000002</c:v>
                      </c:pt>
                      <c:pt idx="19">
                        <c:v>68.774600000000007</c:v>
                      </c:pt>
                      <c:pt idx="20">
                        <c:v>68.784599999999998</c:v>
                      </c:pt>
                      <c:pt idx="21">
                        <c:v>68.794600000000003</c:v>
                      </c:pt>
                      <c:pt idx="22">
                        <c:v>68.804599999999994</c:v>
                      </c:pt>
                      <c:pt idx="23">
                        <c:v>68.814599999999999</c:v>
                      </c:pt>
                      <c:pt idx="24">
                        <c:v>68.824600000000004</c:v>
                      </c:pt>
                      <c:pt idx="25">
                        <c:v>68.834599999999995</c:v>
                      </c:pt>
                      <c:pt idx="26">
                        <c:v>68.8446</c:v>
                      </c:pt>
                      <c:pt idx="27">
                        <c:v>68.854600000000005</c:v>
                      </c:pt>
                      <c:pt idx="28">
                        <c:v>68.864599999999996</c:v>
                      </c:pt>
                      <c:pt idx="29">
                        <c:v>68.874600000000001</c:v>
                      </c:pt>
                      <c:pt idx="30">
                        <c:v>68.884600000000006</c:v>
                      </c:pt>
                      <c:pt idx="31">
                        <c:v>68.894599999999997</c:v>
                      </c:pt>
                      <c:pt idx="32">
                        <c:v>68.904600000000002</c:v>
                      </c:pt>
                      <c:pt idx="33">
                        <c:v>68.914599999999993</c:v>
                      </c:pt>
                      <c:pt idx="34">
                        <c:v>68.924599999999998</c:v>
                      </c:pt>
                      <c:pt idx="35">
                        <c:v>68.934600000000003</c:v>
                      </c:pt>
                      <c:pt idx="36">
                        <c:v>68.944599999999994</c:v>
                      </c:pt>
                      <c:pt idx="37">
                        <c:v>68.954599999999999</c:v>
                      </c:pt>
                      <c:pt idx="38">
                        <c:v>68.964600000000004</c:v>
                      </c:pt>
                      <c:pt idx="39">
                        <c:v>68.974599999999995</c:v>
                      </c:pt>
                      <c:pt idx="40">
                        <c:v>68.9846</c:v>
                      </c:pt>
                      <c:pt idx="41">
                        <c:v>68.994600000000005</c:v>
                      </c:pt>
                      <c:pt idx="42">
                        <c:v>69.004599999999996</c:v>
                      </c:pt>
                      <c:pt idx="43">
                        <c:v>69.014600000000002</c:v>
                      </c:pt>
                      <c:pt idx="44">
                        <c:v>69.024600000000007</c:v>
                      </c:pt>
                      <c:pt idx="45">
                        <c:v>69.034599999999998</c:v>
                      </c:pt>
                      <c:pt idx="46">
                        <c:v>69.044600000000003</c:v>
                      </c:pt>
                      <c:pt idx="47">
                        <c:v>69.054599999999994</c:v>
                      </c:pt>
                      <c:pt idx="48">
                        <c:v>69.064599999999999</c:v>
                      </c:pt>
                      <c:pt idx="49">
                        <c:v>69.074600000000004</c:v>
                      </c:pt>
                      <c:pt idx="50">
                        <c:v>69.084599999999995</c:v>
                      </c:pt>
                      <c:pt idx="51">
                        <c:v>69.0946</c:v>
                      </c:pt>
                      <c:pt idx="52">
                        <c:v>69.104600000000005</c:v>
                      </c:pt>
                      <c:pt idx="53">
                        <c:v>69.114599999999996</c:v>
                      </c:pt>
                      <c:pt idx="54">
                        <c:v>69.124600000000001</c:v>
                      </c:pt>
                      <c:pt idx="55">
                        <c:v>69.134600000000006</c:v>
                      </c:pt>
                      <c:pt idx="56">
                        <c:v>69.144599999999997</c:v>
                      </c:pt>
                      <c:pt idx="57">
                        <c:v>69.154600000000002</c:v>
                      </c:pt>
                      <c:pt idx="58">
                        <c:v>69.164599999999993</c:v>
                      </c:pt>
                      <c:pt idx="59">
                        <c:v>69.174599999999998</c:v>
                      </c:pt>
                      <c:pt idx="60">
                        <c:v>69.184600000000003</c:v>
                      </c:pt>
                      <c:pt idx="61">
                        <c:v>69.194599999999994</c:v>
                      </c:pt>
                      <c:pt idx="62">
                        <c:v>69.204599999999999</c:v>
                      </c:pt>
                      <c:pt idx="63">
                        <c:v>69.214600000000004</c:v>
                      </c:pt>
                      <c:pt idx="64">
                        <c:v>69.224599999999995</c:v>
                      </c:pt>
                      <c:pt idx="65">
                        <c:v>69.2346</c:v>
                      </c:pt>
                      <c:pt idx="66">
                        <c:v>69.244600000000005</c:v>
                      </c:pt>
                      <c:pt idx="67">
                        <c:v>69.254599999999996</c:v>
                      </c:pt>
                      <c:pt idx="68">
                        <c:v>69.264600000000002</c:v>
                      </c:pt>
                      <c:pt idx="69">
                        <c:v>69.274600000000007</c:v>
                      </c:pt>
                      <c:pt idx="70">
                        <c:v>69.284599999999998</c:v>
                      </c:pt>
                      <c:pt idx="71">
                        <c:v>69.294600000000003</c:v>
                      </c:pt>
                      <c:pt idx="72">
                        <c:v>69.304599999999994</c:v>
                      </c:pt>
                      <c:pt idx="73">
                        <c:v>69.314599999999999</c:v>
                      </c:pt>
                      <c:pt idx="74">
                        <c:v>69.324600000000004</c:v>
                      </c:pt>
                      <c:pt idx="75">
                        <c:v>69.334599999999995</c:v>
                      </c:pt>
                      <c:pt idx="76">
                        <c:v>69.3446</c:v>
                      </c:pt>
                      <c:pt idx="77">
                        <c:v>69.354600000000005</c:v>
                      </c:pt>
                      <c:pt idx="78">
                        <c:v>69.364599999999996</c:v>
                      </c:pt>
                      <c:pt idx="79">
                        <c:v>69.374600000000001</c:v>
                      </c:pt>
                      <c:pt idx="80">
                        <c:v>69.384600000000006</c:v>
                      </c:pt>
                      <c:pt idx="81">
                        <c:v>69.394599999999997</c:v>
                      </c:pt>
                      <c:pt idx="82">
                        <c:v>69.404600000000002</c:v>
                      </c:pt>
                      <c:pt idx="83">
                        <c:v>69.414599999999993</c:v>
                      </c:pt>
                      <c:pt idx="84">
                        <c:v>69.424599999999998</c:v>
                      </c:pt>
                      <c:pt idx="85">
                        <c:v>69.434600000000003</c:v>
                      </c:pt>
                      <c:pt idx="86">
                        <c:v>69.444599999999994</c:v>
                      </c:pt>
                      <c:pt idx="87">
                        <c:v>69.454599999999999</c:v>
                      </c:pt>
                      <c:pt idx="88">
                        <c:v>69.464600000000004</c:v>
                      </c:pt>
                      <c:pt idx="89">
                        <c:v>69.474599999999995</c:v>
                      </c:pt>
                      <c:pt idx="90">
                        <c:v>69.4846</c:v>
                      </c:pt>
                      <c:pt idx="91">
                        <c:v>69.494600000000005</c:v>
                      </c:pt>
                      <c:pt idx="92">
                        <c:v>69.504599999999996</c:v>
                      </c:pt>
                      <c:pt idx="93">
                        <c:v>69.514600000000002</c:v>
                      </c:pt>
                      <c:pt idx="94">
                        <c:v>69.524600000000007</c:v>
                      </c:pt>
                      <c:pt idx="95">
                        <c:v>69.534599999999998</c:v>
                      </c:pt>
                      <c:pt idx="96">
                        <c:v>69.544600000000003</c:v>
                      </c:pt>
                      <c:pt idx="97">
                        <c:v>69.554599999999994</c:v>
                      </c:pt>
                      <c:pt idx="98">
                        <c:v>69.564599999999999</c:v>
                      </c:pt>
                      <c:pt idx="99">
                        <c:v>69.574600000000004</c:v>
                      </c:pt>
                      <c:pt idx="100">
                        <c:v>69.584599999999995</c:v>
                      </c:pt>
                      <c:pt idx="101">
                        <c:v>69.5946</c:v>
                      </c:pt>
                      <c:pt idx="102">
                        <c:v>69.604600000000005</c:v>
                      </c:pt>
                      <c:pt idx="103">
                        <c:v>69.614599999999996</c:v>
                      </c:pt>
                      <c:pt idx="104">
                        <c:v>69.624600000000001</c:v>
                      </c:pt>
                      <c:pt idx="105">
                        <c:v>69.634600000000006</c:v>
                      </c:pt>
                      <c:pt idx="106">
                        <c:v>69.644599999999997</c:v>
                      </c:pt>
                      <c:pt idx="107">
                        <c:v>69.654600000000002</c:v>
                      </c:pt>
                      <c:pt idx="108">
                        <c:v>69.664599999999993</c:v>
                      </c:pt>
                      <c:pt idx="109">
                        <c:v>69.674599999999998</c:v>
                      </c:pt>
                      <c:pt idx="110">
                        <c:v>69.684600000000003</c:v>
                      </c:pt>
                      <c:pt idx="111">
                        <c:v>69.694599999999994</c:v>
                      </c:pt>
                      <c:pt idx="112">
                        <c:v>69.704599999999999</c:v>
                      </c:pt>
                      <c:pt idx="113">
                        <c:v>69.714600000000004</c:v>
                      </c:pt>
                      <c:pt idx="114">
                        <c:v>69.724599999999995</c:v>
                      </c:pt>
                      <c:pt idx="115">
                        <c:v>69.7346</c:v>
                      </c:pt>
                      <c:pt idx="116">
                        <c:v>69.744600000000005</c:v>
                      </c:pt>
                      <c:pt idx="117">
                        <c:v>69.754599999999996</c:v>
                      </c:pt>
                      <c:pt idx="118">
                        <c:v>69.764600000000002</c:v>
                      </c:pt>
                      <c:pt idx="119">
                        <c:v>69.774600000000007</c:v>
                      </c:pt>
                      <c:pt idx="120">
                        <c:v>69.784599999999998</c:v>
                      </c:pt>
                      <c:pt idx="121">
                        <c:v>69.794600000000003</c:v>
                      </c:pt>
                      <c:pt idx="122">
                        <c:v>69.804599999999994</c:v>
                      </c:pt>
                      <c:pt idx="123">
                        <c:v>69.814599999999999</c:v>
                      </c:pt>
                      <c:pt idx="124">
                        <c:v>69.824600000000004</c:v>
                      </c:pt>
                      <c:pt idx="125">
                        <c:v>69.834599999999995</c:v>
                      </c:pt>
                      <c:pt idx="126">
                        <c:v>69.8446</c:v>
                      </c:pt>
                      <c:pt idx="127">
                        <c:v>69.854600000000005</c:v>
                      </c:pt>
                      <c:pt idx="128">
                        <c:v>69.864599999999996</c:v>
                      </c:pt>
                      <c:pt idx="129">
                        <c:v>69.874600000000001</c:v>
                      </c:pt>
                      <c:pt idx="130">
                        <c:v>69.884600000000006</c:v>
                      </c:pt>
                      <c:pt idx="131">
                        <c:v>69.894599999999997</c:v>
                      </c:pt>
                      <c:pt idx="132">
                        <c:v>69.904600000000002</c:v>
                      </c:pt>
                      <c:pt idx="133">
                        <c:v>69.914599999999993</c:v>
                      </c:pt>
                      <c:pt idx="134">
                        <c:v>69.924599999999998</c:v>
                      </c:pt>
                      <c:pt idx="135">
                        <c:v>69.934600000000003</c:v>
                      </c:pt>
                      <c:pt idx="136">
                        <c:v>69.944599999999994</c:v>
                      </c:pt>
                      <c:pt idx="137">
                        <c:v>69.954599999999999</c:v>
                      </c:pt>
                      <c:pt idx="138">
                        <c:v>69.964600000000004</c:v>
                      </c:pt>
                      <c:pt idx="139">
                        <c:v>69.974599999999995</c:v>
                      </c:pt>
                      <c:pt idx="140">
                        <c:v>69.9846</c:v>
                      </c:pt>
                      <c:pt idx="141">
                        <c:v>69.994600000000005</c:v>
                      </c:pt>
                      <c:pt idx="142">
                        <c:v>70.004599999999996</c:v>
                      </c:pt>
                      <c:pt idx="143">
                        <c:v>70.014600000000002</c:v>
                      </c:pt>
                      <c:pt idx="144">
                        <c:v>70.024600000000007</c:v>
                      </c:pt>
                      <c:pt idx="145">
                        <c:v>70.034599999999998</c:v>
                      </c:pt>
                      <c:pt idx="146">
                        <c:v>70.044600000000003</c:v>
                      </c:pt>
                      <c:pt idx="147">
                        <c:v>70.054599999999994</c:v>
                      </c:pt>
                      <c:pt idx="148">
                        <c:v>70.064599999999999</c:v>
                      </c:pt>
                      <c:pt idx="149">
                        <c:v>70.074600000000004</c:v>
                      </c:pt>
                      <c:pt idx="150">
                        <c:v>70.084599999999995</c:v>
                      </c:pt>
                      <c:pt idx="151">
                        <c:v>70.0946</c:v>
                      </c:pt>
                      <c:pt idx="152">
                        <c:v>70.104600000000005</c:v>
                      </c:pt>
                      <c:pt idx="153">
                        <c:v>70.114599999999996</c:v>
                      </c:pt>
                      <c:pt idx="154">
                        <c:v>70.124600000000001</c:v>
                      </c:pt>
                      <c:pt idx="155">
                        <c:v>70.134600000000006</c:v>
                      </c:pt>
                      <c:pt idx="156">
                        <c:v>70.144599999999997</c:v>
                      </c:pt>
                      <c:pt idx="157">
                        <c:v>70.154600000000002</c:v>
                      </c:pt>
                      <c:pt idx="158">
                        <c:v>70.164599999999993</c:v>
                      </c:pt>
                      <c:pt idx="159">
                        <c:v>70.174599999999998</c:v>
                      </c:pt>
                      <c:pt idx="160">
                        <c:v>70.184600000000003</c:v>
                      </c:pt>
                      <c:pt idx="161">
                        <c:v>70.194599999999994</c:v>
                      </c:pt>
                      <c:pt idx="162">
                        <c:v>70.204599999999999</c:v>
                      </c:pt>
                      <c:pt idx="163">
                        <c:v>70.214600000000004</c:v>
                      </c:pt>
                      <c:pt idx="164">
                        <c:v>70.224599999999995</c:v>
                      </c:pt>
                      <c:pt idx="165">
                        <c:v>70.2346</c:v>
                      </c:pt>
                      <c:pt idx="166">
                        <c:v>70.244600000000005</c:v>
                      </c:pt>
                      <c:pt idx="167">
                        <c:v>70.254599999999996</c:v>
                      </c:pt>
                      <c:pt idx="168">
                        <c:v>70.264600000000002</c:v>
                      </c:pt>
                      <c:pt idx="169">
                        <c:v>70.274600000000007</c:v>
                      </c:pt>
                      <c:pt idx="170">
                        <c:v>70.284599999999998</c:v>
                      </c:pt>
                      <c:pt idx="171">
                        <c:v>70.294600000000003</c:v>
                      </c:pt>
                      <c:pt idx="172">
                        <c:v>70.304599999999994</c:v>
                      </c:pt>
                      <c:pt idx="173">
                        <c:v>70.314599999999999</c:v>
                      </c:pt>
                      <c:pt idx="174">
                        <c:v>70.324600000000004</c:v>
                      </c:pt>
                      <c:pt idx="175">
                        <c:v>70.334599999999995</c:v>
                      </c:pt>
                      <c:pt idx="176">
                        <c:v>70.3446</c:v>
                      </c:pt>
                      <c:pt idx="177">
                        <c:v>70.354600000000005</c:v>
                      </c:pt>
                      <c:pt idx="178">
                        <c:v>70.364599999999996</c:v>
                      </c:pt>
                      <c:pt idx="179">
                        <c:v>70.374600000000001</c:v>
                      </c:pt>
                      <c:pt idx="180">
                        <c:v>70.384600000000006</c:v>
                      </c:pt>
                      <c:pt idx="181">
                        <c:v>70.394599999999997</c:v>
                      </c:pt>
                      <c:pt idx="182">
                        <c:v>70.404600000000002</c:v>
                      </c:pt>
                      <c:pt idx="183">
                        <c:v>70.414599999999993</c:v>
                      </c:pt>
                      <c:pt idx="184">
                        <c:v>70.424599999999998</c:v>
                      </c:pt>
                      <c:pt idx="185">
                        <c:v>70.434600000000003</c:v>
                      </c:pt>
                      <c:pt idx="186">
                        <c:v>70.444599999999994</c:v>
                      </c:pt>
                      <c:pt idx="187">
                        <c:v>70.454599999999999</c:v>
                      </c:pt>
                      <c:pt idx="188">
                        <c:v>70.464600000000004</c:v>
                      </c:pt>
                      <c:pt idx="189">
                        <c:v>70.474599999999995</c:v>
                      </c:pt>
                      <c:pt idx="190">
                        <c:v>70.4846</c:v>
                      </c:pt>
                      <c:pt idx="191">
                        <c:v>70.494600000000005</c:v>
                      </c:pt>
                      <c:pt idx="192">
                        <c:v>70.504599999999996</c:v>
                      </c:pt>
                      <c:pt idx="193">
                        <c:v>70.514600000000002</c:v>
                      </c:pt>
                      <c:pt idx="194">
                        <c:v>70.524600000000007</c:v>
                      </c:pt>
                      <c:pt idx="195">
                        <c:v>70.534599999999998</c:v>
                      </c:pt>
                      <c:pt idx="196">
                        <c:v>70.544600000000003</c:v>
                      </c:pt>
                      <c:pt idx="197">
                        <c:v>70.554599999999994</c:v>
                      </c:pt>
                      <c:pt idx="198">
                        <c:v>70.564599999999999</c:v>
                      </c:pt>
                      <c:pt idx="199">
                        <c:v>70.574600000000004</c:v>
                      </c:pt>
                      <c:pt idx="200">
                        <c:v>70.584599999999995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'θ-scan2_thermo'!$AK$5:$AK$205</c15:sqref>
                        </c15:formulaRef>
                      </c:ext>
                    </c:extLst>
                    <c:numCache>
                      <c:formatCode>0.00E+00</c:formatCode>
                      <c:ptCount val="201"/>
                      <c:pt idx="0">
                        <c:v>1.0154896995978371E-2</c:v>
                      </c:pt>
                      <c:pt idx="1">
                        <c:v>8.4144764509850641E-3</c:v>
                      </c:pt>
                      <c:pt idx="2">
                        <c:v>1.7695545129108294E-2</c:v>
                      </c:pt>
                      <c:pt idx="3">
                        <c:v>8.9952536689100731E-3</c:v>
                      </c:pt>
                      <c:pt idx="4">
                        <c:v>9.5748185753221238E-3</c:v>
                      </c:pt>
                      <c:pt idx="5">
                        <c:v>8.4143741535030805E-3</c:v>
                      </c:pt>
                      <c:pt idx="6">
                        <c:v>8.9965542326654619E-3</c:v>
                      </c:pt>
                      <c:pt idx="7">
                        <c:v>1.3926929232224061E-2</c:v>
                      </c:pt>
                      <c:pt idx="8">
                        <c:v>1.0450678241760474E-2</c:v>
                      </c:pt>
                      <c:pt idx="9">
                        <c:v>1.2192138346632247E-2</c:v>
                      </c:pt>
                      <c:pt idx="10">
                        <c:v>1.1900518630407043E-2</c:v>
                      </c:pt>
                      <c:pt idx="11">
                        <c:v>9.5793993449548673E-3</c:v>
                      </c:pt>
                      <c:pt idx="12">
                        <c:v>1.1034554212866482E-2</c:v>
                      </c:pt>
                      <c:pt idx="13">
                        <c:v>1.4809792176509491E-2</c:v>
                      </c:pt>
                      <c:pt idx="14">
                        <c:v>1.4522371262736736E-2</c:v>
                      </c:pt>
                      <c:pt idx="15">
                        <c:v>1.3073080641530349E-2</c:v>
                      </c:pt>
                      <c:pt idx="16">
                        <c:v>1.3065767703135304E-2</c:v>
                      </c:pt>
                      <c:pt idx="17">
                        <c:v>1.4815611005965462E-2</c:v>
                      </c:pt>
                      <c:pt idx="18">
                        <c:v>1.2203303905065965E-2</c:v>
                      </c:pt>
                      <c:pt idx="19">
                        <c:v>1.1332151341520415E-2</c:v>
                      </c:pt>
                      <c:pt idx="20">
                        <c:v>1.4525182672328583E-2</c:v>
                      </c:pt>
                      <c:pt idx="21">
                        <c:v>1.9174180815081644E-2</c:v>
                      </c:pt>
                      <c:pt idx="22">
                        <c:v>1.2503119964586511E-2</c:v>
                      </c:pt>
                      <c:pt idx="23">
                        <c:v>1.3954807182504371E-2</c:v>
                      </c:pt>
                      <c:pt idx="24">
                        <c:v>1.4833357265452556E-2</c:v>
                      </c:pt>
                      <c:pt idx="25">
                        <c:v>1.5695997137050121E-2</c:v>
                      </c:pt>
                      <c:pt idx="26">
                        <c:v>1.8032384184249548E-2</c:v>
                      </c:pt>
                      <c:pt idx="27">
                        <c:v>1.3378076601354314E-2</c:v>
                      </c:pt>
                      <c:pt idx="28">
                        <c:v>1.5712242042084018E-2</c:v>
                      </c:pt>
                      <c:pt idx="29">
                        <c:v>2.2991342449934168E-2</c:v>
                      </c:pt>
                      <c:pt idx="30">
                        <c:v>1.6592698647860987E-2</c:v>
                      </c:pt>
                      <c:pt idx="31">
                        <c:v>2.1831902732411087E-2</c:v>
                      </c:pt>
                      <c:pt idx="32">
                        <c:v>2.1543968284250883E-2</c:v>
                      </c:pt>
                      <c:pt idx="33">
                        <c:v>2.2423443669586655E-2</c:v>
                      </c:pt>
                      <c:pt idx="34">
                        <c:v>2.2422211524271259E-2</c:v>
                      </c:pt>
                      <c:pt idx="35">
                        <c:v>1.8647246569423803E-2</c:v>
                      </c:pt>
                      <c:pt idx="36">
                        <c:v>2.0691949275464111E-2</c:v>
                      </c:pt>
                      <c:pt idx="37">
                        <c:v>2.0689952810297351E-2</c:v>
                      </c:pt>
                      <c:pt idx="38">
                        <c:v>2.3609330290741613E-2</c:v>
                      </c:pt>
                      <c:pt idx="39">
                        <c:v>2.3316889971064611E-2</c:v>
                      </c:pt>
                      <c:pt idx="40">
                        <c:v>2.0697039562507725E-2</c:v>
                      </c:pt>
                      <c:pt idx="41">
                        <c:v>2.2757668006587586E-2</c:v>
                      </c:pt>
                      <c:pt idx="42">
                        <c:v>2.88741201814963E-2</c:v>
                      </c:pt>
                      <c:pt idx="43">
                        <c:v>2.5680443475578379E-2</c:v>
                      </c:pt>
                      <c:pt idx="44">
                        <c:v>3.1211294895077693E-2</c:v>
                      </c:pt>
                      <c:pt idx="45">
                        <c:v>2.6255716854148528E-2</c:v>
                      </c:pt>
                      <c:pt idx="46">
                        <c:v>2.7123058102052636E-2</c:v>
                      </c:pt>
                      <c:pt idx="47">
                        <c:v>2.8877422575108863E-2</c:v>
                      </c:pt>
                      <c:pt idx="48">
                        <c:v>3.1507384149317696E-2</c:v>
                      </c:pt>
                      <c:pt idx="49">
                        <c:v>2.8891766132651497E-2</c:v>
                      </c:pt>
                      <c:pt idx="50">
                        <c:v>3.7071709734701128E-2</c:v>
                      </c:pt>
                      <c:pt idx="51">
                        <c:v>3.0051810780611542E-2</c:v>
                      </c:pt>
                      <c:pt idx="52">
                        <c:v>3.9995376884756594E-2</c:v>
                      </c:pt>
                      <c:pt idx="53">
                        <c:v>3.7662075017423087E-2</c:v>
                      </c:pt>
                      <c:pt idx="54">
                        <c:v>3.9140131045248001E-2</c:v>
                      </c:pt>
                      <c:pt idx="55">
                        <c:v>4.4972470569387392E-2</c:v>
                      </c:pt>
                      <c:pt idx="56">
                        <c:v>4.7307535424583373E-2</c:v>
                      </c:pt>
                      <c:pt idx="57">
                        <c:v>4.5845008480158544E-2</c:v>
                      </c:pt>
                      <c:pt idx="58">
                        <c:v>4.643918359564754E-2</c:v>
                      </c:pt>
                      <c:pt idx="59">
                        <c:v>4.7299214833033773E-2</c:v>
                      </c:pt>
                      <c:pt idx="60">
                        <c:v>5.024748052705634E-2</c:v>
                      </c:pt>
                      <c:pt idx="61">
                        <c:v>5.7244147574477849E-2</c:v>
                      </c:pt>
                      <c:pt idx="62">
                        <c:v>5.2863185490580146E-2</c:v>
                      </c:pt>
                      <c:pt idx="63">
                        <c:v>6.6900778491347124E-2</c:v>
                      </c:pt>
                      <c:pt idx="64">
                        <c:v>6.5141416904104216E-2</c:v>
                      </c:pt>
                      <c:pt idx="65">
                        <c:v>6.8324972137864731E-2</c:v>
                      </c:pt>
                      <c:pt idx="66">
                        <c:v>7.446959904195298E-2</c:v>
                      </c:pt>
                      <c:pt idx="67">
                        <c:v>7.0678579492563426E-2</c:v>
                      </c:pt>
                      <c:pt idx="68">
                        <c:v>8.1508771176395059E-2</c:v>
                      </c:pt>
                      <c:pt idx="69">
                        <c:v>8.7348710718422984E-2</c:v>
                      </c:pt>
                      <c:pt idx="70">
                        <c:v>8.9671441792646037E-2</c:v>
                      </c:pt>
                      <c:pt idx="71">
                        <c:v>8.7603927459275852E-2</c:v>
                      </c:pt>
                      <c:pt idx="72">
                        <c:v>0.10716621658315732</c:v>
                      </c:pt>
                      <c:pt idx="73">
                        <c:v>0.10716271186133834</c:v>
                      </c:pt>
                      <c:pt idx="74">
                        <c:v>0.11501169747778472</c:v>
                      </c:pt>
                      <c:pt idx="75">
                        <c:v>0.11536587601223333</c:v>
                      </c:pt>
                      <c:pt idx="76">
                        <c:v>0.13257382741515786</c:v>
                      </c:pt>
                      <c:pt idx="77">
                        <c:v>0.14590512169289627</c:v>
                      </c:pt>
                      <c:pt idx="78">
                        <c:v>0.16089095864935923</c:v>
                      </c:pt>
                      <c:pt idx="79">
                        <c:v>0.16640054257086387</c:v>
                      </c:pt>
                      <c:pt idx="80">
                        <c:v>0.1694239390358919</c:v>
                      </c:pt>
                      <c:pt idx="81">
                        <c:v>0.19394431654212704</c:v>
                      </c:pt>
                      <c:pt idx="82">
                        <c:v>0.23078233165524389</c:v>
                      </c:pt>
                      <c:pt idx="83">
                        <c:v>0.2304853609808265</c:v>
                      </c:pt>
                      <c:pt idx="84">
                        <c:v>0.27089261483611349</c:v>
                      </c:pt>
                      <c:pt idx="85">
                        <c:v>0.32666169194218814</c:v>
                      </c:pt>
                      <c:pt idx="86">
                        <c:v>0.3857077019891873</c:v>
                      </c:pt>
                      <c:pt idx="87">
                        <c:v>0.38457169709062594</c:v>
                      </c:pt>
                      <c:pt idx="88">
                        <c:v>0.50595498784611304</c:v>
                      </c:pt>
                      <c:pt idx="89">
                        <c:v>0.56379695963716747</c:v>
                      </c:pt>
                      <c:pt idx="90">
                        <c:v>0.69622620822452608</c:v>
                      </c:pt>
                      <c:pt idx="91">
                        <c:v>0.81238245210607585</c:v>
                      </c:pt>
                      <c:pt idx="92">
                        <c:v>1.0321791879449427</c:v>
                      </c:pt>
                      <c:pt idx="93">
                        <c:v>1.2853663700768114</c:v>
                      </c:pt>
                      <c:pt idx="94">
                        <c:v>1.726371543826696</c:v>
                      </c:pt>
                      <c:pt idx="95">
                        <c:v>2.5131928731910795</c:v>
                      </c:pt>
                      <c:pt idx="96">
                        <c:v>3.924568965643294</c:v>
                      </c:pt>
                      <c:pt idx="97">
                        <c:v>7.1619266814913756</c:v>
                      </c:pt>
                      <c:pt idx="98">
                        <c:v>18.785064338984363</c:v>
                      </c:pt>
                      <c:pt idx="99">
                        <c:v>518.00874782448318</c:v>
                      </c:pt>
                      <c:pt idx="100">
                        <c:v>5978.369001148697</c:v>
                      </c:pt>
                      <c:pt idx="101">
                        <c:v>2515.0230876248238</c:v>
                      </c:pt>
                      <c:pt idx="102">
                        <c:v>76.920288108944234</c:v>
                      </c:pt>
                      <c:pt idx="103">
                        <c:v>17.731629117165149</c:v>
                      </c:pt>
                      <c:pt idx="104">
                        <c:v>5.6927047751184015</c:v>
                      </c:pt>
                      <c:pt idx="105">
                        <c:v>3.1122939356330792</c:v>
                      </c:pt>
                      <c:pt idx="106">
                        <c:v>2.0390353274133437</c:v>
                      </c:pt>
                      <c:pt idx="107">
                        <c:v>1.480418120399714</c:v>
                      </c:pt>
                      <c:pt idx="108">
                        <c:v>1.1246383361765755</c:v>
                      </c:pt>
                      <c:pt idx="109">
                        <c:v>0.83732295821606251</c:v>
                      </c:pt>
                      <c:pt idx="110">
                        <c:v>0.65533232355594084</c:v>
                      </c:pt>
                      <c:pt idx="111">
                        <c:v>0.54628685285636336</c:v>
                      </c:pt>
                      <c:pt idx="112">
                        <c:v>0.42265903498125934</c:v>
                      </c:pt>
                      <c:pt idx="113">
                        <c:v>0.37840295034805599</c:v>
                      </c:pt>
                      <c:pt idx="114">
                        <c:v>0.32013974846915794</c:v>
                      </c:pt>
                      <c:pt idx="115">
                        <c:v>0.27056462444839519</c:v>
                      </c:pt>
                      <c:pt idx="116">
                        <c:v>0.2451995020194391</c:v>
                      </c:pt>
                      <c:pt idx="117">
                        <c:v>0.20777276446615675</c:v>
                      </c:pt>
                      <c:pt idx="118">
                        <c:v>0.18201198688153736</c:v>
                      </c:pt>
                      <c:pt idx="119">
                        <c:v>0.15749417095596321</c:v>
                      </c:pt>
                      <c:pt idx="120">
                        <c:v>0.14549924487065294</c:v>
                      </c:pt>
                      <c:pt idx="121">
                        <c:v>0.12318738922484013</c:v>
                      </c:pt>
                      <c:pt idx="122">
                        <c:v>0.12025754473104035</c:v>
                      </c:pt>
                      <c:pt idx="123">
                        <c:v>0.10441242509031749</c:v>
                      </c:pt>
                      <c:pt idx="124">
                        <c:v>9.4202319701308795E-2</c:v>
                      </c:pt>
                      <c:pt idx="125">
                        <c:v>8.740046612017717E-2</c:v>
                      </c:pt>
                      <c:pt idx="126">
                        <c:v>8.7144634742506097E-2</c:v>
                      </c:pt>
                      <c:pt idx="127">
                        <c:v>7.246927889370687E-2</c:v>
                      </c:pt>
                      <c:pt idx="128">
                        <c:v>6.8424215570696723E-2</c:v>
                      </c:pt>
                      <c:pt idx="129">
                        <c:v>6.4318958124510869E-2</c:v>
                      </c:pt>
                      <c:pt idx="130">
                        <c:v>5.7552150249636849E-2</c:v>
                      </c:pt>
                      <c:pt idx="131">
                        <c:v>4.8488629974624872E-2</c:v>
                      </c:pt>
                      <c:pt idx="132">
                        <c:v>5.0837426113457908E-2</c:v>
                      </c:pt>
                      <c:pt idx="133">
                        <c:v>3.5270085233394061E-2</c:v>
                      </c:pt>
                      <c:pt idx="134">
                        <c:v>3.6438639050919208E-2</c:v>
                      </c:pt>
                      <c:pt idx="135">
                        <c:v>3.2633419014187925E-2</c:v>
                      </c:pt>
                      <c:pt idx="136">
                        <c:v>3.3511571780904872E-2</c:v>
                      </c:pt>
                      <c:pt idx="137">
                        <c:v>3.4082036342909357E-2</c:v>
                      </c:pt>
                      <c:pt idx="138">
                        <c:v>3.3789212491278343E-2</c:v>
                      </c:pt>
                      <c:pt idx="139">
                        <c:v>2.4993428933493045E-2</c:v>
                      </c:pt>
                      <c:pt idx="140">
                        <c:v>2.0865175991881979E-2</c:v>
                      </c:pt>
                      <c:pt idx="141">
                        <c:v>1.8510266160880008E-2</c:v>
                      </c:pt>
                      <c:pt idx="142">
                        <c:v>2.1154685617425797E-2</c:v>
                      </c:pt>
                      <c:pt idx="143">
                        <c:v>1.879298307597909E-2</c:v>
                      </c:pt>
                      <c:pt idx="144">
                        <c:v>1.791653017550475E-2</c:v>
                      </c:pt>
                      <c:pt idx="145">
                        <c:v>1.3795396945669764E-2</c:v>
                      </c:pt>
                      <c:pt idx="146">
                        <c:v>1.1451549360861134E-2</c:v>
                      </c:pt>
                      <c:pt idx="147">
                        <c:v>1.3798838014530411E-2</c:v>
                      </c:pt>
                      <c:pt idx="148">
                        <c:v>1.5850094735135673E-2</c:v>
                      </c:pt>
                      <c:pt idx="149">
                        <c:v>1.056487449222572E-2</c:v>
                      </c:pt>
                      <c:pt idx="150">
                        <c:v>1.1445933022273961E-2</c:v>
                      </c:pt>
                      <c:pt idx="151">
                        <c:v>9.9772902202102404E-3</c:v>
                      </c:pt>
                      <c:pt idx="152">
                        <c:v>1.1443265755469735E-2</c:v>
                      </c:pt>
                      <c:pt idx="153">
                        <c:v>8.2166657281082418E-3</c:v>
                      </c:pt>
                      <c:pt idx="154">
                        <c:v>5.5755260464807541E-3</c:v>
                      </c:pt>
                      <c:pt idx="155">
                        <c:v>8.8070175490099524E-3</c:v>
                      </c:pt>
                      <c:pt idx="156">
                        <c:v>5.284233022933571E-3</c:v>
                      </c:pt>
                      <c:pt idx="157">
                        <c:v>5.2867886031170786E-3</c:v>
                      </c:pt>
                      <c:pt idx="158">
                        <c:v>3.8160874799893912E-3</c:v>
                      </c:pt>
                      <c:pt idx="159">
                        <c:v>5.579873525411963E-3</c:v>
                      </c:pt>
                      <c:pt idx="160">
                        <c:v>5.2862184818767586E-3</c:v>
                      </c:pt>
                      <c:pt idx="161">
                        <c:v>6.1718054294254048E-3</c:v>
                      </c:pt>
                      <c:pt idx="162">
                        <c:v>4.7023236620544612E-3</c:v>
                      </c:pt>
                      <c:pt idx="163">
                        <c:v>3.5239977640234188E-3</c:v>
                      </c:pt>
                      <c:pt idx="164">
                        <c:v>4.7001680545087892E-3</c:v>
                      </c:pt>
                      <c:pt idx="165">
                        <c:v>2.350073671872021E-3</c:v>
                      </c:pt>
                      <c:pt idx="166">
                        <c:v>3.5249617079003469E-3</c:v>
                      </c:pt>
                      <c:pt idx="167">
                        <c:v>2.3511891256562463E-3</c:v>
                      </c:pt>
                      <c:pt idx="168">
                        <c:v>4.4077485987106041E-3</c:v>
                      </c:pt>
                      <c:pt idx="169">
                        <c:v>1.7634436716119897E-3</c:v>
                      </c:pt>
                      <c:pt idx="170">
                        <c:v>1.7635787480530826E-3</c:v>
                      </c:pt>
                      <c:pt idx="171">
                        <c:v>3.8196846744525353E-3</c:v>
                      </c:pt>
                      <c:pt idx="172">
                        <c:v>2.3525435966027623E-3</c:v>
                      </c:pt>
                      <c:pt idx="173">
                        <c:v>2.0598749138015914E-3</c:v>
                      </c:pt>
                      <c:pt idx="174">
                        <c:v>1.4711563612653945E-3</c:v>
                      </c:pt>
                      <c:pt idx="175">
                        <c:v>2.3520473293075885E-3</c:v>
                      </c:pt>
                      <c:pt idx="176">
                        <c:v>2.059303771164752E-3</c:v>
                      </c:pt>
                      <c:pt idx="177">
                        <c:v>1.4722795814167812E-3</c:v>
                      </c:pt>
                      <c:pt idx="178">
                        <c:v>1.7659467715976541E-3</c:v>
                      </c:pt>
                      <c:pt idx="179">
                        <c:v>1.1778639319807137E-3</c:v>
                      </c:pt>
                      <c:pt idx="180">
                        <c:v>5.0066526633536761E-3</c:v>
                      </c:pt>
                      <c:pt idx="181">
                        <c:v>1.7663958036088173E-3</c:v>
                      </c:pt>
                      <c:pt idx="182">
                        <c:v>1.7668346582875515E-3</c:v>
                      </c:pt>
                      <c:pt idx="183">
                        <c:v>1.4726078736808747E-3</c:v>
                      </c:pt>
                      <c:pt idx="184">
                        <c:v>8.834448270153188E-4</c:v>
                      </c:pt>
                      <c:pt idx="185">
                        <c:v>1.4727245522033726E-3</c:v>
                      </c:pt>
                      <c:pt idx="186">
                        <c:v>1.4730961815431949E-3</c:v>
                      </c:pt>
                      <c:pt idx="187">
                        <c:v>1.7687891320643115E-3</c:v>
                      </c:pt>
                      <c:pt idx="188">
                        <c:v>8.846681437282587E-4</c:v>
                      </c:pt>
                      <c:pt idx="189">
                        <c:v>2.9495502437301853E-4</c:v>
                      </c:pt>
                      <c:pt idx="190">
                        <c:v>1.4753389133798425E-3</c:v>
                      </c:pt>
                      <c:pt idx="191">
                        <c:v>1.4746450706272409E-3</c:v>
                      </c:pt>
                      <c:pt idx="192">
                        <c:v>2.0661558912848984E-3</c:v>
                      </c:pt>
                      <c:pt idx="193">
                        <c:v>2.6577982043679083E-3</c:v>
                      </c:pt>
                      <c:pt idx="194">
                        <c:v>5.9046530791939157E-4</c:v>
                      </c:pt>
                      <c:pt idx="195">
                        <c:v>8.8541360768562625E-4</c:v>
                      </c:pt>
                      <c:pt idx="196">
                        <c:v>1.7720731723272936E-3</c:v>
                      </c:pt>
                      <c:pt idx="197">
                        <c:v>1.1804463314797177E-3</c:v>
                      </c:pt>
                      <c:pt idx="198">
                        <c:v>5.904826885975874E-4</c:v>
                      </c:pt>
                      <c:pt idx="199">
                        <c:v>2.951022557350836E-4</c:v>
                      </c:pt>
                      <c:pt idx="200">
                        <c:v>1.1797396815912092E-3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BD-4DB1-9EB0-4E5984FDA6F0}"/>
                  </c:ext>
                </c:extLst>
              </c15:ser>
            </c15:filteredScatterSeries>
          </c:ext>
        </c:extLst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5073157811741651E-2"/>
          <c:y val="0.17577508667026434"/>
          <c:w val="0.29678448567539883"/>
          <c:h val="0.23832622748566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'θ-scan2_thermo'!$A$5:$A$205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'θ-scan2_thermo'!$C$5:$C$205</c:f>
              <c:numCache>
                <c:formatCode>General</c:formatCode>
                <c:ptCount val="201"/>
                <c:pt idx="0">
                  <c:v>6775.2691000000004</c:v>
                </c:pt>
                <c:pt idx="1">
                  <c:v>6772.2003000000004</c:v>
                </c:pt>
                <c:pt idx="2">
                  <c:v>6774.1292999999996</c:v>
                </c:pt>
                <c:pt idx="3">
                  <c:v>6770.4475000000002</c:v>
                </c:pt>
                <c:pt idx="4">
                  <c:v>6770.6979000000001</c:v>
                </c:pt>
                <c:pt idx="5">
                  <c:v>6768.7584999999999</c:v>
                </c:pt>
                <c:pt idx="6">
                  <c:v>6766.7755999999999</c:v>
                </c:pt>
                <c:pt idx="7">
                  <c:v>6760.7655000000004</c:v>
                </c:pt>
                <c:pt idx="8">
                  <c:v>6760.0956999999999</c:v>
                </c:pt>
                <c:pt idx="9">
                  <c:v>6760.8927999999996</c:v>
                </c:pt>
                <c:pt idx="10">
                  <c:v>6755.4867000000004</c:v>
                </c:pt>
                <c:pt idx="11">
                  <c:v>6751.9170000000004</c:v>
                </c:pt>
                <c:pt idx="12">
                  <c:v>6749.5855000000001</c:v>
                </c:pt>
                <c:pt idx="13">
                  <c:v>6750.02</c:v>
                </c:pt>
                <c:pt idx="14">
                  <c:v>6749.8266999999996</c:v>
                </c:pt>
                <c:pt idx="15">
                  <c:v>6753.2942000000003</c:v>
                </c:pt>
                <c:pt idx="16">
                  <c:v>6755.9669000000004</c:v>
                </c:pt>
                <c:pt idx="17">
                  <c:v>6754.1772000000001</c:v>
                </c:pt>
                <c:pt idx="18">
                  <c:v>6753.17</c:v>
                </c:pt>
                <c:pt idx="19">
                  <c:v>6753.9866000000002</c:v>
                </c:pt>
                <c:pt idx="20">
                  <c:v>6750.6496999999999</c:v>
                </c:pt>
                <c:pt idx="21">
                  <c:v>6748.7956999999997</c:v>
                </c:pt>
                <c:pt idx="22">
                  <c:v>6746.6130999999996</c:v>
                </c:pt>
                <c:pt idx="23">
                  <c:v>6746.0384999999997</c:v>
                </c:pt>
                <c:pt idx="24">
                  <c:v>6743.6184000000003</c:v>
                </c:pt>
                <c:pt idx="25">
                  <c:v>6739.7847000000002</c:v>
                </c:pt>
                <c:pt idx="26">
                  <c:v>6742.3891999999996</c:v>
                </c:pt>
                <c:pt idx="27">
                  <c:v>6746.1280999999999</c:v>
                </c:pt>
                <c:pt idx="28">
                  <c:v>6746.8958000000002</c:v>
                </c:pt>
                <c:pt idx="29">
                  <c:v>6747.3063000000002</c:v>
                </c:pt>
                <c:pt idx="30">
                  <c:v>6748.8910999999998</c:v>
                </c:pt>
                <c:pt idx="31">
                  <c:v>6745.5887000000002</c:v>
                </c:pt>
                <c:pt idx="32">
                  <c:v>6743.4043000000001</c:v>
                </c:pt>
                <c:pt idx="33">
                  <c:v>6742.8793999999998</c:v>
                </c:pt>
                <c:pt idx="34">
                  <c:v>6743.6756999999998</c:v>
                </c:pt>
                <c:pt idx="35">
                  <c:v>6744.2345999999998</c:v>
                </c:pt>
                <c:pt idx="36">
                  <c:v>6740.1693999999998</c:v>
                </c:pt>
                <c:pt idx="37">
                  <c:v>6739.6040000000003</c:v>
                </c:pt>
                <c:pt idx="38">
                  <c:v>6737.4184999999998</c:v>
                </c:pt>
                <c:pt idx="39">
                  <c:v>6731.9728999999998</c:v>
                </c:pt>
                <c:pt idx="40">
                  <c:v>6730.3738000000003</c:v>
                </c:pt>
                <c:pt idx="41">
                  <c:v>6729.6234000000004</c:v>
                </c:pt>
                <c:pt idx="42">
                  <c:v>6726.723</c:v>
                </c:pt>
                <c:pt idx="43">
                  <c:v>6725.3600999999999</c:v>
                </c:pt>
                <c:pt idx="44">
                  <c:v>6725.0361999999996</c:v>
                </c:pt>
                <c:pt idx="45">
                  <c:v>6721.2255999999998</c:v>
                </c:pt>
                <c:pt idx="46">
                  <c:v>6716.7882</c:v>
                </c:pt>
                <c:pt idx="47">
                  <c:v>6716.0190000000002</c:v>
                </c:pt>
                <c:pt idx="48">
                  <c:v>6713.8444</c:v>
                </c:pt>
                <c:pt idx="49">
                  <c:v>6715.8567999999996</c:v>
                </c:pt>
                <c:pt idx="50">
                  <c:v>6715.0973999999997</c:v>
                </c:pt>
                <c:pt idx="51">
                  <c:v>6713.6777000000002</c:v>
                </c:pt>
                <c:pt idx="52">
                  <c:v>6717.8613999999998</c:v>
                </c:pt>
                <c:pt idx="53">
                  <c:v>6719.7843000000003</c:v>
                </c:pt>
                <c:pt idx="54">
                  <c:v>6720.2397000000001</c:v>
                </c:pt>
                <c:pt idx="55">
                  <c:v>6720.4273000000003</c:v>
                </c:pt>
                <c:pt idx="56">
                  <c:v>6723.6939000000002</c:v>
                </c:pt>
                <c:pt idx="57">
                  <c:v>6719.6076000000003</c:v>
                </c:pt>
                <c:pt idx="58">
                  <c:v>6721.6562000000004</c:v>
                </c:pt>
                <c:pt idx="59">
                  <c:v>6719.741</c:v>
                </c:pt>
                <c:pt idx="60">
                  <c:v>6719.3423000000003</c:v>
                </c:pt>
                <c:pt idx="61">
                  <c:v>6717.7024000000001</c:v>
                </c:pt>
                <c:pt idx="62">
                  <c:v>6710.4786999999997</c:v>
                </c:pt>
                <c:pt idx="63">
                  <c:v>6708.6189000000004</c:v>
                </c:pt>
                <c:pt idx="64">
                  <c:v>6711.1122999999998</c:v>
                </c:pt>
                <c:pt idx="65">
                  <c:v>6706.884</c:v>
                </c:pt>
                <c:pt idx="66">
                  <c:v>6701.5837000000001</c:v>
                </c:pt>
                <c:pt idx="67">
                  <c:v>6699.9004000000004</c:v>
                </c:pt>
                <c:pt idx="68">
                  <c:v>6697.2353999999996</c:v>
                </c:pt>
                <c:pt idx="69">
                  <c:v>6694.7745999999997</c:v>
                </c:pt>
                <c:pt idx="70">
                  <c:v>6693.7064</c:v>
                </c:pt>
                <c:pt idx="71">
                  <c:v>6692.4670999999998</c:v>
                </c:pt>
                <c:pt idx="72">
                  <c:v>6691.7013999999999</c:v>
                </c:pt>
                <c:pt idx="73">
                  <c:v>6689.4223000000002</c:v>
                </c:pt>
                <c:pt idx="74">
                  <c:v>6692.0685999999996</c:v>
                </c:pt>
                <c:pt idx="75">
                  <c:v>6692.5438999999997</c:v>
                </c:pt>
                <c:pt idx="76">
                  <c:v>6690.3441000000003</c:v>
                </c:pt>
                <c:pt idx="77">
                  <c:v>6687.7024000000001</c:v>
                </c:pt>
                <c:pt idx="78">
                  <c:v>6688.0025999999998</c:v>
                </c:pt>
                <c:pt idx="79">
                  <c:v>6689.6625000000004</c:v>
                </c:pt>
                <c:pt idx="80">
                  <c:v>6690.1660000000002</c:v>
                </c:pt>
                <c:pt idx="81">
                  <c:v>6686.4363000000003</c:v>
                </c:pt>
                <c:pt idx="82">
                  <c:v>6688.9171999999999</c:v>
                </c:pt>
                <c:pt idx="83">
                  <c:v>6685.4943000000003</c:v>
                </c:pt>
                <c:pt idx="84">
                  <c:v>6685.9982</c:v>
                </c:pt>
                <c:pt idx="85">
                  <c:v>6686.4390000000003</c:v>
                </c:pt>
                <c:pt idx="86">
                  <c:v>6685.5434999999998</c:v>
                </c:pt>
                <c:pt idx="87">
                  <c:v>6685.1686</c:v>
                </c:pt>
                <c:pt idx="88">
                  <c:v>6684.2837</c:v>
                </c:pt>
                <c:pt idx="89">
                  <c:v>6680.5388000000003</c:v>
                </c:pt>
                <c:pt idx="90">
                  <c:v>6682.3725000000004</c:v>
                </c:pt>
                <c:pt idx="91">
                  <c:v>6682.1342999999997</c:v>
                </c:pt>
                <c:pt idx="92">
                  <c:v>6682.9327000000003</c:v>
                </c:pt>
                <c:pt idx="93">
                  <c:v>6685.1692999999996</c:v>
                </c:pt>
                <c:pt idx="94">
                  <c:v>6681.7314999999999</c:v>
                </c:pt>
                <c:pt idx="95">
                  <c:v>6680.3487999999998</c:v>
                </c:pt>
                <c:pt idx="96">
                  <c:v>6679.4853999999996</c:v>
                </c:pt>
                <c:pt idx="97">
                  <c:v>6679.0999000000002</c:v>
                </c:pt>
                <c:pt idx="98">
                  <c:v>6677.2293</c:v>
                </c:pt>
                <c:pt idx="99">
                  <c:v>6674.2304999999997</c:v>
                </c:pt>
                <c:pt idx="100">
                  <c:v>6672.3208999999997</c:v>
                </c:pt>
                <c:pt idx="101">
                  <c:v>6667.6477999999997</c:v>
                </c:pt>
                <c:pt idx="102">
                  <c:v>6666.7644</c:v>
                </c:pt>
                <c:pt idx="103">
                  <c:v>6671.2694000000001</c:v>
                </c:pt>
                <c:pt idx="104">
                  <c:v>6670.7214000000004</c:v>
                </c:pt>
                <c:pt idx="105">
                  <c:v>6669.9432999999999</c:v>
                </c:pt>
                <c:pt idx="106">
                  <c:v>6670.4096</c:v>
                </c:pt>
                <c:pt idx="107">
                  <c:v>6666.4520000000002</c:v>
                </c:pt>
                <c:pt idx="108">
                  <c:v>6666.5865000000003</c:v>
                </c:pt>
                <c:pt idx="109">
                  <c:v>6664.6463000000003</c:v>
                </c:pt>
                <c:pt idx="110">
                  <c:v>6662.2713999999996</c:v>
                </c:pt>
                <c:pt idx="111">
                  <c:v>6659.4094999999998</c:v>
                </c:pt>
                <c:pt idx="112">
                  <c:v>6658.7709999999997</c:v>
                </c:pt>
                <c:pt idx="113">
                  <c:v>6656.518</c:v>
                </c:pt>
                <c:pt idx="114">
                  <c:v>6649.3523999999998</c:v>
                </c:pt>
                <c:pt idx="115">
                  <c:v>6649.3720999999996</c:v>
                </c:pt>
                <c:pt idx="116">
                  <c:v>6645.9713000000002</c:v>
                </c:pt>
                <c:pt idx="117">
                  <c:v>6645.7596999999996</c:v>
                </c:pt>
                <c:pt idx="118">
                  <c:v>6641.8346000000001</c:v>
                </c:pt>
                <c:pt idx="119">
                  <c:v>6640.5852000000004</c:v>
                </c:pt>
                <c:pt idx="120">
                  <c:v>6642.2186000000002</c:v>
                </c:pt>
                <c:pt idx="121">
                  <c:v>6644.9867999999997</c:v>
                </c:pt>
                <c:pt idx="122">
                  <c:v>6644.3373000000001</c:v>
                </c:pt>
                <c:pt idx="123">
                  <c:v>6646.3339999999998</c:v>
                </c:pt>
                <c:pt idx="124">
                  <c:v>6651.2564000000002</c:v>
                </c:pt>
                <c:pt idx="125">
                  <c:v>6647.8220000000001</c:v>
                </c:pt>
                <c:pt idx="126">
                  <c:v>6645.8783000000003</c:v>
                </c:pt>
                <c:pt idx="127">
                  <c:v>6648.0819000000001</c:v>
                </c:pt>
                <c:pt idx="128">
                  <c:v>6645.8217999999997</c:v>
                </c:pt>
                <c:pt idx="129">
                  <c:v>6648.1048000000001</c:v>
                </c:pt>
                <c:pt idx="130">
                  <c:v>6645.6742000000004</c:v>
                </c:pt>
                <c:pt idx="131">
                  <c:v>6644.2390999999998</c:v>
                </c:pt>
                <c:pt idx="132">
                  <c:v>6644.1994999999997</c:v>
                </c:pt>
                <c:pt idx="133">
                  <c:v>6642.9543999999996</c:v>
                </c:pt>
                <c:pt idx="134">
                  <c:v>6642.1698999999999</c:v>
                </c:pt>
                <c:pt idx="135">
                  <c:v>6638.2106999999996</c:v>
                </c:pt>
                <c:pt idx="136">
                  <c:v>6635.5501999999997</c:v>
                </c:pt>
                <c:pt idx="137">
                  <c:v>6633.6405999999997</c:v>
                </c:pt>
                <c:pt idx="138">
                  <c:v>6633.2915999999996</c:v>
                </c:pt>
                <c:pt idx="139">
                  <c:v>6631.6324999999997</c:v>
                </c:pt>
                <c:pt idx="140">
                  <c:v>6628.8437000000004</c:v>
                </c:pt>
                <c:pt idx="141">
                  <c:v>6627.7644</c:v>
                </c:pt>
                <c:pt idx="142">
                  <c:v>6628.4188999999997</c:v>
                </c:pt>
                <c:pt idx="143">
                  <c:v>6630.6077999999998</c:v>
                </c:pt>
                <c:pt idx="144">
                  <c:v>6629.0609999999997</c:v>
                </c:pt>
                <c:pt idx="145">
                  <c:v>6630.8235000000004</c:v>
                </c:pt>
                <c:pt idx="146">
                  <c:v>6628.3786</c:v>
                </c:pt>
                <c:pt idx="147">
                  <c:v>6627.3504999999996</c:v>
                </c:pt>
                <c:pt idx="148">
                  <c:v>6625.9432999999999</c:v>
                </c:pt>
                <c:pt idx="149">
                  <c:v>6619.7173000000003</c:v>
                </c:pt>
                <c:pt idx="150">
                  <c:v>6615.1648999999998</c:v>
                </c:pt>
                <c:pt idx="151">
                  <c:v>6612.9979999999996</c:v>
                </c:pt>
                <c:pt idx="152">
                  <c:v>6612.4378999999999</c:v>
                </c:pt>
                <c:pt idx="153">
                  <c:v>6611.2178000000004</c:v>
                </c:pt>
                <c:pt idx="154">
                  <c:v>6611.2299000000003</c:v>
                </c:pt>
                <c:pt idx="155">
                  <c:v>6607.8999000000003</c:v>
                </c:pt>
                <c:pt idx="156">
    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    <c:pt idx="159">
                  <c:v>6609.0042000000003</c:v>
                </c:pt>
                <c:pt idx="160">
                  <c:v>6606.3177999999998</c:v>
                </c:pt>
                <c:pt idx="161">
                  <c:v>6607.5306</c:v>
                </c:pt>
                <c:pt idx="162">
                  <c:v>6605.8856999999998</c:v>
                </c:pt>
                <c:pt idx="163">
                  <c:v>6609.0300999999999</c:v>
                </c:pt>
                <c:pt idx="164">
                  <c:v>6606.8383999999996</c:v>
                </c:pt>
                <c:pt idx="165">
                  <c:v>6609.2752</c:v>
                </c:pt>
                <c:pt idx="166">
                  <c:v>6605.9061000000002</c:v>
                </c:pt>
                <c:pt idx="167">
                  <c:v>6606.4310999999998</c:v>
                </c:pt>
                <c:pt idx="168">
                  <c:v>6603.6862000000001</c:v>
                </c:pt>
                <c:pt idx="169">
                  <c:v>6604.2197999999999</c:v>
                </c:pt>
                <c:pt idx="170">
                  <c:v>6604.6535000000003</c:v>
                </c:pt>
                <c:pt idx="171">
                  <c:v>6602.2906000000003</c:v>
                </c:pt>
                <c:pt idx="172">
                  <c:v>6601.5964000000004</c:v>
                </c:pt>
                <c:pt idx="173">
                  <c:v>6600.3667999999998</c:v>
                </c:pt>
                <c:pt idx="174">
                  <c:v>6597.6230999999998</c:v>
                </c:pt>
                <c:pt idx="175">
                  <c:v>6595.6286</c:v>
                </c:pt>
                <c:pt idx="176">
                  <c:v>6595.2448000000004</c:v>
                </c:pt>
                <c:pt idx="177">
                  <c:v>6592.6216999999997</c:v>
                </c:pt>
                <c:pt idx="178">
                  <c:v>6590.7741999999998</c:v>
                </c:pt>
                <c:pt idx="179">
                  <c:v>6588.6504000000004</c:v>
                </c:pt>
                <c:pt idx="180">
                  <c:v>6586.6851999999999</c:v>
                </c:pt>
                <c:pt idx="181">
                  <c:v>6585.5843000000004</c:v>
                </c:pt>
                <c:pt idx="182">
                  <c:v>6585.4391999999998</c:v>
                </c:pt>
                <c:pt idx="183">
                  <c:v>6584.2473</c:v>
                </c:pt>
                <c:pt idx="184">
                  <c:v>6580.8402999999998</c:v>
                </c:pt>
                <c:pt idx="185">
                  <c:v>6578.3924999999999</c:v>
                </c:pt>
                <c:pt idx="186">
                  <c:v>6580.4130999999998</c:v>
                </c:pt>
                <c:pt idx="187">
                  <c:v>6578.9444000000003</c:v>
                </c:pt>
                <c:pt idx="188">
                  <c:v>6577.3364000000001</c:v>
                </c:pt>
                <c:pt idx="189">
                  <c:v>6579.1490999999996</c:v>
                </c:pt>
                <c:pt idx="190">
                  <c:v>6579.5938999999998</c:v>
                </c:pt>
                <c:pt idx="191">
                  <c:v>6576.3338999999996</c:v>
                </c:pt>
                <c:pt idx="192">
                  <c:v>6576.1981999999998</c:v>
                </c:pt>
                <c:pt idx="193">
                  <c:v>6574.3692000000001</c:v>
                </c:pt>
                <c:pt idx="194">
                  <c:v>6575.9868999999999</c:v>
                </c:pt>
                <c:pt idx="195">
                  <c:v>6576.6367</c:v>
                </c:pt>
                <c:pt idx="196">
                  <c:v>6573.0457999999999</c:v>
                </c:pt>
                <c:pt idx="197">
                  <c:v>6574.3644000000004</c:v>
                </c:pt>
                <c:pt idx="198">
                  <c:v>6572.4863999999998</c:v>
                </c:pt>
                <c:pt idx="199">
                  <c:v>6572.5700999999999</c:v>
                </c:pt>
                <c:pt idx="200">
                  <c:v>6569.6688000000004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4-41E7-B9BA-A6B419088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989311"/>
        <c:axId val="525699823"/>
      </c:scatterChart>
      <c:valAx>
        <c:axId val="49498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699823"/>
        <c:crosses val="autoZero"/>
        <c:crossBetween val="midCat"/>
      </c:valAx>
      <c:valAx>
        <c:axId val="5256998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98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90488</xdr:rowOff>
    </xdr:from>
    <xdr:to>
      <xdr:col>10</xdr:col>
      <xdr:colOff>476251</xdr:colOff>
      <xdr:row>49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7158CA0-38C7-4151-AF43-B1DD0CC08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49</xdr:row>
      <xdr:rowOff>57150</xdr:rowOff>
    </xdr:from>
    <xdr:to>
      <xdr:col>15</xdr:col>
      <xdr:colOff>552451</xdr:colOff>
      <xdr:row>73</xdr:row>
      <xdr:rowOff>161924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F362E67-1B4C-4FAA-9B7F-2C378B921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26</xdr:row>
      <xdr:rowOff>133350</xdr:rowOff>
    </xdr:from>
    <xdr:to>
      <xdr:col>21</xdr:col>
      <xdr:colOff>304801</xdr:colOff>
      <xdr:row>51</xdr:row>
      <xdr:rowOff>57149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26F3170-D7AE-4E25-B214-DF199BB27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69055</xdr:colOff>
      <xdr:row>12</xdr:row>
      <xdr:rowOff>0</xdr:rowOff>
    </xdr:from>
    <xdr:to>
      <xdr:col>17</xdr:col>
      <xdr:colOff>123825</xdr:colOff>
      <xdr:row>37</xdr:row>
      <xdr:rowOff>159544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54D472-5A77-1C3C-74E9-ACD80FB88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371475</xdr:colOff>
      <xdr:row>11</xdr:row>
      <xdr:rowOff>157162</xdr:rowOff>
    </xdr:from>
    <xdr:to>
      <xdr:col>27</xdr:col>
      <xdr:colOff>426245</xdr:colOff>
      <xdr:row>37</xdr:row>
      <xdr:rowOff>135732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DACB0A0-49DC-42D4-9C87-2F03C52BF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476250</xdr:colOff>
      <xdr:row>12</xdr:row>
      <xdr:rowOff>23813</xdr:rowOff>
    </xdr:from>
    <xdr:to>
      <xdr:col>37</xdr:col>
      <xdr:colOff>531020</xdr:colOff>
      <xdr:row>38</xdr:row>
      <xdr:rowOff>2382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C54CD7-650B-4B0E-BB22-F6A7F8DC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280988</xdr:colOff>
      <xdr:row>2</xdr:row>
      <xdr:rowOff>76200</xdr:rowOff>
    </xdr:from>
    <xdr:to>
      <xdr:col>13</xdr:col>
      <xdr:colOff>338138</xdr:colOff>
      <xdr:row>28</xdr:row>
      <xdr:rowOff>104775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552865E-6ACE-7271-5DAF-8A25C5B93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2"/>
  <sheetViews>
    <sheetView tabSelected="1" topLeftCell="A13" workbookViewId="0">
      <selection activeCell="W45" sqref="W45"/>
    </sheetView>
  </sheetViews>
  <sheetFormatPr defaultRowHeight="13.9" x14ac:dyDescent="0.4"/>
  <sheetData>
    <row r="1" spans="1:36" x14ac:dyDescent="0.4">
      <c r="A1" s="29" t="s">
        <v>71</v>
      </c>
      <c r="B1" s="30"/>
      <c r="C1" s="30"/>
      <c r="D1" s="30"/>
      <c r="E1" s="31"/>
      <c r="F1" s="32"/>
      <c r="G1" s="6" t="s">
        <v>72</v>
      </c>
      <c r="H1" s="6"/>
      <c r="I1" s="6"/>
      <c r="J1" s="6"/>
      <c r="K1" s="5"/>
      <c r="M1" s="19" t="s">
        <v>73</v>
      </c>
      <c r="N1" s="20"/>
      <c r="O1" s="20"/>
      <c r="P1" s="20"/>
      <c r="Q1" s="21"/>
      <c r="R1" s="22"/>
      <c r="S1" s="9" t="s">
        <v>74</v>
      </c>
      <c r="T1" s="9"/>
      <c r="U1" s="9"/>
      <c r="V1" s="9"/>
      <c r="W1" s="8"/>
      <c r="Y1" s="3" t="s">
        <v>75</v>
      </c>
      <c r="Z1" s="3"/>
      <c r="AA1" s="3">
        <v>6987.0934999999999</v>
      </c>
      <c r="AB1" s="3"/>
      <c r="AC1" s="14"/>
      <c r="AD1" s="15"/>
      <c r="AE1" s="16"/>
      <c r="AF1" s="3" t="s">
        <v>76</v>
      </c>
      <c r="AG1" s="3"/>
      <c r="AH1" s="3"/>
      <c r="AI1" s="3"/>
      <c r="AJ1" s="2"/>
    </row>
    <row r="2" spans="1:36" x14ac:dyDescent="0.4">
      <c r="A2" s="33" t="s">
        <v>15</v>
      </c>
      <c r="B2" s="6"/>
      <c r="C2" s="6"/>
      <c r="D2" s="6"/>
      <c r="E2" s="5"/>
      <c r="F2" s="34"/>
      <c r="G2" s="6" t="s">
        <v>34</v>
      </c>
      <c r="H2" s="6"/>
      <c r="I2" s="6"/>
      <c r="J2" s="6"/>
      <c r="K2" s="5"/>
      <c r="M2" s="23" t="s">
        <v>42</v>
      </c>
      <c r="N2" s="9"/>
      <c r="O2" s="9"/>
      <c r="P2" s="9"/>
      <c r="Q2" s="8"/>
      <c r="R2" s="24"/>
      <c r="S2" s="9" t="s">
        <v>50</v>
      </c>
      <c r="T2" s="9"/>
      <c r="U2" s="9"/>
      <c r="V2" s="9"/>
      <c r="W2" s="8"/>
      <c r="Y2" s="3" t="s">
        <v>78</v>
      </c>
      <c r="Z2" s="3"/>
      <c r="AA2" s="3"/>
      <c r="AB2" s="3"/>
      <c r="AC2" s="3"/>
      <c r="AD2" s="2"/>
      <c r="AE2" s="17"/>
      <c r="AF2" s="3" t="s">
        <v>61</v>
      </c>
      <c r="AG2" s="3"/>
      <c r="AH2" s="3"/>
      <c r="AI2" s="3"/>
      <c r="AJ2" s="2"/>
    </row>
    <row r="3" spans="1:36" x14ac:dyDescent="0.4">
      <c r="A3" s="33" t="s">
        <v>16</v>
      </c>
      <c r="B3" s="6"/>
      <c r="C3" s="6"/>
      <c r="D3" s="6"/>
      <c r="E3" s="5"/>
      <c r="F3" s="34"/>
      <c r="G3" s="6" t="s">
        <v>35</v>
      </c>
      <c r="H3" s="6"/>
      <c r="I3" s="6"/>
      <c r="J3" s="6"/>
      <c r="K3" s="5"/>
      <c r="M3" s="23" t="s">
        <v>43</v>
      </c>
      <c r="N3" s="9"/>
      <c r="O3" s="9"/>
      <c r="P3" s="9"/>
      <c r="Q3" s="8"/>
      <c r="R3" s="24"/>
      <c r="S3" s="9" t="s">
        <v>51</v>
      </c>
      <c r="T3" s="9"/>
      <c r="U3" s="9"/>
      <c r="V3" s="9"/>
      <c r="W3" s="8"/>
      <c r="Y3" s="3" t="s">
        <v>79</v>
      </c>
      <c r="Z3" s="3"/>
      <c r="AA3" s="3"/>
      <c r="AB3" s="3"/>
      <c r="AC3" s="3"/>
      <c r="AD3" s="2"/>
      <c r="AE3" s="17"/>
      <c r="AF3" s="3" t="s">
        <v>62</v>
      </c>
      <c r="AG3" s="3"/>
      <c r="AH3" s="3"/>
      <c r="AI3" s="3"/>
      <c r="AJ3" s="2"/>
    </row>
    <row r="4" spans="1:36" x14ac:dyDescent="0.4">
      <c r="A4" s="33" t="s">
        <v>17</v>
      </c>
      <c r="B4" s="6"/>
      <c r="C4" s="6"/>
      <c r="D4" s="6"/>
      <c r="E4" s="5"/>
      <c r="F4" s="34"/>
      <c r="G4" s="6" t="s">
        <v>36</v>
      </c>
      <c r="H4" s="6"/>
      <c r="I4" s="6"/>
      <c r="J4" s="6"/>
      <c r="K4" s="5"/>
      <c r="M4" s="23" t="s">
        <v>44</v>
      </c>
      <c r="N4" s="9"/>
      <c r="O4" s="9"/>
      <c r="P4" s="9"/>
      <c r="Q4" s="8"/>
      <c r="R4" s="24"/>
      <c r="S4" s="9" t="s">
        <v>52</v>
      </c>
      <c r="T4" s="9"/>
      <c r="U4" s="9"/>
      <c r="V4" s="9"/>
      <c r="W4" s="8"/>
      <c r="Y4" s="3" t="s">
        <v>80</v>
      </c>
      <c r="Z4" s="3"/>
      <c r="AA4" s="3"/>
      <c r="AB4" s="3"/>
      <c r="AC4" s="3"/>
      <c r="AD4" s="2"/>
      <c r="AE4" s="17"/>
      <c r="AF4" s="3" t="s">
        <v>63</v>
      </c>
      <c r="AG4" s="3"/>
      <c r="AH4" s="3"/>
      <c r="AI4" s="3"/>
      <c r="AJ4" s="2"/>
    </row>
    <row r="5" spans="1:36" x14ac:dyDescent="0.4">
      <c r="A5" s="33" t="s">
        <v>18</v>
      </c>
      <c r="B5" s="6"/>
      <c r="C5" s="6"/>
      <c r="D5" s="6"/>
      <c r="E5" s="5"/>
      <c r="F5" s="34"/>
      <c r="G5" s="6" t="s">
        <v>37</v>
      </c>
      <c r="H5" s="6"/>
      <c r="I5" s="6"/>
      <c r="J5" s="6"/>
      <c r="K5" s="5"/>
      <c r="M5" s="23" t="s">
        <v>45</v>
      </c>
      <c r="N5" s="9"/>
      <c r="O5" s="9"/>
      <c r="P5" s="9"/>
      <c r="Q5" s="8"/>
      <c r="R5" s="24"/>
      <c r="S5" s="9" t="s">
        <v>53</v>
      </c>
      <c r="T5" s="9"/>
      <c r="U5" s="9"/>
      <c r="V5" s="9"/>
      <c r="W5" s="8"/>
      <c r="Y5" s="3" t="s">
        <v>81</v>
      </c>
      <c r="Z5" s="3"/>
      <c r="AA5" s="3"/>
      <c r="AB5" s="3"/>
      <c r="AC5" s="3"/>
      <c r="AD5" s="2"/>
      <c r="AE5" s="17"/>
      <c r="AF5" s="3" t="s">
        <v>64</v>
      </c>
      <c r="AG5" s="3"/>
      <c r="AH5" s="3"/>
      <c r="AI5" s="3"/>
      <c r="AJ5" s="2"/>
    </row>
    <row r="6" spans="1:36" x14ac:dyDescent="0.4">
      <c r="A6" s="33" t="s">
        <v>19</v>
      </c>
      <c r="B6" s="6"/>
      <c r="C6" s="6"/>
      <c r="D6" s="6"/>
      <c r="E6" s="5"/>
      <c r="F6" s="34"/>
      <c r="G6" s="6" t="s">
        <v>19</v>
      </c>
      <c r="H6" s="6"/>
      <c r="I6" s="6"/>
      <c r="J6" s="6"/>
      <c r="K6" s="5"/>
      <c r="M6" s="23" t="s">
        <v>19</v>
      </c>
      <c r="N6" s="9"/>
      <c r="O6" s="9"/>
      <c r="P6" s="9"/>
      <c r="Q6" s="8"/>
      <c r="R6" s="24"/>
      <c r="S6" s="9" t="s">
        <v>19</v>
      </c>
      <c r="T6" s="9"/>
      <c r="U6" s="9"/>
      <c r="V6" s="9"/>
      <c r="W6" s="8"/>
      <c r="Y6" s="3" t="s">
        <v>19</v>
      </c>
      <c r="Z6" s="3"/>
      <c r="AA6" s="3"/>
      <c r="AB6" s="3"/>
      <c r="AC6" s="3"/>
      <c r="AD6" s="2"/>
      <c r="AE6" s="17"/>
      <c r="AF6" s="3" t="s">
        <v>19</v>
      </c>
      <c r="AG6" s="3"/>
      <c r="AH6" s="3"/>
      <c r="AI6" s="3"/>
      <c r="AJ6" s="2"/>
    </row>
    <row r="7" spans="1:36" x14ac:dyDescent="0.4">
      <c r="A7" s="33" t="s">
        <v>20</v>
      </c>
      <c r="B7" s="6"/>
      <c r="C7" s="6"/>
      <c r="D7" s="6"/>
      <c r="E7" s="5"/>
      <c r="F7" s="34"/>
      <c r="G7" s="6" t="s">
        <v>38</v>
      </c>
      <c r="H7" s="6"/>
      <c r="I7" s="6"/>
      <c r="J7" s="6"/>
      <c r="K7" s="5"/>
      <c r="M7" s="23" t="s">
        <v>46</v>
      </c>
      <c r="N7" s="9"/>
      <c r="O7" s="9"/>
      <c r="P7" s="9"/>
      <c r="Q7" s="8"/>
      <c r="R7" s="24"/>
      <c r="S7" s="9" t="s">
        <v>54</v>
      </c>
      <c r="T7" s="9"/>
      <c r="U7" s="9"/>
      <c r="V7" s="9"/>
      <c r="W7" s="8"/>
      <c r="Y7" s="3" t="s">
        <v>58</v>
      </c>
      <c r="Z7" s="3"/>
      <c r="AA7" s="3"/>
      <c r="AB7" s="3"/>
      <c r="AC7" s="3"/>
      <c r="AD7" s="2"/>
      <c r="AE7" s="17"/>
      <c r="AF7" s="3" t="s">
        <v>65</v>
      </c>
      <c r="AG7" s="3"/>
      <c r="AH7" s="3"/>
      <c r="AI7" s="3"/>
      <c r="AJ7" s="2"/>
    </row>
    <row r="8" spans="1:36" x14ac:dyDescent="0.4">
      <c r="A8" s="33" t="s">
        <v>21</v>
      </c>
      <c r="B8" s="6"/>
      <c r="C8" s="6"/>
      <c r="D8" s="6"/>
      <c r="E8" s="5"/>
      <c r="F8" s="34"/>
      <c r="G8" s="6" t="s">
        <v>21</v>
      </c>
      <c r="H8" s="6"/>
      <c r="I8" s="6"/>
      <c r="J8" s="6"/>
      <c r="K8" s="5"/>
      <c r="M8" s="23" t="s">
        <v>21</v>
      </c>
      <c r="N8" s="9"/>
      <c r="O8" s="9"/>
      <c r="P8" s="9"/>
      <c r="Q8" s="8"/>
      <c r="R8" s="24"/>
      <c r="S8" s="9" t="s">
        <v>21</v>
      </c>
      <c r="T8" s="9"/>
      <c r="U8" s="9"/>
      <c r="V8" s="9"/>
      <c r="W8" s="8"/>
      <c r="Y8" s="3" t="s">
        <v>21</v>
      </c>
      <c r="Z8" s="3"/>
      <c r="AA8" s="3"/>
      <c r="AB8" s="3"/>
      <c r="AC8" s="3"/>
      <c r="AD8" s="2"/>
      <c r="AE8" s="17"/>
      <c r="AF8" s="3" t="s">
        <v>21</v>
      </c>
      <c r="AG8" s="3"/>
      <c r="AH8" s="3"/>
      <c r="AI8" s="3"/>
      <c r="AJ8" s="2"/>
    </row>
    <row r="9" spans="1:36" x14ac:dyDescent="0.4">
      <c r="A9" s="33" t="s">
        <v>22</v>
      </c>
      <c r="B9" s="6"/>
      <c r="C9" s="6"/>
      <c r="D9" s="6"/>
      <c r="E9" s="5"/>
      <c r="F9" s="34"/>
      <c r="G9" s="6" t="s">
        <v>39</v>
      </c>
      <c r="H9" s="6"/>
      <c r="I9" s="6"/>
      <c r="J9" s="6"/>
      <c r="K9" s="5"/>
      <c r="M9" s="23" t="s">
        <v>47</v>
      </c>
      <c r="N9" s="9"/>
      <c r="O9" s="9"/>
      <c r="P9" s="9"/>
      <c r="Q9" s="8"/>
      <c r="R9" s="24"/>
      <c r="S9" s="9" t="s">
        <v>55</v>
      </c>
      <c r="T9" s="9"/>
      <c r="U9" s="9"/>
      <c r="V9" s="9"/>
      <c r="W9" s="8"/>
      <c r="Y9" s="3" t="s">
        <v>59</v>
      </c>
      <c r="Z9" s="3"/>
      <c r="AA9" s="3"/>
      <c r="AB9" s="3"/>
      <c r="AC9" s="3"/>
      <c r="AD9" s="2"/>
      <c r="AE9" s="17"/>
      <c r="AF9" s="3" t="s">
        <v>66</v>
      </c>
      <c r="AG9" s="3"/>
      <c r="AH9" s="3"/>
      <c r="AI9" s="3"/>
      <c r="AJ9" s="2"/>
    </row>
    <row r="10" spans="1:36" x14ac:dyDescent="0.4">
      <c r="A10" s="33" t="s">
        <v>23</v>
      </c>
      <c r="B10" s="6"/>
      <c r="C10" s="6"/>
      <c r="D10" s="6"/>
      <c r="E10" s="5"/>
      <c r="F10" s="34"/>
      <c r="G10" s="6" t="s">
        <v>23</v>
      </c>
      <c r="H10" s="6"/>
      <c r="I10" s="6"/>
      <c r="J10" s="6"/>
      <c r="K10" s="5"/>
      <c r="M10" s="23" t="s">
        <v>23</v>
      </c>
      <c r="N10" s="9"/>
      <c r="O10" s="9"/>
      <c r="P10" s="9"/>
      <c r="Q10" s="8"/>
      <c r="R10" s="24"/>
      <c r="S10" s="9" t="s">
        <v>23</v>
      </c>
      <c r="T10" s="9"/>
      <c r="U10" s="9"/>
      <c r="V10" s="9"/>
      <c r="W10" s="8"/>
      <c r="Y10" s="3" t="s">
        <v>23</v>
      </c>
      <c r="Z10" s="3"/>
      <c r="AA10" s="3"/>
      <c r="AB10" s="3"/>
      <c r="AC10" s="3"/>
      <c r="AD10" s="2"/>
      <c r="AE10" s="17"/>
      <c r="AF10" s="3" t="s">
        <v>23</v>
      </c>
      <c r="AG10" s="3"/>
      <c r="AH10" s="3"/>
      <c r="AI10" s="3"/>
      <c r="AJ10" s="2"/>
    </row>
    <row r="11" spans="1:36" x14ac:dyDescent="0.4">
      <c r="A11" s="33" t="s">
        <v>24</v>
      </c>
      <c r="B11" s="6"/>
      <c r="C11" s="6"/>
      <c r="D11" s="6"/>
      <c r="E11" s="5"/>
      <c r="F11" s="34"/>
      <c r="G11" s="6" t="s">
        <v>24</v>
      </c>
      <c r="H11" s="6"/>
      <c r="I11" s="6"/>
      <c r="J11" s="6"/>
      <c r="K11" s="5"/>
      <c r="M11" s="23" t="s">
        <v>24</v>
      </c>
      <c r="N11" s="9"/>
      <c r="O11" s="9"/>
      <c r="P11" s="9"/>
      <c r="Q11" s="8"/>
      <c r="R11" s="24"/>
      <c r="S11" s="9" t="s">
        <v>24</v>
      </c>
      <c r="T11" s="9"/>
      <c r="U11" s="9"/>
      <c r="V11" s="9"/>
      <c r="W11" s="8"/>
      <c r="Y11" s="3" t="s">
        <v>24</v>
      </c>
      <c r="Z11" s="3"/>
      <c r="AA11" s="3"/>
      <c r="AB11" s="3"/>
      <c r="AC11" s="3"/>
      <c r="AD11" s="2"/>
      <c r="AE11" s="17"/>
      <c r="AF11" s="3" t="s">
        <v>24</v>
      </c>
      <c r="AG11" s="3"/>
      <c r="AH11" s="3"/>
      <c r="AI11" s="3"/>
      <c r="AJ11" s="2"/>
    </row>
    <row r="12" spans="1:36" x14ac:dyDescent="0.4">
      <c r="A12" s="33" t="s">
        <v>25</v>
      </c>
      <c r="B12" s="6"/>
      <c r="C12" s="6"/>
      <c r="D12" s="6"/>
      <c r="E12" s="5"/>
      <c r="F12" s="34"/>
      <c r="G12" s="6" t="s">
        <v>25</v>
      </c>
      <c r="H12" s="6"/>
      <c r="I12" s="6"/>
      <c r="J12" s="6"/>
      <c r="K12" s="5"/>
      <c r="M12" s="23" t="s">
        <v>25</v>
      </c>
      <c r="N12" s="9"/>
      <c r="O12" s="9"/>
      <c r="P12" s="9"/>
      <c r="Q12" s="8"/>
      <c r="R12" s="24"/>
      <c r="S12" s="9" t="s">
        <v>25</v>
      </c>
      <c r="T12" s="9"/>
      <c r="U12" s="9"/>
      <c r="V12" s="9"/>
      <c r="W12" s="8"/>
      <c r="Y12" s="3" t="s">
        <v>25</v>
      </c>
      <c r="Z12" s="3"/>
      <c r="AA12" s="3"/>
      <c r="AB12" s="3"/>
      <c r="AC12" s="3"/>
      <c r="AD12" s="2"/>
      <c r="AE12" s="17"/>
      <c r="AF12" s="3" t="s">
        <v>25</v>
      </c>
      <c r="AG12" s="3"/>
      <c r="AH12" s="3"/>
      <c r="AI12" s="3"/>
      <c r="AJ12" s="2"/>
    </row>
    <row r="13" spans="1:36" x14ac:dyDescent="0.4">
      <c r="A13" s="33" t="s">
        <v>26</v>
      </c>
      <c r="B13" s="6"/>
      <c r="C13" s="6"/>
      <c r="D13" s="6"/>
      <c r="E13" s="5"/>
      <c r="F13" s="34"/>
      <c r="G13" s="6" t="s">
        <v>26</v>
      </c>
      <c r="H13" s="6"/>
      <c r="I13" s="6"/>
      <c r="J13" s="6"/>
      <c r="K13" s="5"/>
      <c r="M13" s="23" t="s">
        <v>26</v>
      </c>
      <c r="N13" s="9"/>
      <c r="O13" s="9"/>
      <c r="P13" s="9"/>
      <c r="Q13" s="8"/>
      <c r="R13" s="24"/>
      <c r="S13" s="9" t="s">
        <v>26</v>
      </c>
      <c r="T13" s="9"/>
      <c r="U13" s="9"/>
      <c r="V13" s="9"/>
      <c r="W13" s="8"/>
      <c r="Y13" s="3" t="s">
        <v>26</v>
      </c>
      <c r="Z13" s="3"/>
      <c r="AA13" s="3"/>
      <c r="AB13" s="3"/>
      <c r="AC13" s="3"/>
      <c r="AD13" s="2"/>
      <c r="AE13" s="17"/>
      <c r="AF13" s="3" t="s">
        <v>26</v>
      </c>
      <c r="AG13" s="3"/>
      <c r="AH13" s="3"/>
      <c r="AI13" s="3"/>
      <c r="AJ13" s="2"/>
    </row>
    <row r="14" spans="1:36" x14ac:dyDescent="0.4">
      <c r="A14" s="33" t="s">
        <v>27</v>
      </c>
      <c r="B14" s="6"/>
      <c r="C14" s="6"/>
      <c r="D14" s="6"/>
      <c r="E14" s="5"/>
      <c r="F14" s="34"/>
      <c r="G14" s="6" t="s">
        <v>27</v>
      </c>
      <c r="H14" s="6"/>
      <c r="I14" s="6"/>
      <c r="J14" s="6"/>
      <c r="K14" s="5"/>
      <c r="M14" s="23" t="s">
        <v>27</v>
      </c>
      <c r="N14" s="9"/>
      <c r="O14" s="9"/>
      <c r="P14" s="9"/>
      <c r="Q14" s="8"/>
      <c r="R14" s="24"/>
      <c r="S14" s="9" t="s">
        <v>27</v>
      </c>
      <c r="T14" s="9"/>
      <c r="U14" s="9"/>
      <c r="V14" s="9"/>
      <c r="W14" s="8"/>
      <c r="Y14" s="3" t="s">
        <v>27</v>
      </c>
      <c r="Z14" s="3"/>
      <c r="AA14" s="3"/>
      <c r="AB14" s="3"/>
      <c r="AC14" s="3"/>
      <c r="AD14" s="2"/>
      <c r="AE14" s="17"/>
      <c r="AF14" s="3" t="s">
        <v>27</v>
      </c>
      <c r="AG14" s="3"/>
      <c r="AH14" s="3"/>
      <c r="AI14" s="3"/>
      <c r="AJ14" s="2"/>
    </row>
    <row r="15" spans="1:36" x14ac:dyDescent="0.4">
      <c r="A15" s="33" t="s">
        <v>28</v>
      </c>
      <c r="B15" s="6"/>
      <c r="C15" s="6"/>
      <c r="D15" s="6"/>
      <c r="E15" s="5"/>
      <c r="F15" s="34"/>
      <c r="G15" s="6" t="s">
        <v>28</v>
      </c>
      <c r="H15" s="6"/>
      <c r="I15" s="6"/>
      <c r="J15" s="6"/>
      <c r="K15" s="5"/>
      <c r="M15" s="23" t="s">
        <v>28</v>
      </c>
      <c r="N15" s="9"/>
      <c r="O15" s="9"/>
      <c r="P15" s="9"/>
      <c r="Q15" s="8"/>
      <c r="R15" s="24"/>
      <c r="S15" s="9" t="s">
        <v>28</v>
      </c>
      <c r="T15" s="9"/>
      <c r="U15" s="9"/>
      <c r="V15" s="9"/>
      <c r="W15" s="8"/>
      <c r="Y15" s="3" t="s">
        <v>28</v>
      </c>
      <c r="Z15" s="3"/>
      <c r="AA15" s="3"/>
      <c r="AB15" s="3"/>
      <c r="AC15" s="3"/>
      <c r="AD15" s="2"/>
      <c r="AE15" s="17"/>
      <c r="AF15" s="3" t="s">
        <v>28</v>
      </c>
      <c r="AG15" s="3"/>
      <c r="AH15" s="3"/>
      <c r="AI15" s="3"/>
      <c r="AJ15" s="2"/>
    </row>
    <row r="16" spans="1:36" x14ac:dyDescent="0.4">
      <c r="A16" s="33" t="s">
        <v>29</v>
      </c>
      <c r="B16" s="6"/>
      <c r="C16" s="6"/>
      <c r="D16" s="6"/>
      <c r="E16" s="5"/>
      <c r="F16" s="34"/>
      <c r="G16" s="6" t="s">
        <v>29</v>
      </c>
      <c r="H16" s="6"/>
      <c r="I16" s="6"/>
      <c r="J16" s="6"/>
      <c r="K16" s="5"/>
      <c r="M16" s="23" t="s">
        <v>29</v>
      </c>
      <c r="N16" s="9"/>
      <c r="O16" s="9"/>
      <c r="P16" s="9"/>
      <c r="Q16" s="8"/>
      <c r="R16" s="24"/>
      <c r="S16" s="9" t="s">
        <v>29</v>
      </c>
      <c r="T16" s="9"/>
      <c r="U16" s="9"/>
      <c r="V16" s="9"/>
      <c r="W16" s="8"/>
      <c r="Y16" s="3" t="s">
        <v>29</v>
      </c>
      <c r="Z16" s="3"/>
      <c r="AA16" s="3"/>
      <c r="AB16" s="3"/>
      <c r="AC16" s="3"/>
      <c r="AD16" s="2"/>
      <c r="AE16" s="17"/>
      <c r="AF16" s="3" t="s">
        <v>29</v>
      </c>
      <c r="AG16" s="3"/>
      <c r="AH16" s="3"/>
      <c r="AI16" s="3"/>
      <c r="AJ16" s="2"/>
    </row>
    <row r="17" spans="1:36" x14ac:dyDescent="0.4">
      <c r="A17" s="33" t="s">
        <v>30</v>
      </c>
      <c r="B17" s="6" t="s">
        <v>31</v>
      </c>
      <c r="C17" s="6"/>
      <c r="D17" s="6"/>
      <c r="E17" s="5"/>
      <c r="F17" s="34"/>
      <c r="G17" s="6" t="s">
        <v>40</v>
      </c>
      <c r="H17" s="6" t="s">
        <v>41</v>
      </c>
      <c r="I17" s="6"/>
      <c r="J17" s="6"/>
      <c r="K17" s="5"/>
      <c r="M17" s="23" t="s">
        <v>48</v>
      </c>
      <c r="N17" s="9" t="s">
        <v>49</v>
      </c>
      <c r="O17" s="9"/>
      <c r="P17" s="9"/>
      <c r="Q17" s="8"/>
      <c r="R17" s="24"/>
      <c r="S17" s="9" t="s">
        <v>56</v>
      </c>
      <c r="T17" s="9" t="s">
        <v>57</v>
      </c>
      <c r="U17" s="9"/>
      <c r="V17" s="9"/>
      <c r="W17" s="8"/>
      <c r="Y17" s="3" t="s">
        <v>60</v>
      </c>
      <c r="Z17" s="3" t="s">
        <v>82</v>
      </c>
      <c r="AA17" s="3"/>
      <c r="AB17" s="3"/>
      <c r="AC17" s="3"/>
      <c r="AD17" s="2"/>
      <c r="AE17" s="17"/>
      <c r="AF17" s="3" t="s">
        <v>67</v>
      </c>
      <c r="AG17" s="3" t="s">
        <v>68</v>
      </c>
      <c r="AH17" s="3"/>
      <c r="AI17" s="3"/>
      <c r="AJ17" s="2"/>
    </row>
    <row r="18" spans="1:36" x14ac:dyDescent="0.4">
      <c r="A18" s="33" t="s">
        <v>32</v>
      </c>
      <c r="B18" s="6" t="s">
        <v>33</v>
      </c>
      <c r="C18" s="6"/>
      <c r="D18" s="6"/>
      <c r="E18" s="5"/>
      <c r="F18" s="34"/>
      <c r="G18" s="6" t="s">
        <v>32</v>
      </c>
      <c r="H18" s="6" t="s">
        <v>33</v>
      </c>
      <c r="I18" s="6"/>
      <c r="J18" s="6"/>
      <c r="K18" s="5"/>
      <c r="M18" s="23" t="s">
        <v>32</v>
      </c>
      <c r="N18" s="9" t="s">
        <v>33</v>
      </c>
      <c r="O18" s="9"/>
      <c r="P18" s="9"/>
      <c r="Q18" s="8" t="s">
        <v>70</v>
      </c>
      <c r="R18" s="24"/>
      <c r="S18" s="9" t="s">
        <v>32</v>
      </c>
      <c r="T18" s="9" t="s">
        <v>33</v>
      </c>
      <c r="U18" s="9"/>
      <c r="V18" s="9"/>
      <c r="W18" s="8"/>
      <c r="Y18" s="3" t="s">
        <v>32</v>
      </c>
      <c r="Z18" s="3" t="s">
        <v>33</v>
      </c>
      <c r="AA18" s="3"/>
      <c r="AB18" s="3"/>
      <c r="AC18" s="3"/>
      <c r="AD18" s="2"/>
      <c r="AE18" s="17"/>
      <c r="AF18" s="3" t="s">
        <v>32</v>
      </c>
      <c r="AG18" s="3" t="s">
        <v>69</v>
      </c>
      <c r="AH18" s="3"/>
      <c r="AI18" s="3"/>
      <c r="AJ18" s="2"/>
    </row>
    <row r="19" spans="1:36" x14ac:dyDescent="0.4">
      <c r="A19" s="33" t="s">
        <v>0</v>
      </c>
      <c r="B19" s="6" t="s">
        <v>1</v>
      </c>
      <c r="C19" s="6" t="s">
        <v>2</v>
      </c>
      <c r="D19" s="6" t="s">
        <v>3</v>
      </c>
      <c r="E19" s="6" t="s">
        <v>4</v>
      </c>
      <c r="F19" s="34"/>
      <c r="G19" s="6" t="s">
        <v>0</v>
      </c>
      <c r="H19" s="6" t="s">
        <v>1</v>
      </c>
      <c r="I19" s="6" t="s">
        <v>2</v>
      </c>
      <c r="J19" s="6" t="s">
        <v>3</v>
      </c>
      <c r="K19" s="6" t="s">
        <v>4</v>
      </c>
      <c r="M19" s="23" t="s">
        <v>0</v>
      </c>
      <c r="N19" s="9" t="s">
        <v>1</v>
      </c>
      <c r="O19" s="9" t="s">
        <v>2</v>
      </c>
      <c r="P19" s="9" t="s">
        <v>3</v>
      </c>
      <c r="Q19" s="9" t="s">
        <v>4</v>
      </c>
      <c r="R19" s="24"/>
      <c r="S19" s="9" t="s">
        <v>0</v>
      </c>
      <c r="T19" s="9" t="s">
        <v>1</v>
      </c>
      <c r="U19" s="9" t="s">
        <v>2</v>
      </c>
      <c r="V19" s="9" t="s">
        <v>3</v>
      </c>
      <c r="W19" s="9" t="s">
        <v>4</v>
      </c>
      <c r="Y19" s="3" t="s">
        <v>0</v>
      </c>
      <c r="Z19" s="3" t="s">
        <v>1</v>
      </c>
      <c r="AA19" s="3" t="s">
        <v>2</v>
      </c>
      <c r="AB19" s="3" t="s">
        <v>3</v>
      </c>
      <c r="AC19" s="3">
        <v>0</v>
      </c>
      <c r="AD19" s="3" t="s">
        <v>4</v>
      </c>
      <c r="AE19" s="17"/>
      <c r="AF19" s="3" t="s">
        <v>0</v>
      </c>
      <c r="AG19" s="3" t="s">
        <v>1</v>
      </c>
      <c r="AH19" s="3" t="s">
        <v>2</v>
      </c>
      <c r="AI19" s="3" t="s">
        <v>3</v>
      </c>
      <c r="AJ19" s="3" t="s">
        <v>4</v>
      </c>
    </row>
    <row r="20" spans="1:36" x14ac:dyDescent="0.4">
      <c r="A20" s="33">
        <v>34.763399999999997</v>
      </c>
      <c r="B20" s="6">
        <v>6519</v>
      </c>
      <c r="C20" s="6">
        <v>4884.4582</v>
      </c>
      <c r="D20" s="7">
        <v>1</v>
      </c>
      <c r="E20" s="12">
        <f>B20/C20*D20</f>
        <v>1.3346413733257048</v>
      </c>
      <c r="F20" s="34"/>
      <c r="G20" s="6">
        <v>35.068100000000001</v>
      </c>
      <c r="H20" s="6">
        <v>11175</v>
      </c>
      <c r="I20" s="6">
        <v>4056.9414000000002</v>
      </c>
      <c r="J20" s="7">
        <v>1</v>
      </c>
      <c r="K20" s="12">
        <f>H20/I20*J20</f>
        <v>2.7545381848502912</v>
      </c>
      <c r="M20" s="23">
        <v>34.930599999999998</v>
      </c>
      <c r="N20" s="9">
        <v>143</v>
      </c>
      <c r="O20" s="9">
        <v>5750.1853000000001</v>
      </c>
      <c r="P20" s="10">
        <v>1</v>
      </c>
      <c r="Q20" s="13">
        <f>(N20/O20)*P20</f>
        <v>2.4868763794446764E-2</v>
      </c>
      <c r="R20" s="24"/>
      <c r="S20" s="9">
        <v>34.334800000000001</v>
      </c>
      <c r="T20" s="9">
        <v>74</v>
      </c>
      <c r="U20" s="9">
        <v>3502.489</v>
      </c>
      <c r="V20" s="10">
        <v>1</v>
      </c>
      <c r="W20" s="13">
        <f>T20/U20*V20</f>
        <v>2.1127832235875686E-2</v>
      </c>
      <c r="Y20" s="3">
        <v>34.3596</v>
      </c>
      <c r="Z20" s="3">
        <v>171</v>
      </c>
      <c r="AA20" s="3">
        <v>6987.0934999999999</v>
      </c>
      <c r="AB20" s="4">
        <v>1</v>
      </c>
      <c r="AC20" s="3">
        <v>0</v>
      </c>
      <c r="AD20" s="11">
        <f>Z20/AA20*AB20</f>
        <v>2.447369567904022E-2</v>
      </c>
      <c r="AE20" s="17"/>
      <c r="AF20" s="3">
        <v>34.358800000000002</v>
      </c>
      <c r="AG20" s="3">
        <v>131</v>
      </c>
      <c r="AH20" s="3">
        <v>5968.5011999999997</v>
      </c>
      <c r="AI20" s="4">
        <v>1</v>
      </c>
      <c r="AJ20" s="11">
        <f>AG20/AH20*AI20</f>
        <v>2.1948558877729639E-2</v>
      </c>
    </row>
    <row r="21" spans="1:36" x14ac:dyDescent="0.4">
      <c r="A21" s="33">
        <v>34.764400000000002</v>
      </c>
      <c r="B21" s="6">
        <v>6502</v>
      </c>
      <c r="C21" s="6">
        <v>4885.9485000000004</v>
      </c>
      <c r="D21" s="7">
        <v>1</v>
      </c>
      <c r="E21" s="12">
        <f t="shared" ref="E21:E84" si="0">B21/C21*D21</f>
        <v>1.3307549189272052</v>
      </c>
      <c r="F21" s="34"/>
      <c r="G21" s="6">
        <v>35.069099999999999</v>
      </c>
      <c r="H21" s="6">
        <v>11416</v>
      </c>
      <c r="I21" s="6">
        <v>4058.5016000000001</v>
      </c>
      <c r="J21" s="7">
        <v>1</v>
      </c>
      <c r="K21" s="12">
        <f t="shared" ref="K21:K84" si="1">H21/I21*J21</f>
        <v>2.8128607858624473</v>
      </c>
      <c r="M21" s="23">
        <v>34.931600000000003</v>
      </c>
      <c r="N21" s="9">
        <v>127</v>
      </c>
      <c r="O21" s="9">
        <v>5749.07</v>
      </c>
      <c r="P21" s="10">
        <v>1</v>
      </c>
      <c r="Q21" s="13">
        <f t="shared" ref="Q21:Q84" si="2">(N21/O21)*P21</f>
        <v>2.2090529424759135E-2</v>
      </c>
      <c r="R21" s="24"/>
      <c r="S21" s="9">
        <v>34.335799999999999</v>
      </c>
      <c r="T21" s="9">
        <v>88</v>
      </c>
      <c r="U21" s="9">
        <v>3501</v>
      </c>
      <c r="V21" s="10">
        <v>1</v>
      </c>
      <c r="W21" s="13">
        <f t="shared" ref="W21:W84" si="3">T21/U21*V21</f>
        <v>2.5135675521279634E-2</v>
      </c>
      <c r="Y21" s="3">
        <v>34.360599999999998</v>
      </c>
      <c r="Z21" s="3">
        <v>163</v>
      </c>
      <c r="AA21" s="3">
        <v>6987.0078999999996</v>
      </c>
      <c r="AB21" s="4">
        <v>1</v>
      </c>
      <c r="AC21" s="3">
        <v>0</v>
      </c>
      <c r="AD21" s="11">
        <f t="shared" ref="AD21:AD84" si="4">Z21/AA21*AB21</f>
        <v>2.3329013267610589E-2</v>
      </c>
      <c r="AE21" s="17"/>
      <c r="AF21" s="3">
        <v>34.3598</v>
      </c>
      <c r="AG21" s="3">
        <v>126</v>
      </c>
      <c r="AH21" s="3">
        <v>5967.3603000000003</v>
      </c>
      <c r="AI21" s="4">
        <v>1</v>
      </c>
      <c r="AJ21" s="11">
        <f t="shared" ref="AJ21:AJ84" si="5">AG21/AH21*AI21</f>
        <v>2.1114863803347015E-2</v>
      </c>
    </row>
    <row r="22" spans="1:36" x14ac:dyDescent="0.4">
      <c r="A22" s="33">
        <v>34.7654</v>
      </c>
      <c r="B22" s="6">
        <v>6793</v>
      </c>
      <c r="C22" s="6">
        <v>4887.5558000000001</v>
      </c>
      <c r="D22" s="7">
        <v>1</v>
      </c>
      <c r="E22" s="12">
        <f t="shared" si="0"/>
        <v>1.3898562549403528</v>
      </c>
      <c r="F22" s="34"/>
      <c r="G22" s="6">
        <v>35.070099999999996</v>
      </c>
      <c r="H22" s="6">
        <v>12082</v>
      </c>
      <c r="I22" s="6">
        <v>4056.9798999999998</v>
      </c>
      <c r="J22" s="7">
        <v>1</v>
      </c>
      <c r="K22" s="12">
        <f t="shared" si="1"/>
        <v>2.9780773624242016</v>
      </c>
      <c r="M22" s="23">
        <v>34.932600000000001</v>
      </c>
      <c r="N22" s="9">
        <v>124</v>
      </c>
      <c r="O22" s="9">
        <v>5747.5569999999998</v>
      </c>
      <c r="P22" s="10">
        <v>1</v>
      </c>
      <c r="Q22" s="13">
        <f t="shared" si="2"/>
        <v>2.157438369032269E-2</v>
      </c>
      <c r="R22" s="24"/>
      <c r="S22" s="9">
        <v>34.336799999999997</v>
      </c>
      <c r="T22" s="9">
        <v>85</v>
      </c>
      <c r="U22" s="9">
        <v>3500.2132999999999</v>
      </c>
      <c r="V22" s="10">
        <v>1</v>
      </c>
      <c r="W22" s="13">
        <f t="shared" si="3"/>
        <v>2.4284234335090381E-2</v>
      </c>
      <c r="Y22" s="3">
        <v>34.361600000000003</v>
      </c>
      <c r="Z22" s="3">
        <v>142</v>
      </c>
      <c r="AA22" s="3">
        <v>6985.1786000000002</v>
      </c>
      <c r="AB22" s="4">
        <v>1</v>
      </c>
      <c r="AC22" s="3">
        <v>0</v>
      </c>
      <c r="AD22" s="11">
        <f t="shared" si="4"/>
        <v>2.032875723463964E-2</v>
      </c>
      <c r="AE22" s="17"/>
      <c r="AF22" s="3">
        <v>34.360799999999998</v>
      </c>
      <c r="AG22" s="3">
        <v>124</v>
      </c>
      <c r="AH22" s="3">
        <v>5965.1673000000001</v>
      </c>
      <c r="AI22" s="4">
        <v>1</v>
      </c>
      <c r="AJ22" s="11">
        <f t="shared" si="5"/>
        <v>2.0787346567798692E-2</v>
      </c>
    </row>
    <row r="23" spans="1:36" x14ac:dyDescent="0.4">
      <c r="A23" s="33">
        <v>34.766399999999997</v>
      </c>
      <c r="B23" s="6">
        <v>6962</v>
      </c>
      <c r="C23" s="6">
        <v>4887.4350000000004</v>
      </c>
      <c r="D23" s="7">
        <v>1</v>
      </c>
      <c r="E23" s="12">
        <f t="shared" si="0"/>
        <v>1.4244690722229554</v>
      </c>
      <c r="F23" s="34"/>
      <c r="G23" s="6">
        <v>35.071100000000001</v>
      </c>
      <c r="H23" s="6">
        <v>12439</v>
      </c>
      <c r="I23" s="6">
        <v>4058.4398000000001</v>
      </c>
      <c r="J23" s="7">
        <v>1</v>
      </c>
      <c r="K23" s="12">
        <f t="shared" si="1"/>
        <v>3.0649709279906037</v>
      </c>
      <c r="M23" s="23">
        <v>34.933599999999998</v>
      </c>
      <c r="N23" s="9">
        <v>158</v>
      </c>
      <c r="O23" s="9">
        <v>5747.9822999999997</v>
      </c>
      <c r="P23" s="10">
        <v>1</v>
      </c>
      <c r="Q23" s="13">
        <f t="shared" si="2"/>
        <v>2.7487906495467115E-2</v>
      </c>
      <c r="R23" s="24"/>
      <c r="S23" s="9">
        <v>34.337800000000001</v>
      </c>
      <c r="T23" s="9">
        <v>79</v>
      </c>
      <c r="U23" s="9">
        <v>3499.2728999999999</v>
      </c>
      <c r="V23" s="10">
        <v>1</v>
      </c>
      <c r="W23" s="13">
        <f t="shared" si="3"/>
        <v>2.2576118598809484E-2</v>
      </c>
      <c r="Y23" s="3">
        <v>34.3626</v>
      </c>
      <c r="Z23" s="3">
        <v>153</v>
      </c>
      <c r="AA23" s="3">
        <v>6981.8534</v>
      </c>
      <c r="AB23" s="4">
        <v>1</v>
      </c>
      <c r="AC23" s="3">
        <v>0</v>
      </c>
      <c r="AD23" s="11">
        <f t="shared" si="4"/>
        <v>2.1913951960091285E-2</v>
      </c>
      <c r="AE23" s="17"/>
      <c r="AF23" s="3">
        <v>34.361800000000002</v>
      </c>
      <c r="AG23" s="3">
        <v>132</v>
      </c>
      <c r="AH23" s="3">
        <v>5964.99</v>
      </c>
      <c r="AI23" s="4">
        <v>1</v>
      </c>
      <c r="AJ23" s="11">
        <f t="shared" si="5"/>
        <v>2.2129123435244653E-2</v>
      </c>
    </row>
    <row r="24" spans="1:36" x14ac:dyDescent="0.4">
      <c r="A24" s="33">
        <v>34.767400000000002</v>
      </c>
      <c r="B24" s="6">
        <v>7281</v>
      </c>
      <c r="C24" s="6">
        <v>4886.1513000000004</v>
      </c>
      <c r="D24" s="7">
        <v>1</v>
      </c>
      <c r="E24" s="12">
        <f t="shared" si="0"/>
        <v>1.4901298696992864</v>
      </c>
      <c r="F24" s="34"/>
      <c r="G24" s="6">
        <v>35.072099999999999</v>
      </c>
      <c r="H24" s="6">
        <v>13104</v>
      </c>
      <c r="I24" s="6">
        <v>4056.5486000000001</v>
      </c>
      <c r="J24" s="7">
        <v>1</v>
      </c>
      <c r="K24" s="12">
        <f t="shared" si="1"/>
        <v>3.2303323076173669</v>
      </c>
      <c r="M24" s="23">
        <v>34.934600000000003</v>
      </c>
      <c r="N24" s="9">
        <v>128</v>
      </c>
      <c r="O24" s="9">
        <v>5747.9839000000002</v>
      </c>
      <c r="P24" s="10">
        <v>1</v>
      </c>
      <c r="Q24" s="13">
        <f t="shared" si="2"/>
        <v>2.2268677544486512E-2</v>
      </c>
      <c r="R24" s="24"/>
      <c r="S24" s="9">
        <v>34.338799999999999</v>
      </c>
      <c r="T24" s="9">
        <v>71</v>
      </c>
      <c r="U24" s="9">
        <v>3501.7039</v>
      </c>
      <c r="V24" s="10">
        <v>1</v>
      </c>
      <c r="W24" s="13">
        <f t="shared" si="3"/>
        <v>2.0275843425824783E-2</v>
      </c>
      <c r="Y24" s="3">
        <v>34.363599999999998</v>
      </c>
      <c r="Z24" s="3">
        <v>164</v>
      </c>
      <c r="AA24" s="3">
        <v>6982.3360000000002</v>
      </c>
      <c r="AB24" s="4">
        <v>1</v>
      </c>
      <c r="AC24" s="3">
        <v>0</v>
      </c>
      <c r="AD24" s="11">
        <f t="shared" si="4"/>
        <v>2.3487841318435548E-2</v>
      </c>
      <c r="AE24" s="17"/>
      <c r="AF24" s="3">
        <v>34.3628</v>
      </c>
      <c r="AG24" s="3">
        <v>150</v>
      </c>
      <c r="AH24" s="3">
        <v>5964.1278000000002</v>
      </c>
      <c r="AI24" s="4">
        <v>1</v>
      </c>
      <c r="AJ24" s="11">
        <f t="shared" si="5"/>
        <v>2.5150366496170654E-2</v>
      </c>
    </row>
    <row r="25" spans="1:36" x14ac:dyDescent="0.4">
      <c r="A25" s="33">
        <v>34.7684</v>
      </c>
      <c r="B25" s="6">
        <v>7536</v>
      </c>
      <c r="C25" s="6">
        <v>4886.0565999999999</v>
      </c>
      <c r="D25" s="7">
        <v>1</v>
      </c>
      <c r="E25" s="12">
        <f t="shared" si="0"/>
        <v>1.5423480767701299</v>
      </c>
      <c r="F25" s="34"/>
      <c r="G25" s="6">
        <v>35.073099999999997</v>
      </c>
      <c r="H25" s="6">
        <v>13524</v>
      </c>
      <c r="I25" s="6">
        <v>4056.8234000000002</v>
      </c>
      <c r="J25" s="7">
        <v>1</v>
      </c>
      <c r="K25" s="12">
        <f t="shared" si="1"/>
        <v>3.3336427708438081</v>
      </c>
      <c r="M25" s="23">
        <v>34.935600000000001</v>
      </c>
      <c r="N25" s="9">
        <v>156</v>
      </c>
      <c r="O25" s="9">
        <v>5743.8411999999998</v>
      </c>
      <c r="P25" s="10">
        <v>1</v>
      </c>
      <c r="Q25" s="13">
        <f t="shared" si="2"/>
        <v>2.7159525231999798E-2</v>
      </c>
      <c r="R25" s="24"/>
      <c r="S25" s="9">
        <v>34.339799999999997</v>
      </c>
      <c r="T25" s="9">
        <v>76</v>
      </c>
      <c r="U25" s="9">
        <v>3501.4843999999998</v>
      </c>
      <c r="V25" s="10">
        <v>1</v>
      </c>
      <c r="W25" s="13">
        <f t="shared" si="3"/>
        <v>2.1705080279666535E-2</v>
      </c>
      <c r="Y25" s="3">
        <v>34.364600000000003</v>
      </c>
      <c r="Z25" s="3">
        <v>153</v>
      </c>
      <c r="AA25" s="3">
        <v>6980.2143999999998</v>
      </c>
      <c r="AB25" s="4">
        <v>1</v>
      </c>
      <c r="AC25" s="3">
        <v>0</v>
      </c>
      <c r="AD25" s="11">
        <f t="shared" si="4"/>
        <v>2.1919097499354747E-2</v>
      </c>
      <c r="AE25" s="17"/>
      <c r="AF25" s="3">
        <v>34.363799999999998</v>
      </c>
      <c r="AG25" s="3">
        <v>122</v>
      </c>
      <c r="AH25" s="3">
        <v>5963.6422000000002</v>
      </c>
      <c r="AI25" s="4">
        <v>1</v>
      </c>
      <c r="AJ25" s="11">
        <f t="shared" si="5"/>
        <v>2.0457297052462336E-2</v>
      </c>
    </row>
    <row r="26" spans="1:36" x14ac:dyDescent="0.4">
      <c r="A26" s="33">
        <v>34.769399999999997</v>
      </c>
      <c r="B26" s="6">
        <v>7972</v>
      </c>
      <c r="C26" s="6">
        <v>4887.5891000000001</v>
      </c>
      <c r="D26" s="7">
        <v>1</v>
      </c>
      <c r="E26" s="12">
        <f t="shared" si="0"/>
        <v>1.6310700095472428</v>
      </c>
      <c r="F26" s="34"/>
      <c r="G26" s="6">
        <v>35.074100000000001</v>
      </c>
      <c r="H26" s="6">
        <v>14293</v>
      </c>
      <c r="I26" s="6">
        <v>4057.0183999999999</v>
      </c>
      <c r="J26" s="7">
        <v>1</v>
      </c>
      <c r="K26" s="12">
        <f t="shared" si="1"/>
        <v>3.523030607896676</v>
      </c>
      <c r="M26" s="23">
        <v>34.936599999999999</v>
      </c>
      <c r="N26" s="9">
        <v>150</v>
      </c>
      <c r="O26" s="9">
        <v>5743.7669999999998</v>
      </c>
      <c r="P26" s="10">
        <v>1</v>
      </c>
      <c r="Q26" s="13">
        <f t="shared" si="2"/>
        <v>2.6115265469508077E-2</v>
      </c>
      <c r="R26" s="24"/>
      <c r="S26" s="9">
        <v>34.340800000000002</v>
      </c>
      <c r="T26" s="9">
        <v>59</v>
      </c>
      <c r="U26" s="9">
        <v>3501.4985999999999</v>
      </c>
      <c r="V26" s="10">
        <v>1</v>
      </c>
      <c r="W26" s="13">
        <f t="shared" si="3"/>
        <v>1.684992819931443E-2</v>
      </c>
      <c r="Y26" s="3">
        <v>34.365600000000001</v>
      </c>
      <c r="Z26" s="3">
        <v>171</v>
      </c>
      <c r="AA26" s="3">
        <v>6982.5137999999997</v>
      </c>
      <c r="AB26" s="4">
        <v>1</v>
      </c>
      <c r="AC26" s="3">
        <v>0</v>
      </c>
      <c r="AD26" s="11">
        <f t="shared" si="4"/>
        <v>2.4489747517577411E-2</v>
      </c>
      <c r="AE26" s="17"/>
      <c r="AF26" s="3">
        <v>34.364800000000002</v>
      </c>
      <c r="AG26" s="3">
        <v>149</v>
      </c>
      <c r="AH26" s="3">
        <v>5964.7196000000004</v>
      </c>
      <c r="AI26" s="4">
        <v>1</v>
      </c>
      <c r="AJ26" s="11">
        <f t="shared" si="5"/>
        <v>2.4980218684546376E-2</v>
      </c>
    </row>
    <row r="27" spans="1:36" x14ac:dyDescent="0.4">
      <c r="A27" s="33">
        <v>34.770400000000002</v>
      </c>
      <c r="B27" s="6">
        <v>8195</v>
      </c>
      <c r="C27" s="6">
        <v>4890.4615999999996</v>
      </c>
      <c r="D27" s="7">
        <v>1</v>
      </c>
      <c r="E27" s="12">
        <f t="shared" si="0"/>
        <v>1.6757109390246516</v>
      </c>
      <c r="F27" s="34"/>
      <c r="G27" s="6">
        <v>35.075099999999999</v>
      </c>
      <c r="H27" s="6">
        <v>14742</v>
      </c>
      <c r="I27" s="6">
        <v>4034.8526999999999</v>
      </c>
      <c r="J27" s="7">
        <v>1</v>
      </c>
      <c r="K27" s="12">
        <f t="shared" si="1"/>
        <v>3.6536649776582921</v>
      </c>
      <c r="M27" s="23">
        <v>34.937600000000003</v>
      </c>
      <c r="N27" s="9">
        <v>151</v>
      </c>
      <c r="O27" s="9">
        <v>5742.3593000000001</v>
      </c>
      <c r="P27" s="10">
        <v>1</v>
      </c>
      <c r="Q27" s="13">
        <f t="shared" si="2"/>
        <v>2.6295811897385103E-2</v>
      </c>
      <c r="R27" s="24"/>
      <c r="S27" s="9">
        <v>34.341799999999999</v>
      </c>
      <c r="T27" s="9">
        <v>80</v>
      </c>
      <c r="U27" s="9">
        <v>3502.0740999999998</v>
      </c>
      <c r="V27" s="10">
        <v>1</v>
      </c>
      <c r="W27" s="13">
        <f t="shared" si="3"/>
        <v>2.2843605736383478E-2</v>
      </c>
      <c r="Y27" s="3">
        <v>34.366599999999998</v>
      </c>
      <c r="Z27" s="3">
        <v>152</v>
      </c>
      <c r="AA27" s="3">
        <v>6982.8644999999997</v>
      </c>
      <c r="AB27" s="4">
        <v>1</v>
      </c>
      <c r="AC27" s="3">
        <v>0</v>
      </c>
      <c r="AD27" s="11">
        <f t="shared" si="4"/>
        <v>2.17675711736924E-2</v>
      </c>
      <c r="AE27" s="17"/>
      <c r="AF27" s="3">
        <v>34.3658</v>
      </c>
      <c r="AG27" s="3">
        <v>119</v>
      </c>
      <c r="AH27" s="3">
        <v>5961.0877</v>
      </c>
      <c r="AI27" s="4">
        <v>1</v>
      </c>
      <c r="AJ27" s="11">
        <f t="shared" si="5"/>
        <v>1.9962799742067206E-2</v>
      </c>
    </row>
    <row r="28" spans="1:36" x14ac:dyDescent="0.4">
      <c r="A28" s="33">
        <v>34.7714</v>
      </c>
      <c r="B28" s="6">
        <v>8604</v>
      </c>
      <c r="C28" s="6">
        <v>4890.3117000000002</v>
      </c>
      <c r="D28" s="7">
        <v>1</v>
      </c>
      <c r="E28" s="12">
        <f t="shared" si="0"/>
        <v>1.7593970543840793</v>
      </c>
      <c r="F28" s="34"/>
      <c r="G28" s="6">
        <v>35.076099999999997</v>
      </c>
      <c r="H28" s="6">
        <v>15533</v>
      </c>
      <c r="I28" s="6">
        <v>4033.9663999999998</v>
      </c>
      <c r="J28" s="7">
        <v>1</v>
      </c>
      <c r="K28" s="12">
        <f t="shared" si="1"/>
        <v>3.8505526471415332</v>
      </c>
      <c r="M28" s="23">
        <v>34.938600000000001</v>
      </c>
      <c r="N28" s="9">
        <v>135</v>
      </c>
      <c r="O28" s="9">
        <v>5740.6716999999999</v>
      </c>
      <c r="P28" s="10">
        <v>1</v>
      </c>
      <c r="Q28" s="13">
        <f t="shared" si="2"/>
        <v>2.3516411851247303E-2</v>
      </c>
      <c r="R28" s="24"/>
      <c r="S28" s="9">
        <v>34.342799999999997</v>
      </c>
      <c r="T28" s="9">
        <v>71</v>
      </c>
      <c r="U28" s="9">
        <v>3502.6305000000002</v>
      </c>
      <c r="V28" s="10">
        <v>1</v>
      </c>
      <c r="W28" s="13">
        <f t="shared" si="3"/>
        <v>2.027047957242421E-2</v>
      </c>
      <c r="Y28" s="3">
        <v>34.367600000000003</v>
      </c>
      <c r="Z28" s="3">
        <v>184</v>
      </c>
      <c r="AA28" s="3">
        <v>6985.7566999999999</v>
      </c>
      <c r="AB28" s="4">
        <v>1</v>
      </c>
      <c r="AC28" s="3">
        <v>0</v>
      </c>
      <c r="AD28" s="11">
        <f t="shared" si="4"/>
        <v>2.6339308381581626E-2</v>
      </c>
      <c r="AE28" s="17"/>
      <c r="AF28" s="3">
        <v>34.366799999999998</v>
      </c>
      <c r="AG28" s="3">
        <v>151</v>
      </c>
      <c r="AH28" s="3">
        <v>5961.4187000000002</v>
      </c>
      <c r="AI28" s="4">
        <v>1</v>
      </c>
      <c r="AJ28" s="11">
        <f t="shared" si="5"/>
        <v>2.5329541104032835E-2</v>
      </c>
    </row>
    <row r="29" spans="1:36" x14ac:dyDescent="0.4">
      <c r="A29" s="33">
        <v>34.772399999999998</v>
      </c>
      <c r="B29" s="6">
        <v>8963</v>
      </c>
      <c r="C29" s="6">
        <v>4894.3954999999996</v>
      </c>
      <c r="D29" s="7">
        <v>1</v>
      </c>
      <c r="E29" s="12">
        <f t="shared" si="0"/>
        <v>1.83127824467802</v>
      </c>
      <c r="F29" s="34"/>
      <c r="G29" s="6">
        <v>35.077100000000002</v>
      </c>
      <c r="H29" s="6">
        <v>15990</v>
      </c>
      <c r="I29" s="6">
        <v>4054.4573999999998</v>
      </c>
      <c r="J29" s="7">
        <v>1</v>
      </c>
      <c r="K29" s="12">
        <f t="shared" si="1"/>
        <v>3.9438076226920034</v>
      </c>
      <c r="M29" s="23">
        <v>34.939599999999999</v>
      </c>
      <c r="N29" s="9">
        <v>152</v>
      </c>
      <c r="O29" s="9">
        <v>5740.0514999999996</v>
      </c>
      <c r="P29" s="10">
        <v>1</v>
      </c>
      <c r="Q29" s="13">
        <f t="shared" si="2"/>
        <v>2.6480598649681105E-2</v>
      </c>
      <c r="R29" s="24"/>
      <c r="S29" s="9">
        <v>34.343800000000002</v>
      </c>
      <c r="T29" s="9">
        <v>81</v>
      </c>
      <c r="U29" s="9">
        <v>3502.1713</v>
      </c>
      <c r="V29" s="10">
        <v>1</v>
      </c>
      <c r="W29" s="13">
        <f t="shared" si="3"/>
        <v>2.3128508876764538E-2</v>
      </c>
      <c r="Y29" s="3">
        <v>34.368600000000001</v>
      </c>
      <c r="Z29" s="3">
        <v>173</v>
      </c>
      <c r="AA29" s="3">
        <v>6981.1058999999996</v>
      </c>
      <c r="AB29" s="4">
        <v>1</v>
      </c>
      <c r="AC29" s="3">
        <v>0</v>
      </c>
      <c r="AD29" s="11">
        <f t="shared" si="4"/>
        <v>2.4781173997088343E-2</v>
      </c>
      <c r="AE29" s="17"/>
      <c r="AF29" s="3">
        <v>34.367800000000003</v>
      </c>
      <c r="AG29" s="3">
        <v>151</v>
      </c>
      <c r="AH29" s="3">
        <v>5960.9727999999996</v>
      </c>
      <c r="AI29" s="4">
        <v>1</v>
      </c>
      <c r="AJ29" s="11">
        <f t="shared" si="5"/>
        <v>2.5331435835439481E-2</v>
      </c>
    </row>
    <row r="30" spans="1:36" x14ac:dyDescent="0.4">
      <c r="A30" s="33">
        <v>34.773400000000002</v>
      </c>
      <c r="B30" s="6">
        <v>9161</v>
      </c>
      <c r="C30" s="6">
        <v>4897.2560000000003</v>
      </c>
      <c r="D30" s="7">
        <v>1</v>
      </c>
      <c r="E30" s="12">
        <f t="shared" si="0"/>
        <v>1.8706393947957793</v>
      </c>
      <c r="F30" s="34"/>
      <c r="G30" s="6">
        <v>35.078099999999999</v>
      </c>
      <c r="H30" s="6">
        <v>17039</v>
      </c>
      <c r="I30" s="6">
        <v>4053.9218999999998</v>
      </c>
      <c r="J30" s="7">
        <v>1</v>
      </c>
      <c r="K30" s="12">
        <f t="shared" si="1"/>
        <v>4.2030903456724218</v>
      </c>
      <c r="M30" s="23">
        <v>34.940600000000003</v>
      </c>
      <c r="N30" s="9">
        <v>148</v>
      </c>
      <c r="O30" s="9">
        <v>5740.8096999999998</v>
      </c>
      <c r="P30" s="10">
        <v>1</v>
      </c>
      <c r="Q30" s="13">
        <f t="shared" si="2"/>
        <v>2.5780335481247533E-2</v>
      </c>
      <c r="R30" s="24"/>
      <c r="S30" s="9">
        <v>34.344799999999999</v>
      </c>
      <c r="T30" s="9">
        <v>98</v>
      </c>
      <c r="U30" s="9">
        <v>3503.0702000000001</v>
      </c>
      <c r="V30" s="10">
        <v>1</v>
      </c>
      <c r="W30" s="13">
        <f t="shared" si="3"/>
        <v>2.7975459926552426E-2</v>
      </c>
      <c r="Y30" s="3">
        <v>34.369599999999998</v>
      </c>
      <c r="Z30" s="3">
        <v>202</v>
      </c>
      <c r="AA30" s="3">
        <v>6978.6666999999998</v>
      </c>
      <c r="AB30" s="4">
        <v>1</v>
      </c>
      <c r="AC30" s="3">
        <v>0</v>
      </c>
      <c r="AD30" s="11">
        <f t="shared" si="4"/>
        <v>2.8945357141071087E-2</v>
      </c>
      <c r="AE30" s="17"/>
      <c r="AF30" s="3">
        <v>34.3688</v>
      </c>
      <c r="AG30" s="3">
        <v>139</v>
      </c>
      <c r="AH30" s="3">
        <v>5959.6328999999996</v>
      </c>
      <c r="AI30" s="4">
        <v>1</v>
      </c>
      <c r="AJ30" s="11">
        <f t="shared" si="5"/>
        <v>2.3323584242915366E-2</v>
      </c>
    </row>
    <row r="31" spans="1:36" x14ac:dyDescent="0.4">
      <c r="A31" s="33">
        <v>34.7744</v>
      </c>
      <c r="B31" s="6">
        <v>9685</v>
      </c>
      <c r="C31" s="6">
        <v>4898.0508</v>
      </c>
      <c r="D31" s="7">
        <v>1</v>
      </c>
      <c r="E31" s="12">
        <f t="shared" si="0"/>
        <v>1.977317180948797</v>
      </c>
      <c r="F31" s="34"/>
      <c r="G31" s="6">
        <v>35.079099999999997</v>
      </c>
      <c r="H31" s="6">
        <v>17555</v>
      </c>
      <c r="I31" s="6">
        <v>4052.5436</v>
      </c>
      <c r="J31" s="7">
        <v>1</v>
      </c>
      <c r="K31" s="12">
        <f t="shared" si="1"/>
        <v>4.3318472872198095</v>
      </c>
      <c r="M31" s="23">
        <v>34.941600000000001</v>
      </c>
      <c r="N31" s="9">
        <v>184</v>
      </c>
      <c r="O31" s="9">
        <v>5741.6081999999997</v>
      </c>
      <c r="P31" s="10">
        <v>1</v>
      </c>
      <c r="Q31" s="13">
        <f t="shared" si="2"/>
        <v>3.2046770450132774E-2</v>
      </c>
      <c r="R31" s="24"/>
      <c r="S31" s="9">
        <v>34.345799999999997</v>
      </c>
      <c r="T31" s="9">
        <v>90</v>
      </c>
      <c r="U31" s="9">
        <v>3502.5198</v>
      </c>
      <c r="V31" s="10">
        <v>1</v>
      </c>
      <c r="W31" s="13">
        <f t="shared" si="3"/>
        <v>2.5695786216540447E-2</v>
      </c>
      <c r="Y31" s="3">
        <v>34.370600000000003</v>
      </c>
      <c r="Z31" s="3">
        <v>193</v>
      </c>
      <c r="AA31" s="3">
        <v>6978.3063000000002</v>
      </c>
      <c r="AB31" s="4">
        <v>1</v>
      </c>
      <c r="AC31" s="3">
        <v>0</v>
      </c>
      <c r="AD31" s="11">
        <f t="shared" si="4"/>
        <v>2.7657140816533088E-2</v>
      </c>
      <c r="AE31" s="17"/>
      <c r="AF31" s="3">
        <v>34.369799999999998</v>
      </c>
      <c r="AG31" s="3">
        <v>164</v>
      </c>
      <c r="AH31" s="3">
        <v>5960.0492999999997</v>
      </c>
      <c r="AI31" s="4">
        <v>1</v>
      </c>
      <c r="AJ31" s="11">
        <f t="shared" si="5"/>
        <v>2.7516550911751689E-2</v>
      </c>
    </row>
    <row r="32" spans="1:36" x14ac:dyDescent="0.4">
      <c r="A32" s="33">
        <v>34.775399999999998</v>
      </c>
      <c r="B32" s="6">
        <v>10175</v>
      </c>
      <c r="C32" s="6">
        <v>4899.6652999999997</v>
      </c>
      <c r="D32" s="7">
        <v>1</v>
      </c>
      <c r="E32" s="12">
        <f t="shared" si="0"/>
        <v>2.0766724616883527</v>
      </c>
      <c r="F32" s="34"/>
      <c r="G32" s="6">
        <v>35.080100000000002</v>
      </c>
      <c r="H32" s="6">
        <v>18632</v>
      </c>
      <c r="I32" s="6">
        <v>4052.9780000000001</v>
      </c>
      <c r="J32" s="7">
        <v>1</v>
      </c>
      <c r="K32" s="12">
        <f t="shared" si="1"/>
        <v>4.5971135298538508</v>
      </c>
      <c r="M32" s="23">
        <v>34.942599999999999</v>
      </c>
      <c r="N32" s="9">
        <v>154</v>
      </c>
      <c r="O32" s="9">
        <v>5737.8490000000002</v>
      </c>
      <c r="P32" s="10">
        <v>1</v>
      </c>
      <c r="Q32" s="13">
        <f t="shared" si="2"/>
        <v>2.6839326026181588E-2</v>
      </c>
      <c r="R32" s="24"/>
      <c r="S32" s="9">
        <v>34.346800000000002</v>
      </c>
      <c r="T32" s="9">
        <v>91</v>
      </c>
      <c r="U32" s="9">
        <v>3502.4344999999998</v>
      </c>
      <c r="V32" s="10">
        <v>1</v>
      </c>
      <c r="W32" s="13">
        <f t="shared" si="3"/>
        <v>2.5981927713423336E-2</v>
      </c>
      <c r="Y32" s="3">
        <v>34.371600000000001</v>
      </c>
      <c r="Z32" s="3">
        <v>199</v>
      </c>
      <c r="AA32" s="3">
        <v>6979.6162000000004</v>
      </c>
      <c r="AB32" s="4">
        <v>1</v>
      </c>
      <c r="AC32" s="3">
        <v>0</v>
      </c>
      <c r="AD32" s="11">
        <f t="shared" si="4"/>
        <v>2.8511596382620578E-2</v>
      </c>
      <c r="AE32" s="17"/>
      <c r="AF32" s="3">
        <v>34.370800000000003</v>
      </c>
      <c r="AG32" s="3">
        <v>146</v>
      </c>
      <c r="AH32" s="3">
        <v>5959.9009999999998</v>
      </c>
      <c r="AI32" s="4">
        <v>1</v>
      </c>
      <c r="AJ32" s="11">
        <f t="shared" si="5"/>
        <v>2.4497051209407674E-2</v>
      </c>
    </row>
    <row r="33" spans="1:36" x14ac:dyDescent="0.4">
      <c r="A33" s="33">
        <v>34.776400000000002</v>
      </c>
      <c r="B33" s="6">
        <v>10351</v>
      </c>
      <c r="C33" s="6">
        <v>4900.7488999999996</v>
      </c>
      <c r="D33" s="7">
        <v>1</v>
      </c>
      <c r="E33" s="12">
        <f t="shared" si="0"/>
        <v>2.1121261691248865</v>
      </c>
      <c r="F33" s="34"/>
      <c r="G33" s="6">
        <v>35.081099999999999</v>
      </c>
      <c r="H33" s="6">
        <v>19569</v>
      </c>
      <c r="I33" s="6">
        <v>4051.2782999999999</v>
      </c>
      <c r="J33" s="7">
        <v>1</v>
      </c>
      <c r="K33" s="12">
        <f t="shared" si="1"/>
        <v>4.8303272574485936</v>
      </c>
      <c r="M33" s="23">
        <v>34.943600000000004</v>
      </c>
      <c r="N33" s="9">
        <v>151</v>
      </c>
      <c r="O33" s="9">
        <v>5736.5221000000001</v>
      </c>
      <c r="P33" s="10">
        <v>1</v>
      </c>
      <c r="Q33" s="13">
        <f t="shared" si="2"/>
        <v>2.6322569209661025E-2</v>
      </c>
      <c r="R33" s="24"/>
      <c r="S33" s="9">
        <v>34.347799999999999</v>
      </c>
      <c r="T33" s="9">
        <v>87</v>
      </c>
      <c r="U33" s="9">
        <v>3500.7291</v>
      </c>
      <c r="V33" s="10">
        <v>1</v>
      </c>
      <c r="W33" s="13">
        <f t="shared" si="3"/>
        <v>2.4851965837630795E-2</v>
      </c>
      <c r="Y33" s="3">
        <v>34.372599999999998</v>
      </c>
      <c r="Z33" s="3">
        <v>195</v>
      </c>
      <c r="AA33" s="3">
        <v>6981.9465</v>
      </c>
      <c r="AB33" s="4">
        <v>1</v>
      </c>
      <c r="AC33" s="3">
        <v>0</v>
      </c>
      <c r="AD33" s="11">
        <f t="shared" si="4"/>
        <v>2.7929174192325879E-2</v>
      </c>
      <c r="AE33" s="17"/>
      <c r="AF33" s="3">
        <v>34.3718</v>
      </c>
      <c r="AG33" s="3">
        <v>173</v>
      </c>
      <c r="AH33" s="3">
        <v>5959.7975999999999</v>
      </c>
      <c r="AI33" s="4">
        <v>1</v>
      </c>
      <c r="AJ33" s="11">
        <f t="shared" si="5"/>
        <v>2.902783141494604E-2</v>
      </c>
    </row>
    <row r="34" spans="1:36" x14ac:dyDescent="0.4">
      <c r="A34" s="33">
        <v>34.7774</v>
      </c>
      <c r="B34" s="6">
        <v>10916</v>
      </c>
      <c r="C34" s="6">
        <v>4900.6782999999996</v>
      </c>
      <c r="D34" s="7">
        <v>1</v>
      </c>
      <c r="E34" s="12">
        <f t="shared" si="0"/>
        <v>2.2274467597679286</v>
      </c>
      <c r="F34" s="34"/>
      <c r="G34" s="6">
        <v>35.082099999999997</v>
      </c>
      <c r="H34" s="6">
        <v>20259</v>
      </c>
      <c r="I34" s="6">
        <v>4049.4160000000002</v>
      </c>
      <c r="J34" s="7">
        <v>1</v>
      </c>
      <c r="K34" s="12">
        <f t="shared" si="1"/>
        <v>5.0029436343413467</v>
      </c>
      <c r="M34" s="23">
        <v>34.944600000000001</v>
      </c>
      <c r="N34" s="9">
        <v>176</v>
      </c>
      <c r="O34" s="9">
        <v>5733.6860999999999</v>
      </c>
      <c r="P34" s="10">
        <v>1</v>
      </c>
      <c r="Q34" s="13">
        <f t="shared" si="2"/>
        <v>3.0695785735462569E-2</v>
      </c>
      <c r="R34" s="24"/>
      <c r="S34" s="9">
        <v>34.348799999999997</v>
      </c>
      <c r="T34" s="9">
        <v>89</v>
      </c>
      <c r="U34" s="9">
        <v>3499.9492</v>
      </c>
      <c r="V34" s="10">
        <v>1</v>
      </c>
      <c r="W34" s="13">
        <f t="shared" si="3"/>
        <v>2.5428940511479422E-2</v>
      </c>
      <c r="Y34" s="3">
        <v>34.373600000000003</v>
      </c>
      <c r="Z34" s="3">
        <v>206</v>
      </c>
      <c r="AA34" s="3">
        <v>6979.0438999999997</v>
      </c>
      <c r="AB34" s="4">
        <v>1</v>
      </c>
      <c r="AC34" s="3">
        <v>0</v>
      </c>
      <c r="AD34" s="11">
        <f t="shared" si="4"/>
        <v>2.9516937126588358E-2</v>
      </c>
      <c r="AE34" s="17"/>
      <c r="AF34" s="3">
        <v>34.372799999999998</v>
      </c>
      <c r="AG34" s="3">
        <v>163</v>
      </c>
      <c r="AH34" s="3">
        <v>5960.8846999999996</v>
      </c>
      <c r="AI34" s="4">
        <v>1</v>
      </c>
      <c r="AJ34" s="11">
        <f t="shared" si="5"/>
        <v>2.7344934217566733E-2</v>
      </c>
    </row>
    <row r="35" spans="1:36" x14ac:dyDescent="0.4">
      <c r="A35" s="33">
        <v>34.778399999999998</v>
      </c>
      <c r="B35" s="6">
        <v>11306</v>
      </c>
      <c r="C35" s="6">
        <v>4899.8199000000004</v>
      </c>
      <c r="D35" s="7">
        <v>1</v>
      </c>
      <c r="E35" s="12">
        <f t="shared" si="0"/>
        <v>2.3074317486648845</v>
      </c>
      <c r="F35" s="34"/>
      <c r="G35" s="6">
        <v>35.083100000000002</v>
      </c>
      <c r="H35" s="6">
        <v>21472</v>
      </c>
      <c r="I35" s="6">
        <v>4052.886</v>
      </c>
      <c r="J35" s="7">
        <v>1</v>
      </c>
      <c r="K35" s="12">
        <f t="shared" si="1"/>
        <v>5.2979531129175603</v>
      </c>
      <c r="M35" s="23">
        <v>34.945599999999999</v>
      </c>
      <c r="N35" s="9">
        <v>204</v>
      </c>
      <c r="O35" s="9">
        <v>5732.4634999999998</v>
      </c>
      <c r="P35" s="10">
        <v>1</v>
      </c>
      <c r="Q35" s="13">
        <f t="shared" si="2"/>
        <v>3.5586794403488137E-2</v>
      </c>
      <c r="R35" s="24"/>
      <c r="S35" s="9">
        <v>34.349800000000002</v>
      </c>
      <c r="T35" s="9">
        <v>92</v>
      </c>
      <c r="U35" s="9">
        <v>3499.8040000000001</v>
      </c>
      <c r="V35" s="10">
        <v>1</v>
      </c>
      <c r="W35" s="13">
        <f t="shared" si="3"/>
        <v>2.6287186368150903E-2</v>
      </c>
      <c r="Y35" s="3">
        <v>34.374600000000001</v>
      </c>
      <c r="Z35" s="3">
        <v>195</v>
      </c>
      <c r="AA35" s="3">
        <v>6977.7480999999998</v>
      </c>
      <c r="AB35" s="4">
        <v>1</v>
      </c>
      <c r="AC35" s="3">
        <v>0</v>
      </c>
      <c r="AD35" s="11">
        <f t="shared" si="4"/>
        <v>2.794597873202101E-2</v>
      </c>
      <c r="AE35" s="17"/>
      <c r="AF35" s="3">
        <v>34.373800000000003</v>
      </c>
      <c r="AG35" s="3">
        <v>148</v>
      </c>
      <c r="AH35" s="3">
        <v>5962.3427000000001</v>
      </c>
      <c r="AI35" s="4">
        <v>1</v>
      </c>
      <c r="AJ35" s="11">
        <f t="shared" si="5"/>
        <v>2.4822457789955614E-2</v>
      </c>
    </row>
    <row r="36" spans="1:36" x14ac:dyDescent="0.4">
      <c r="A36" s="33">
        <v>34.779400000000003</v>
      </c>
      <c r="B36" s="6">
        <v>11878</v>
      </c>
      <c r="C36" s="6">
        <v>4898.5834000000004</v>
      </c>
      <c r="D36" s="7">
        <v>1</v>
      </c>
      <c r="E36" s="12">
        <f t="shared" si="0"/>
        <v>2.4247826422634753</v>
      </c>
      <c r="F36" s="34"/>
      <c r="G36" s="6">
        <v>35.084099999999999</v>
      </c>
      <c r="H36" s="6">
        <v>22230</v>
      </c>
      <c r="I36" s="6">
        <v>4051.3083000000001</v>
      </c>
      <c r="J36" s="7">
        <v>1</v>
      </c>
      <c r="K36" s="12">
        <f t="shared" si="1"/>
        <v>5.4871163470822495</v>
      </c>
      <c r="M36" s="23">
        <v>34.946599999999997</v>
      </c>
      <c r="N36" s="9">
        <v>178</v>
      </c>
      <c r="O36" s="9">
        <v>5728.5910999999996</v>
      </c>
      <c r="P36" s="10">
        <v>1</v>
      </c>
      <c r="Q36" s="13">
        <f t="shared" si="2"/>
        <v>3.1072212502651832E-2</v>
      </c>
      <c r="R36" s="24"/>
      <c r="S36" s="9">
        <v>34.3508</v>
      </c>
      <c r="T36" s="9">
        <v>88</v>
      </c>
      <c r="U36" s="9">
        <v>3500.1152000000002</v>
      </c>
      <c r="V36" s="10">
        <v>1</v>
      </c>
      <c r="W36" s="13">
        <f t="shared" si="3"/>
        <v>2.5142029610911092E-2</v>
      </c>
      <c r="Y36" s="3">
        <v>34.375599999999999</v>
      </c>
      <c r="Z36" s="3">
        <v>208</v>
      </c>
      <c r="AA36" s="3">
        <v>6976.2066999999997</v>
      </c>
      <c r="AB36" s="4">
        <v>1</v>
      </c>
      <c r="AC36" s="3">
        <v>0</v>
      </c>
      <c r="AD36" s="11">
        <f t="shared" si="4"/>
        <v>2.9815630319554611E-2</v>
      </c>
      <c r="AE36" s="17"/>
      <c r="AF36" s="3">
        <v>34.3748</v>
      </c>
      <c r="AG36" s="3">
        <v>161</v>
      </c>
      <c r="AH36" s="3">
        <v>5961.4044000000004</v>
      </c>
      <c r="AI36" s="4">
        <v>1</v>
      </c>
      <c r="AJ36" s="11">
        <f t="shared" si="5"/>
        <v>2.7007058940675118E-2</v>
      </c>
    </row>
    <row r="37" spans="1:36" x14ac:dyDescent="0.4">
      <c r="A37" s="33">
        <v>34.7804</v>
      </c>
      <c r="B37" s="6">
        <v>12458</v>
      </c>
      <c r="C37" s="6">
        <v>4894.5600999999997</v>
      </c>
      <c r="D37" s="7">
        <v>1</v>
      </c>
      <c r="E37" s="12">
        <f t="shared" si="0"/>
        <v>2.5452747020105035</v>
      </c>
      <c r="F37" s="34"/>
      <c r="G37" s="6">
        <v>35.085099999999997</v>
      </c>
      <c r="H37" s="6">
        <v>23437</v>
      </c>
      <c r="I37" s="6">
        <v>4050.0689000000002</v>
      </c>
      <c r="J37" s="7">
        <v>1</v>
      </c>
      <c r="K37" s="12">
        <f t="shared" si="1"/>
        <v>5.7868151329474911</v>
      </c>
      <c r="M37" s="23">
        <v>34.947600000000001</v>
      </c>
      <c r="N37" s="9">
        <v>186</v>
      </c>
      <c r="O37" s="9">
        <v>5724.6005999999998</v>
      </c>
      <c r="P37" s="10">
        <v>1</v>
      </c>
      <c r="Q37" s="13">
        <f t="shared" si="2"/>
        <v>3.2491349702195818E-2</v>
      </c>
      <c r="R37" s="24"/>
      <c r="S37" s="9">
        <v>34.351799999999997</v>
      </c>
      <c r="T37" s="9">
        <v>89</v>
      </c>
      <c r="U37" s="9">
        <v>3498.7303000000002</v>
      </c>
      <c r="V37" s="10">
        <v>1</v>
      </c>
      <c r="W37" s="13">
        <f t="shared" si="3"/>
        <v>2.5437799535448617E-2</v>
      </c>
      <c r="Y37" s="3">
        <v>34.376600000000003</v>
      </c>
      <c r="Z37" s="3">
        <v>188</v>
      </c>
      <c r="AA37" s="3">
        <v>6973.6458000000002</v>
      </c>
      <c r="AB37" s="4">
        <v>1</v>
      </c>
      <c r="AC37" s="3">
        <v>0</v>
      </c>
      <c r="AD37" s="11">
        <f t="shared" si="4"/>
        <v>2.6958639052187022E-2</v>
      </c>
      <c r="AE37" s="17"/>
      <c r="AF37" s="3">
        <v>34.375799999999998</v>
      </c>
      <c r="AG37" s="3">
        <v>177</v>
      </c>
      <c r="AH37" s="3">
        <v>5961.9377000000004</v>
      </c>
      <c r="AI37" s="4">
        <v>1</v>
      </c>
      <c r="AJ37" s="11">
        <f t="shared" si="5"/>
        <v>2.9688334381622269E-2</v>
      </c>
    </row>
    <row r="38" spans="1:36" x14ac:dyDescent="0.4">
      <c r="A38" s="33">
        <v>34.781399999999998</v>
      </c>
      <c r="B38" s="6">
        <v>13069</v>
      </c>
      <c r="C38" s="6">
        <v>4894.9966999999997</v>
      </c>
      <c r="D38" s="7">
        <v>1</v>
      </c>
      <c r="E38" s="12">
        <f t="shared" si="0"/>
        <v>2.6698690113519383</v>
      </c>
      <c r="F38" s="34"/>
      <c r="G38" s="6">
        <v>35.086100000000002</v>
      </c>
      <c r="H38" s="6">
        <v>24690</v>
      </c>
      <c r="I38" s="6">
        <v>4048.8409999999999</v>
      </c>
      <c r="J38" s="7">
        <v>1</v>
      </c>
      <c r="K38" s="12">
        <f t="shared" si="1"/>
        <v>6.0980413901163324</v>
      </c>
      <c r="M38" s="23">
        <v>34.948599999999999</v>
      </c>
      <c r="N38" s="9">
        <v>193</v>
      </c>
      <c r="O38" s="9">
        <v>5726.0937999999996</v>
      </c>
      <c r="P38" s="10">
        <v>1</v>
      </c>
      <c r="Q38" s="13">
        <f t="shared" si="2"/>
        <v>3.3705350757614209E-2</v>
      </c>
      <c r="R38" s="24"/>
      <c r="S38" s="9">
        <v>34.352800000000002</v>
      </c>
      <c r="T38" s="9">
        <v>98</v>
      </c>
      <c r="U38" s="9">
        <v>3497.8472999999999</v>
      </c>
      <c r="V38" s="10">
        <v>1</v>
      </c>
      <c r="W38" s="13">
        <f t="shared" si="3"/>
        <v>2.8017232198786952E-2</v>
      </c>
      <c r="Y38" s="3">
        <v>34.377600000000001</v>
      </c>
      <c r="Z38" s="3">
        <v>209</v>
      </c>
      <c r="AA38" s="3">
        <v>6975.2118</v>
      </c>
      <c r="AB38" s="4">
        <v>1</v>
      </c>
      <c r="AC38" s="3">
        <v>0</v>
      </c>
      <c r="AD38" s="11">
        <f t="shared" si="4"/>
        <v>2.9963247854351893E-2</v>
      </c>
      <c r="AE38" s="17"/>
      <c r="AF38" s="3">
        <v>34.376800000000003</v>
      </c>
      <c r="AG38" s="3">
        <v>164</v>
      </c>
      <c r="AH38" s="3">
        <v>5963.0002000000004</v>
      </c>
      <c r="AI38" s="4">
        <v>1</v>
      </c>
      <c r="AJ38" s="11">
        <f t="shared" si="5"/>
        <v>2.7502933841927424E-2</v>
      </c>
    </row>
    <row r="39" spans="1:36" x14ac:dyDescent="0.4">
      <c r="A39" s="33">
        <v>34.782400000000003</v>
      </c>
      <c r="B39" s="6">
        <v>13617</v>
      </c>
      <c r="C39" s="6">
        <v>4890.9350000000004</v>
      </c>
      <c r="D39" s="7">
        <v>1</v>
      </c>
      <c r="E39" s="12">
        <f t="shared" si="0"/>
        <v>2.7841302327673541</v>
      </c>
      <c r="F39" s="34"/>
      <c r="G39" s="6">
        <v>35.0871</v>
      </c>
      <c r="H39" s="6">
        <v>25928</v>
      </c>
      <c r="I39" s="6">
        <v>4048.4884000000002</v>
      </c>
      <c r="J39" s="7">
        <v>1</v>
      </c>
      <c r="K39" s="12">
        <f t="shared" si="1"/>
        <v>6.4043656392840349</v>
      </c>
      <c r="M39" s="23">
        <v>34.949599999999997</v>
      </c>
      <c r="N39" s="9">
        <v>181</v>
      </c>
      <c r="O39" s="9">
        <v>5725.9429</v>
      </c>
      <c r="P39" s="10">
        <v>1</v>
      </c>
      <c r="Q39" s="13">
        <f t="shared" si="2"/>
        <v>3.1610514313721153E-2</v>
      </c>
      <c r="R39" s="24"/>
      <c r="S39" s="9">
        <v>34.3538</v>
      </c>
      <c r="T39" s="9">
        <v>102</v>
      </c>
      <c r="U39" s="9">
        <v>3497.6950999999999</v>
      </c>
      <c r="V39" s="10">
        <v>1</v>
      </c>
      <c r="W39" s="13">
        <f t="shared" si="3"/>
        <v>2.9162061610230119E-2</v>
      </c>
      <c r="Y39" s="3">
        <v>34.378599999999999</v>
      </c>
      <c r="Z39" s="3">
        <v>231</v>
      </c>
      <c r="AA39" s="3">
        <v>6971.8549000000003</v>
      </c>
      <c r="AB39" s="4">
        <v>1</v>
      </c>
      <c r="AC39" s="3">
        <v>0</v>
      </c>
      <c r="AD39" s="11">
        <f t="shared" si="4"/>
        <v>3.313321968304303E-2</v>
      </c>
      <c r="AE39" s="17"/>
      <c r="AF39" s="3">
        <v>34.377800000000001</v>
      </c>
      <c r="AG39" s="3">
        <v>178</v>
      </c>
      <c r="AH39" s="3">
        <v>5963.0108</v>
      </c>
      <c r="AI39" s="4">
        <v>1</v>
      </c>
      <c r="AJ39" s="11">
        <f t="shared" si="5"/>
        <v>2.9850692204012107E-2</v>
      </c>
    </row>
    <row r="40" spans="1:36" x14ac:dyDescent="0.4">
      <c r="A40" s="33">
        <v>34.7834</v>
      </c>
      <c r="B40" s="6">
        <v>14310</v>
      </c>
      <c r="C40" s="6">
        <v>4890.2175999999999</v>
      </c>
      <c r="D40" s="7">
        <v>1</v>
      </c>
      <c r="E40" s="12">
        <f t="shared" si="0"/>
        <v>2.9262501529584286</v>
      </c>
      <c r="F40" s="34"/>
      <c r="G40" s="6">
        <v>35.088099999999997</v>
      </c>
      <c r="H40" s="6">
        <v>27241</v>
      </c>
      <c r="I40" s="6">
        <v>4047.4310999999998</v>
      </c>
      <c r="J40" s="7">
        <v>1</v>
      </c>
      <c r="K40" s="12">
        <f t="shared" si="1"/>
        <v>6.7304419338972812</v>
      </c>
      <c r="M40" s="23">
        <v>34.950600000000001</v>
      </c>
      <c r="N40" s="9">
        <v>186</v>
      </c>
      <c r="O40" s="9">
        <v>5723.9922999999999</v>
      </c>
      <c r="P40" s="10">
        <v>1</v>
      </c>
      <c r="Q40" s="13">
        <f t="shared" si="2"/>
        <v>3.249480262228864E-2</v>
      </c>
      <c r="R40" s="24"/>
      <c r="S40" s="9">
        <v>34.354799999999997</v>
      </c>
      <c r="T40" s="9">
        <v>115</v>
      </c>
      <c r="U40" s="9">
        <v>3497.3557999999998</v>
      </c>
      <c r="V40" s="10">
        <v>1</v>
      </c>
      <c r="W40" s="13">
        <f t="shared" si="3"/>
        <v>3.2881984726861366E-2</v>
      </c>
      <c r="Y40" s="3">
        <v>34.379600000000003</v>
      </c>
      <c r="Z40" s="3">
        <v>196</v>
      </c>
      <c r="AA40" s="3">
        <v>6971.8624</v>
      </c>
      <c r="AB40" s="4">
        <v>1</v>
      </c>
      <c r="AC40" s="3">
        <v>0</v>
      </c>
      <c r="AD40" s="11">
        <f t="shared" si="4"/>
        <v>2.8113004639907981E-2</v>
      </c>
      <c r="AE40" s="17"/>
      <c r="AF40" s="3">
        <v>34.378799999999998</v>
      </c>
      <c r="AG40" s="3">
        <v>171</v>
      </c>
      <c r="AH40" s="3">
        <v>5963.4978000000001</v>
      </c>
      <c r="AI40" s="4">
        <v>1</v>
      </c>
      <c r="AJ40" s="11">
        <f t="shared" si="5"/>
        <v>2.8674446731580917E-2</v>
      </c>
    </row>
    <row r="41" spans="1:36" x14ac:dyDescent="0.4">
      <c r="A41" s="33">
        <v>34.784399999999998</v>
      </c>
      <c r="B41" s="6">
        <v>14984</v>
      </c>
      <c r="C41" s="6">
        <v>4886.2334000000001</v>
      </c>
      <c r="D41" s="7">
        <v>1</v>
      </c>
      <c r="E41" s="12">
        <f t="shared" si="0"/>
        <v>3.0665747567441213</v>
      </c>
      <c r="F41" s="34"/>
      <c r="G41" s="6">
        <v>35.089100000000002</v>
      </c>
      <c r="H41" s="6">
        <v>28581</v>
      </c>
      <c r="I41" s="6">
        <v>4046.8892000000001</v>
      </c>
      <c r="J41" s="7">
        <v>1</v>
      </c>
      <c r="K41" s="12">
        <f t="shared" si="1"/>
        <v>7.0624617051536767</v>
      </c>
      <c r="M41" s="23">
        <v>34.951599999999999</v>
      </c>
      <c r="N41" s="9">
        <v>222</v>
      </c>
      <c r="O41" s="9">
        <v>5729.1850999999997</v>
      </c>
      <c r="P41" s="10">
        <v>1</v>
      </c>
      <c r="Q41" s="13">
        <f t="shared" si="2"/>
        <v>3.874896623605336E-2</v>
      </c>
      <c r="R41" s="24"/>
      <c r="S41" s="9">
        <v>34.355800000000002</v>
      </c>
      <c r="T41" s="9">
        <v>121</v>
      </c>
      <c r="U41" s="9">
        <v>3497.3769000000002</v>
      </c>
      <c r="V41" s="10">
        <v>1</v>
      </c>
      <c r="W41" s="13">
        <f t="shared" si="3"/>
        <v>3.4597357808362032E-2</v>
      </c>
      <c r="Y41" s="3">
        <v>34.380600000000001</v>
      </c>
      <c r="Z41" s="3">
        <v>232</v>
      </c>
      <c r="AA41" s="3">
        <v>6969.9705000000004</v>
      </c>
      <c r="AB41" s="4">
        <v>1</v>
      </c>
      <c r="AC41" s="3">
        <v>0</v>
      </c>
      <c r="AD41" s="11">
        <f t="shared" si="4"/>
        <v>3.3285650204688814E-2</v>
      </c>
      <c r="AE41" s="17"/>
      <c r="AF41" s="3">
        <v>34.379800000000003</v>
      </c>
      <c r="AG41" s="3">
        <v>168</v>
      </c>
      <c r="AH41" s="3">
        <v>5961.7857000000004</v>
      </c>
      <c r="AI41" s="4">
        <v>1</v>
      </c>
      <c r="AJ41" s="11">
        <f t="shared" si="5"/>
        <v>2.8179476494769005E-2</v>
      </c>
    </row>
    <row r="42" spans="1:36" x14ac:dyDescent="0.4">
      <c r="A42" s="33">
        <v>34.785400000000003</v>
      </c>
      <c r="B42" s="6">
        <v>15616</v>
      </c>
      <c r="C42" s="6">
        <v>4884.0020000000004</v>
      </c>
      <c r="D42" s="7">
        <v>1</v>
      </c>
      <c r="E42" s="12">
        <f t="shared" si="0"/>
        <v>3.1973778880516428</v>
      </c>
      <c r="F42" s="34"/>
      <c r="G42" s="6">
        <v>35.0901</v>
      </c>
      <c r="H42" s="6">
        <v>30232</v>
      </c>
      <c r="I42" s="6">
        <v>4046.1712000000002</v>
      </c>
      <c r="J42" s="7">
        <v>1</v>
      </c>
      <c r="K42" s="12">
        <f t="shared" si="1"/>
        <v>7.4717550260849066</v>
      </c>
      <c r="M42" s="23">
        <v>34.952599999999997</v>
      </c>
      <c r="N42" s="9">
        <v>222</v>
      </c>
      <c r="O42" s="9">
        <v>5727.2919000000002</v>
      </c>
      <c r="P42" s="10">
        <v>1</v>
      </c>
      <c r="Q42" s="13">
        <f t="shared" si="2"/>
        <v>3.8761775002248443E-2</v>
      </c>
      <c r="R42" s="24"/>
      <c r="S42" s="9">
        <v>34.3568</v>
      </c>
      <c r="T42" s="9">
        <v>105</v>
      </c>
      <c r="U42" s="9">
        <v>3497.0934000000002</v>
      </c>
      <c r="V42" s="10">
        <v>1</v>
      </c>
      <c r="W42" s="13">
        <f t="shared" si="3"/>
        <v>3.0024934421253945E-2</v>
      </c>
      <c r="Y42" s="3">
        <v>34.381599999999999</v>
      </c>
      <c r="Z42" s="3">
        <v>227</v>
      </c>
      <c r="AA42" s="3">
        <v>6968.4704000000002</v>
      </c>
      <c r="AB42" s="4">
        <v>1</v>
      </c>
      <c r="AC42" s="3">
        <v>0</v>
      </c>
      <c r="AD42" s="11">
        <f t="shared" si="4"/>
        <v>3.2575298016620693E-2</v>
      </c>
      <c r="AE42" s="17"/>
      <c r="AF42" s="3">
        <v>34.380800000000001</v>
      </c>
      <c r="AG42" s="3">
        <v>201</v>
      </c>
      <c r="AH42" s="3">
        <v>5962.2367000000004</v>
      </c>
      <c r="AI42" s="4">
        <v>1</v>
      </c>
      <c r="AJ42" s="11">
        <f t="shared" si="5"/>
        <v>3.3712180531175487E-2</v>
      </c>
    </row>
    <row r="43" spans="1:36" x14ac:dyDescent="0.4">
      <c r="A43" s="33">
        <v>34.7864</v>
      </c>
      <c r="B43" s="6">
        <v>16714</v>
      </c>
      <c r="C43" s="6">
        <v>4880.9627</v>
      </c>
      <c r="D43" s="7">
        <v>1</v>
      </c>
      <c r="E43" s="12">
        <f t="shared" si="0"/>
        <v>3.4243244677940274</v>
      </c>
      <c r="F43" s="34"/>
      <c r="G43" s="6">
        <v>35.091099999999997</v>
      </c>
      <c r="H43" s="6">
        <v>31884</v>
      </c>
      <c r="I43" s="6">
        <v>4046.2824999999998</v>
      </c>
      <c r="J43" s="7">
        <v>1</v>
      </c>
      <c r="K43" s="12">
        <f t="shared" si="1"/>
        <v>7.8798254941418451</v>
      </c>
      <c r="M43" s="23">
        <v>34.953600000000002</v>
      </c>
      <c r="N43" s="9">
        <v>210</v>
      </c>
      <c r="O43" s="9">
        <v>5723.6701999999996</v>
      </c>
      <c r="P43" s="10">
        <v>1</v>
      </c>
      <c r="Q43" s="13">
        <f t="shared" si="2"/>
        <v>3.6689744982161973E-2</v>
      </c>
      <c r="R43" s="24"/>
      <c r="S43" s="9">
        <v>34.357799999999997</v>
      </c>
      <c r="T43" s="9">
        <v>113</v>
      </c>
      <c r="U43" s="9">
        <v>3495.6541000000002</v>
      </c>
      <c r="V43" s="10">
        <v>1</v>
      </c>
      <c r="W43" s="13">
        <f t="shared" si="3"/>
        <v>3.2325852835382078E-2</v>
      </c>
      <c r="Y43" s="3">
        <v>34.382599999999996</v>
      </c>
      <c r="Z43" s="3">
        <v>271</v>
      </c>
      <c r="AA43" s="3">
        <v>6969.5742</v>
      </c>
      <c r="AB43" s="4">
        <v>1</v>
      </c>
      <c r="AC43" s="3">
        <v>0</v>
      </c>
      <c r="AD43" s="11">
        <f t="shared" si="4"/>
        <v>3.8883293616416334E-2</v>
      </c>
      <c r="AE43" s="17"/>
      <c r="AF43" s="3">
        <v>34.381799999999998</v>
      </c>
      <c r="AG43" s="3">
        <v>193</v>
      </c>
      <c r="AH43" s="3">
        <v>5959.1992</v>
      </c>
      <c r="AI43" s="4">
        <v>1</v>
      </c>
      <c r="AJ43" s="11">
        <f t="shared" si="5"/>
        <v>3.2386901917962403E-2</v>
      </c>
    </row>
    <row r="44" spans="1:36" x14ac:dyDescent="0.4">
      <c r="A44" s="33">
        <v>34.787399999999998</v>
      </c>
      <c r="B44" s="6">
        <v>17371</v>
      </c>
      <c r="C44" s="6">
        <v>4882.1341000000002</v>
      </c>
      <c r="D44" s="7">
        <v>1</v>
      </c>
      <c r="E44" s="12">
        <f t="shared" si="0"/>
        <v>3.5580751458670501</v>
      </c>
      <c r="F44" s="34"/>
      <c r="G44" s="6">
        <v>35.092100000000002</v>
      </c>
      <c r="H44" s="6">
        <v>33400</v>
      </c>
      <c r="I44" s="6">
        <v>4046.5219999999999</v>
      </c>
      <c r="J44" s="7">
        <v>1</v>
      </c>
      <c r="K44" s="12">
        <f t="shared" si="1"/>
        <v>8.2540018316964545</v>
      </c>
      <c r="M44" s="23">
        <v>34.954599999999999</v>
      </c>
      <c r="N44" s="9">
        <v>220</v>
      </c>
      <c r="O44" s="9">
        <v>5724.4318999999996</v>
      </c>
      <c r="P44" s="10">
        <v>1</v>
      </c>
      <c r="Q44" s="13">
        <f t="shared" si="2"/>
        <v>3.8431761237302867E-2</v>
      </c>
      <c r="R44" s="24"/>
      <c r="S44" s="9">
        <v>34.358800000000002</v>
      </c>
      <c r="T44" s="9">
        <v>106</v>
      </c>
      <c r="U44" s="9">
        <v>3497.712</v>
      </c>
      <c r="V44" s="10">
        <v>1</v>
      </c>
      <c r="W44" s="13">
        <f t="shared" si="3"/>
        <v>3.0305525440630903E-2</v>
      </c>
      <c r="Y44" s="3">
        <v>34.383600000000001</v>
      </c>
      <c r="Z44" s="3">
        <v>237</v>
      </c>
      <c r="AA44" s="3">
        <v>6970.2739000000001</v>
      </c>
      <c r="AB44" s="4">
        <v>1</v>
      </c>
      <c r="AC44" s="3">
        <v>0</v>
      </c>
      <c r="AD44" s="11">
        <f t="shared" si="4"/>
        <v>3.4001533282644748E-2</v>
      </c>
      <c r="AE44" s="17"/>
      <c r="AF44" s="3">
        <v>34.382800000000003</v>
      </c>
      <c r="AG44" s="3">
        <v>200</v>
      </c>
      <c r="AH44" s="3">
        <v>5959.4171999999999</v>
      </c>
      <c r="AI44" s="4">
        <v>1</v>
      </c>
      <c r="AJ44" s="11">
        <f t="shared" si="5"/>
        <v>3.3560328684489486E-2</v>
      </c>
    </row>
    <row r="45" spans="1:36" x14ac:dyDescent="0.4">
      <c r="A45" s="33">
        <v>34.788400000000003</v>
      </c>
      <c r="B45" s="6">
        <v>18141</v>
      </c>
      <c r="C45" s="6">
        <v>4883.4843000000001</v>
      </c>
      <c r="D45" s="7">
        <v>1</v>
      </c>
      <c r="E45" s="12">
        <f t="shared" si="0"/>
        <v>3.7147657052977521</v>
      </c>
      <c r="F45" s="34"/>
      <c r="G45" s="6">
        <v>35.0931</v>
      </c>
      <c r="H45" s="6">
        <v>34861</v>
      </c>
      <c r="I45" s="6">
        <v>4046.2828</v>
      </c>
      <c r="J45" s="7">
        <v>1</v>
      </c>
      <c r="K45" s="12">
        <f t="shared" si="1"/>
        <v>8.6155619177186527</v>
      </c>
      <c r="M45" s="23">
        <v>34.955599999999997</v>
      </c>
      <c r="N45" s="9">
        <v>211</v>
      </c>
      <c r="O45" s="9">
        <v>5722.7245000000003</v>
      </c>
      <c r="P45" s="10">
        <v>1</v>
      </c>
      <c r="Q45" s="13">
        <f t="shared" si="2"/>
        <v>3.6870550032593742E-2</v>
      </c>
      <c r="R45" s="24"/>
      <c r="S45" s="9">
        <v>34.3598</v>
      </c>
      <c r="T45" s="9">
        <v>100</v>
      </c>
      <c r="U45" s="9">
        <v>3495.6588000000002</v>
      </c>
      <c r="V45" s="10">
        <v>1</v>
      </c>
      <c r="W45" s="13">
        <f t="shared" si="3"/>
        <v>2.8606910949089195E-2</v>
      </c>
      <c r="Y45" s="3">
        <v>34.384599999999999</v>
      </c>
      <c r="Z45" s="3">
        <v>251</v>
      </c>
      <c r="AA45" s="3">
        <v>6967.4826000000003</v>
      </c>
      <c r="AB45" s="4">
        <v>1</v>
      </c>
      <c r="AC45" s="3">
        <v>0</v>
      </c>
      <c r="AD45" s="11">
        <f t="shared" si="4"/>
        <v>3.6024488959613618E-2</v>
      </c>
      <c r="AE45" s="17"/>
      <c r="AF45" s="3">
        <v>34.383800000000001</v>
      </c>
      <c r="AG45" s="3">
        <v>213</v>
      </c>
      <c r="AH45" s="3">
        <v>5957.7031999999999</v>
      </c>
      <c r="AI45" s="4">
        <v>1</v>
      </c>
      <c r="AJ45" s="11">
        <f t="shared" si="5"/>
        <v>3.5752032763229961E-2</v>
      </c>
    </row>
    <row r="46" spans="1:36" x14ac:dyDescent="0.4">
      <c r="A46" s="33">
        <v>34.789400000000001</v>
      </c>
      <c r="B46" s="6">
        <v>19267</v>
      </c>
      <c r="C46" s="6">
        <v>4883.2663000000002</v>
      </c>
      <c r="D46" s="7">
        <v>1</v>
      </c>
      <c r="E46" s="12">
        <f t="shared" si="0"/>
        <v>3.9455149107882974</v>
      </c>
      <c r="F46" s="34"/>
      <c r="G46" s="6">
        <v>35.094099999999997</v>
      </c>
      <c r="H46" s="6">
        <v>36980</v>
      </c>
      <c r="I46" s="6">
        <v>4043.7757000000001</v>
      </c>
      <c r="J46" s="7">
        <v>1</v>
      </c>
      <c r="K46" s="12">
        <f t="shared" si="1"/>
        <v>9.1449186956635593</v>
      </c>
      <c r="M46" s="23">
        <v>34.956600000000002</v>
      </c>
      <c r="N46" s="9">
        <v>236</v>
      </c>
      <c r="O46" s="9">
        <v>5724.9971999999998</v>
      </c>
      <c r="P46" s="10">
        <v>1</v>
      </c>
      <c r="Q46" s="13">
        <f t="shared" si="2"/>
        <v>4.1222727584914805E-2</v>
      </c>
      <c r="R46" s="24"/>
      <c r="S46" s="9">
        <v>34.360799999999998</v>
      </c>
      <c r="T46" s="9">
        <v>133</v>
      </c>
      <c r="U46" s="9">
        <v>3497.4292</v>
      </c>
      <c r="V46" s="10">
        <v>1</v>
      </c>
      <c r="W46" s="13">
        <f t="shared" si="3"/>
        <v>3.8027932059353765E-2</v>
      </c>
      <c r="Y46" s="3">
        <v>34.385599999999997</v>
      </c>
      <c r="Z46" s="3">
        <v>272</v>
      </c>
      <c r="AA46" s="3">
        <v>6969.2488999999996</v>
      </c>
      <c r="AB46" s="4">
        <v>1</v>
      </c>
      <c r="AC46" s="3">
        <v>0</v>
      </c>
      <c r="AD46" s="11">
        <f t="shared" si="4"/>
        <v>3.9028596037085146E-2</v>
      </c>
      <c r="AE46" s="17"/>
      <c r="AF46" s="3">
        <v>34.384799999999998</v>
      </c>
      <c r="AG46" s="3">
        <v>233</v>
      </c>
      <c r="AH46" s="3">
        <v>5956.4812000000002</v>
      </c>
      <c r="AI46" s="4">
        <v>1</v>
      </c>
      <c r="AJ46" s="11">
        <f t="shared" si="5"/>
        <v>3.9117054545559547E-2</v>
      </c>
    </row>
    <row r="47" spans="1:36" x14ac:dyDescent="0.4">
      <c r="A47" s="33">
        <v>34.790399999999998</v>
      </c>
      <c r="B47" s="6">
        <v>20379</v>
      </c>
      <c r="C47" s="6">
        <v>4887.1157999999996</v>
      </c>
      <c r="D47" s="7">
        <v>1</v>
      </c>
      <c r="E47" s="12">
        <f t="shared" si="0"/>
        <v>4.1699441621579751</v>
      </c>
      <c r="F47" s="34"/>
      <c r="G47" s="6">
        <v>35.095100000000002</v>
      </c>
      <c r="H47" s="6">
        <v>39237</v>
      </c>
      <c r="I47" s="6">
        <v>4043.9915999999998</v>
      </c>
      <c r="J47" s="7">
        <v>1</v>
      </c>
      <c r="K47" s="12">
        <f t="shared" si="1"/>
        <v>9.7025424088417989</v>
      </c>
      <c r="M47" s="23">
        <v>34.957599999999999</v>
      </c>
      <c r="N47" s="9">
        <v>204</v>
      </c>
      <c r="O47" s="9">
        <v>5724.1732000000002</v>
      </c>
      <c r="P47" s="10">
        <v>1</v>
      </c>
      <c r="Q47" s="13">
        <f t="shared" si="2"/>
        <v>3.5638334633200826E-2</v>
      </c>
      <c r="R47" s="24"/>
      <c r="S47" s="9">
        <v>34.361800000000002</v>
      </c>
      <c r="T47" s="9">
        <v>122</v>
      </c>
      <c r="U47" s="9">
        <v>3497.0383999999999</v>
      </c>
      <c r="V47" s="10">
        <v>1</v>
      </c>
      <c r="W47" s="13">
        <f t="shared" si="3"/>
        <v>3.4886662954573218E-2</v>
      </c>
      <c r="Y47" s="3">
        <v>34.386600000000001</v>
      </c>
      <c r="Z47" s="3">
        <v>267</v>
      </c>
      <c r="AA47" s="3">
        <v>6967.8353999999999</v>
      </c>
      <c r="AB47" s="4">
        <v>1</v>
      </c>
      <c r="AC47" s="3">
        <v>0</v>
      </c>
      <c r="AD47" s="11">
        <f t="shared" si="4"/>
        <v>3.8318930438569203E-2</v>
      </c>
      <c r="AE47" s="17"/>
      <c r="AF47" s="3">
        <v>34.385800000000003</v>
      </c>
      <c r="AG47" s="3">
        <v>221</v>
      </c>
      <c r="AH47" s="3">
        <v>5955.8411999999998</v>
      </c>
      <c r="AI47" s="4">
        <v>1</v>
      </c>
      <c r="AJ47" s="11">
        <f t="shared" si="5"/>
        <v>3.7106429231189036E-2</v>
      </c>
    </row>
    <row r="48" spans="1:36" x14ac:dyDescent="0.4">
      <c r="A48" s="33">
        <v>34.791400000000003</v>
      </c>
      <c r="B48" s="6">
        <v>21316</v>
      </c>
      <c r="C48" s="6">
        <v>4886.8631999999998</v>
      </c>
      <c r="D48" s="7">
        <v>1</v>
      </c>
      <c r="E48" s="12">
        <f t="shared" si="0"/>
        <v>4.3618982418005894</v>
      </c>
      <c r="F48" s="34"/>
      <c r="G48" s="6">
        <v>35.0961</v>
      </c>
      <c r="H48" s="6">
        <v>40831</v>
      </c>
      <c r="I48" s="6">
        <v>4041.9549000000002</v>
      </c>
      <c r="J48" s="7">
        <v>1</v>
      </c>
      <c r="K48" s="12">
        <f t="shared" si="1"/>
        <v>10.101795049717156</v>
      </c>
      <c r="M48" s="23">
        <v>34.958599999999997</v>
      </c>
      <c r="N48" s="9">
        <v>224</v>
      </c>
      <c r="O48" s="9">
        <v>5722.2179999999998</v>
      </c>
      <c r="P48" s="10">
        <v>1</v>
      </c>
      <c r="Q48" s="13">
        <f t="shared" si="2"/>
        <v>3.9145659952137445E-2</v>
      </c>
      <c r="R48" s="24"/>
      <c r="S48" s="9">
        <v>34.3628</v>
      </c>
      <c r="T48" s="9">
        <v>134</v>
      </c>
      <c r="U48" s="9">
        <v>3495.5754999999999</v>
      </c>
      <c r="V48" s="10">
        <v>1</v>
      </c>
      <c r="W48" s="13">
        <f t="shared" si="3"/>
        <v>3.8334174158160796E-2</v>
      </c>
      <c r="Y48" s="3">
        <v>34.387599999999999</v>
      </c>
      <c r="Z48" s="3">
        <v>280</v>
      </c>
      <c r="AA48" s="3">
        <v>6966.7645000000002</v>
      </c>
      <c r="AB48" s="4">
        <v>1</v>
      </c>
      <c r="AC48" s="3">
        <v>0</v>
      </c>
      <c r="AD48" s="11">
        <f t="shared" si="4"/>
        <v>4.0190823157579103E-2</v>
      </c>
      <c r="AE48" s="17"/>
      <c r="AF48" s="3">
        <v>34.386800000000001</v>
      </c>
      <c r="AG48" s="3">
        <v>221</v>
      </c>
      <c r="AH48" s="3">
        <v>5958.4673000000003</v>
      </c>
      <c r="AI48" s="4">
        <v>1</v>
      </c>
      <c r="AJ48" s="11">
        <f t="shared" si="5"/>
        <v>3.7090075160771625E-2</v>
      </c>
    </row>
    <row r="49" spans="1:36" x14ac:dyDescent="0.4">
      <c r="A49" s="33">
        <v>34.792400000000001</v>
      </c>
      <c r="B49" s="6">
        <v>22655</v>
      </c>
      <c r="C49" s="6">
        <v>4890.0745999999999</v>
      </c>
      <c r="D49" s="7">
        <v>1</v>
      </c>
      <c r="E49" s="12">
        <f t="shared" si="0"/>
        <v>4.6328536583061535</v>
      </c>
      <c r="F49" s="34"/>
      <c r="G49" s="6">
        <v>35.097099999999998</v>
      </c>
      <c r="H49" s="6">
        <v>43705</v>
      </c>
      <c r="I49" s="6">
        <v>4042.114</v>
      </c>
      <c r="J49" s="7">
        <v>1</v>
      </c>
      <c r="K49" s="12">
        <f t="shared" si="1"/>
        <v>10.812411525256339</v>
      </c>
      <c r="M49" s="23">
        <v>34.959600000000002</v>
      </c>
      <c r="N49" s="9">
        <v>219</v>
      </c>
      <c r="O49" s="9">
        <v>5719.8308999999999</v>
      </c>
      <c r="P49" s="10">
        <v>1</v>
      </c>
      <c r="Q49" s="13">
        <f t="shared" si="2"/>
        <v>3.8287845187870852E-2</v>
      </c>
      <c r="R49" s="24"/>
      <c r="S49" s="9">
        <v>34.363799999999998</v>
      </c>
      <c r="T49" s="9">
        <v>119</v>
      </c>
      <c r="U49" s="9">
        <v>3496.3705</v>
      </c>
      <c r="V49" s="10">
        <v>1</v>
      </c>
      <c r="W49" s="13">
        <f t="shared" si="3"/>
        <v>3.4035294600500719E-2</v>
      </c>
      <c r="Y49" s="3">
        <v>34.388599999999997</v>
      </c>
      <c r="Z49" s="3">
        <v>287</v>
      </c>
      <c r="AA49" s="3">
        <v>6962.9678999999996</v>
      </c>
      <c r="AB49" s="4">
        <v>1</v>
      </c>
      <c r="AC49" s="3">
        <v>0</v>
      </c>
      <c r="AD49" s="11">
        <f t="shared" si="4"/>
        <v>4.12180558810274E-2</v>
      </c>
      <c r="AE49" s="17"/>
      <c r="AF49" s="3">
        <v>34.387799999999999</v>
      </c>
      <c r="AG49" s="3">
        <v>206</v>
      </c>
      <c r="AH49" s="3">
        <v>5957.0069000000003</v>
      </c>
      <c r="AI49" s="4">
        <v>1</v>
      </c>
      <c r="AJ49" s="11">
        <f t="shared" si="5"/>
        <v>3.4581124960590529E-2</v>
      </c>
    </row>
    <row r="50" spans="1:36" x14ac:dyDescent="0.4">
      <c r="A50" s="33">
        <v>34.793399999999998</v>
      </c>
      <c r="B50" s="6">
        <v>23795</v>
      </c>
      <c r="C50" s="6">
        <v>4894.1674999999996</v>
      </c>
      <c r="D50" s="7">
        <v>1</v>
      </c>
      <c r="E50" s="12">
        <f t="shared" si="0"/>
        <v>4.8619096097548766</v>
      </c>
      <c r="F50" s="34"/>
      <c r="G50" s="6">
        <v>35.098100000000002</v>
      </c>
      <c r="H50" s="6">
        <v>46095</v>
      </c>
      <c r="I50" s="6">
        <v>4038.2583</v>
      </c>
      <c r="J50" s="7">
        <v>1</v>
      </c>
      <c r="K50" s="12">
        <f t="shared" si="1"/>
        <v>11.414574446612294</v>
      </c>
      <c r="M50" s="23">
        <v>34.960599999999999</v>
      </c>
      <c r="N50" s="9">
        <v>229</v>
      </c>
      <c r="O50" s="9">
        <v>5717.2359999999999</v>
      </c>
      <c r="P50" s="10">
        <v>1</v>
      </c>
      <c r="Q50" s="13">
        <f t="shared" si="2"/>
        <v>4.005431995460744E-2</v>
      </c>
      <c r="R50" s="24"/>
      <c r="S50" s="9">
        <v>34.364800000000002</v>
      </c>
      <c r="T50" s="9">
        <v>133</v>
      </c>
      <c r="U50" s="9">
        <v>3495.9859999999999</v>
      </c>
      <c r="V50" s="10">
        <v>1</v>
      </c>
      <c r="W50" s="13">
        <f t="shared" si="3"/>
        <v>3.8043630609504733E-2</v>
      </c>
      <c r="Y50" s="3">
        <v>34.389600000000002</v>
      </c>
      <c r="Z50" s="3">
        <v>324</v>
      </c>
      <c r="AA50" s="3">
        <v>6965.2154</v>
      </c>
      <c r="AB50" s="4">
        <v>1</v>
      </c>
      <c r="AC50" s="3">
        <v>0</v>
      </c>
      <c r="AD50" s="11">
        <f t="shared" si="4"/>
        <v>4.6516867231413975E-2</v>
      </c>
      <c r="AE50" s="17"/>
      <c r="AF50" s="3">
        <v>34.388800000000003</v>
      </c>
      <c r="AG50" s="3">
        <v>240</v>
      </c>
      <c r="AH50" s="3">
        <v>5955.9970000000003</v>
      </c>
      <c r="AI50" s="4">
        <v>1</v>
      </c>
      <c r="AJ50" s="11">
        <f t="shared" si="5"/>
        <v>4.0295520632397899E-2</v>
      </c>
    </row>
    <row r="51" spans="1:36" x14ac:dyDescent="0.4">
      <c r="A51" s="33">
        <v>34.794400000000003</v>
      </c>
      <c r="B51" s="6">
        <v>25305</v>
      </c>
      <c r="C51" s="6">
        <v>4897.1289999999999</v>
      </c>
      <c r="D51" s="7">
        <v>1</v>
      </c>
      <c r="E51" s="12">
        <f t="shared" si="0"/>
        <v>5.1673133380803327</v>
      </c>
      <c r="F51" s="34"/>
      <c r="G51" s="6">
        <v>35.0991</v>
      </c>
      <c r="H51" s="6">
        <v>48873</v>
      </c>
      <c r="I51" s="6">
        <v>4040.7152999999998</v>
      </c>
      <c r="J51" s="7">
        <v>1</v>
      </c>
      <c r="K51" s="12">
        <f t="shared" si="1"/>
        <v>12.095135730052549</v>
      </c>
      <c r="M51" s="23">
        <v>34.961599999999997</v>
      </c>
      <c r="N51" s="9">
        <v>256</v>
      </c>
      <c r="O51" s="9">
        <v>5717.1265000000003</v>
      </c>
      <c r="P51" s="10">
        <v>1</v>
      </c>
      <c r="Q51" s="13">
        <f t="shared" si="2"/>
        <v>4.4777739306625451E-2</v>
      </c>
      <c r="R51" s="24"/>
      <c r="S51" s="9">
        <v>34.3658</v>
      </c>
      <c r="T51" s="9">
        <v>137</v>
      </c>
      <c r="U51" s="9">
        <v>3496.5196000000001</v>
      </c>
      <c r="V51" s="10">
        <v>1</v>
      </c>
      <c r="W51" s="13">
        <f t="shared" si="3"/>
        <v>3.9181819544211904E-2</v>
      </c>
      <c r="Y51" s="3">
        <v>34.390599999999999</v>
      </c>
      <c r="Z51" s="3">
        <v>298</v>
      </c>
      <c r="AA51" s="3">
        <v>6964.8087999999998</v>
      </c>
      <c r="AB51" s="4">
        <v>1</v>
      </c>
      <c r="AC51" s="3">
        <v>0</v>
      </c>
      <c r="AD51" s="11">
        <f t="shared" si="4"/>
        <v>4.278652990445337E-2</v>
      </c>
      <c r="AE51" s="17"/>
      <c r="AF51" s="3">
        <v>34.389800000000001</v>
      </c>
      <c r="AG51" s="3">
        <v>230</v>
      </c>
      <c r="AH51" s="3">
        <v>5956.5905000000002</v>
      </c>
      <c r="AI51" s="4">
        <v>1</v>
      </c>
      <c r="AJ51" s="11">
        <f t="shared" si="5"/>
        <v>3.8612692949095626E-2</v>
      </c>
    </row>
    <row r="52" spans="1:36" x14ac:dyDescent="0.4">
      <c r="A52" s="33">
        <v>34.795400000000001</v>
      </c>
      <c r="B52" s="6">
        <v>26376</v>
      </c>
      <c r="C52" s="6">
        <v>4897.5199000000002</v>
      </c>
      <c r="D52" s="7">
        <v>1</v>
      </c>
      <c r="E52" s="12">
        <f t="shared" si="0"/>
        <v>5.3855830172328645</v>
      </c>
      <c r="F52" s="34"/>
      <c r="G52" s="6">
        <v>35.100099999999998</v>
      </c>
      <c r="H52" s="6">
        <v>51397</v>
      </c>
      <c r="I52" s="6">
        <v>4039.4684999999999</v>
      </c>
      <c r="J52" s="7">
        <v>1</v>
      </c>
      <c r="K52" s="12">
        <f t="shared" si="1"/>
        <v>12.723703625860679</v>
      </c>
      <c r="M52" s="23">
        <v>34.962600000000002</v>
      </c>
      <c r="N52" s="9">
        <v>251</v>
      </c>
      <c r="O52" s="9">
        <v>5718.1652000000004</v>
      </c>
      <c r="P52" s="10">
        <v>1</v>
      </c>
      <c r="Q52" s="13">
        <f t="shared" si="2"/>
        <v>4.3895199110371971E-2</v>
      </c>
      <c r="R52" s="24"/>
      <c r="S52" s="9">
        <v>34.366799999999998</v>
      </c>
      <c r="T52" s="9">
        <v>150</v>
      </c>
      <c r="U52" s="9">
        <v>3495.3766999999998</v>
      </c>
      <c r="V52" s="10">
        <v>1</v>
      </c>
      <c r="W52" s="13">
        <f t="shared" si="3"/>
        <v>4.2913829573791001E-2</v>
      </c>
      <c r="Y52" s="3">
        <v>34.391599999999997</v>
      </c>
      <c r="Z52" s="3">
        <v>316</v>
      </c>
      <c r="AA52" s="3">
        <v>6964.8908000000001</v>
      </c>
      <c r="AB52" s="4">
        <v>1</v>
      </c>
      <c r="AC52" s="3">
        <v>0</v>
      </c>
      <c r="AD52" s="11">
        <f t="shared" si="4"/>
        <v>4.5370417006394416E-2</v>
      </c>
      <c r="AE52" s="17"/>
      <c r="AF52" s="3">
        <v>34.390799999999999</v>
      </c>
      <c r="AG52" s="3">
        <v>262</v>
      </c>
      <c r="AH52" s="3">
        <v>5954.6178</v>
      </c>
      <c r="AI52" s="4">
        <v>1</v>
      </c>
      <c r="AJ52" s="11">
        <f t="shared" si="5"/>
        <v>4.3999465423288794E-2</v>
      </c>
    </row>
    <row r="53" spans="1:36" x14ac:dyDescent="0.4">
      <c r="A53" s="33">
        <v>34.796399999999998</v>
      </c>
      <c r="B53" s="6">
        <v>28200</v>
      </c>
      <c r="C53" s="6">
        <v>4897.2587000000003</v>
      </c>
      <c r="D53" s="7">
        <v>1</v>
      </c>
      <c r="E53" s="12">
        <f t="shared" si="0"/>
        <v>5.7583235290388064</v>
      </c>
      <c r="F53" s="34"/>
      <c r="G53" s="6">
        <v>35.101100000000002</v>
      </c>
      <c r="H53" s="6">
        <v>54738</v>
      </c>
      <c r="I53" s="6">
        <v>4039.5268999999998</v>
      </c>
      <c r="J53" s="7">
        <v>1</v>
      </c>
      <c r="K53" s="12">
        <f t="shared" si="1"/>
        <v>13.550596729532858</v>
      </c>
      <c r="M53" s="23">
        <v>34.9636</v>
      </c>
      <c r="N53" s="9">
        <v>279</v>
      </c>
      <c r="O53" s="9">
        <v>5716.9673000000003</v>
      </c>
      <c r="P53" s="10">
        <v>1</v>
      </c>
      <c r="Q53" s="13">
        <f t="shared" si="2"/>
        <v>4.8802098273327536E-2</v>
      </c>
      <c r="R53" s="24"/>
      <c r="S53" s="9">
        <v>34.367800000000003</v>
      </c>
      <c r="T53" s="9">
        <v>161</v>
      </c>
      <c r="U53" s="9">
        <v>3495.8816000000002</v>
      </c>
      <c r="V53" s="10">
        <v>1</v>
      </c>
      <c r="W53" s="13">
        <f t="shared" si="3"/>
        <v>4.6054191308996274E-2</v>
      </c>
      <c r="Y53" s="3">
        <v>34.392600000000002</v>
      </c>
      <c r="Z53" s="3">
        <v>337</v>
      </c>
      <c r="AA53" s="3">
        <v>6964.7165999999997</v>
      </c>
      <c r="AB53" s="4">
        <v>1</v>
      </c>
      <c r="AC53" s="3">
        <v>0</v>
      </c>
      <c r="AD53" s="11">
        <f t="shared" si="4"/>
        <v>4.8386749864308909E-2</v>
      </c>
      <c r="AE53" s="17"/>
      <c r="AF53" s="3">
        <v>34.391800000000003</v>
      </c>
      <c r="AG53" s="3">
        <v>246</v>
      </c>
      <c r="AH53" s="3">
        <v>5954.0590000000002</v>
      </c>
      <c r="AI53" s="4">
        <v>1</v>
      </c>
      <c r="AJ53" s="11">
        <f t="shared" si="5"/>
        <v>4.1316352424455319E-2</v>
      </c>
    </row>
    <row r="54" spans="1:36" x14ac:dyDescent="0.4">
      <c r="A54" s="33">
        <v>34.797400000000003</v>
      </c>
      <c r="B54" s="6">
        <v>29894</v>
      </c>
      <c r="C54" s="6">
        <v>4895.1831000000002</v>
      </c>
      <c r="D54" s="7">
        <v>1</v>
      </c>
      <c r="E54" s="12">
        <f t="shared" si="0"/>
        <v>6.1068195794351388</v>
      </c>
      <c r="F54" s="34"/>
      <c r="G54" s="6">
        <v>35.1021</v>
      </c>
      <c r="H54" s="6">
        <v>58257</v>
      </c>
      <c r="I54" s="6">
        <v>4040.8186999999998</v>
      </c>
      <c r="J54" s="7">
        <v>1</v>
      </c>
      <c r="K54" s="12">
        <f t="shared" si="1"/>
        <v>14.417127895394071</v>
      </c>
      <c r="M54" s="23">
        <v>34.964599999999997</v>
      </c>
      <c r="N54" s="9">
        <v>271</v>
      </c>
      <c r="O54" s="9">
        <v>5717.0844999999999</v>
      </c>
      <c r="P54" s="10">
        <v>1</v>
      </c>
      <c r="Q54" s="13">
        <f t="shared" si="2"/>
        <v>4.7401783199111369E-2</v>
      </c>
      <c r="R54" s="24"/>
      <c r="S54" s="9">
        <v>34.3688</v>
      </c>
      <c r="T54" s="9">
        <v>164</v>
      </c>
      <c r="U54" s="9">
        <v>3495.4881999999998</v>
      </c>
      <c r="V54" s="10">
        <v>1</v>
      </c>
      <c r="W54" s="13">
        <f t="shared" si="3"/>
        <v>4.6917623695597085E-2</v>
      </c>
      <c r="Y54" s="3">
        <v>34.393599999999999</v>
      </c>
      <c r="Z54" s="3">
        <v>336</v>
      </c>
      <c r="AA54" s="3">
        <v>6965.9759999999997</v>
      </c>
      <c r="AB54" s="4">
        <v>1</v>
      </c>
      <c r="AC54" s="3">
        <v>0</v>
      </c>
      <c r="AD54" s="11">
        <f t="shared" si="4"/>
        <v>4.8234446974838849E-2</v>
      </c>
      <c r="AE54" s="17"/>
      <c r="AF54" s="3">
        <v>34.392800000000001</v>
      </c>
      <c r="AG54" s="3">
        <v>256</v>
      </c>
      <c r="AH54" s="3">
        <v>5951.2879000000003</v>
      </c>
      <c r="AI54" s="4">
        <v>1</v>
      </c>
      <c r="AJ54" s="11">
        <f t="shared" si="5"/>
        <v>4.3015899130001756E-2</v>
      </c>
    </row>
    <row r="55" spans="1:36" x14ac:dyDescent="0.4">
      <c r="A55" s="33">
        <v>34.798400000000001</v>
      </c>
      <c r="B55" s="6">
        <v>31539</v>
      </c>
      <c r="C55" s="6">
        <v>4892.5754999999999</v>
      </c>
      <c r="D55" s="7">
        <v>1</v>
      </c>
      <c r="E55" s="12">
        <f t="shared" si="0"/>
        <v>6.4462980693910596</v>
      </c>
      <c r="F55" s="34"/>
      <c r="G55" s="6">
        <v>35.103099999999998</v>
      </c>
      <c r="H55" s="6">
        <v>61501</v>
      </c>
      <c r="I55" s="6">
        <v>4039.9106000000002</v>
      </c>
      <c r="J55" s="7">
        <v>1</v>
      </c>
      <c r="K55" s="12">
        <f t="shared" si="1"/>
        <v>15.223356675269002</v>
      </c>
      <c r="M55" s="23">
        <v>34.965600000000002</v>
      </c>
      <c r="N55" s="9">
        <v>274</v>
      </c>
      <c r="O55" s="9">
        <v>5721.0450000000001</v>
      </c>
      <c r="P55" s="10">
        <v>1</v>
      </c>
      <c r="Q55" s="13">
        <f t="shared" si="2"/>
        <v>4.7893348155800208E-2</v>
      </c>
      <c r="R55" s="24"/>
      <c r="S55" s="9">
        <v>34.369799999999998</v>
      </c>
      <c r="T55" s="9">
        <v>130</v>
      </c>
      <c r="U55" s="9">
        <v>3494.6349</v>
      </c>
      <c r="V55" s="10">
        <v>1</v>
      </c>
      <c r="W55" s="13">
        <f t="shared" si="3"/>
        <v>3.7199880307954347E-2</v>
      </c>
      <c r="Y55" s="3">
        <v>34.394599999999997</v>
      </c>
      <c r="Z55" s="3">
        <v>308</v>
      </c>
      <c r="AA55" s="3">
        <v>6963.5168999999996</v>
      </c>
      <c r="AB55" s="4">
        <v>1</v>
      </c>
      <c r="AC55" s="3">
        <v>0</v>
      </c>
      <c r="AD55" s="11">
        <f t="shared" si="4"/>
        <v>4.4230523803281074E-2</v>
      </c>
      <c r="AE55" s="17"/>
      <c r="AF55" s="3">
        <v>34.393799999999999</v>
      </c>
      <c r="AG55" s="3">
        <v>264</v>
      </c>
      <c r="AH55" s="3">
        <v>5949.4183999999996</v>
      </c>
      <c r="AI55" s="4">
        <v>1</v>
      </c>
      <c r="AJ55" s="11">
        <f t="shared" si="5"/>
        <v>4.4374085372781986E-2</v>
      </c>
    </row>
    <row r="56" spans="1:36" x14ac:dyDescent="0.4">
      <c r="A56" s="33">
        <v>34.799399999999999</v>
      </c>
      <c r="B56" s="6">
        <v>33633</v>
      </c>
      <c r="C56" s="6">
        <v>4891.0652</v>
      </c>
      <c r="D56" s="7">
        <v>1</v>
      </c>
      <c r="E56" s="12">
        <f t="shared" si="0"/>
        <v>6.8764162047972697</v>
      </c>
      <c r="F56" s="34"/>
      <c r="G56" s="6">
        <v>35.104100000000003</v>
      </c>
      <c r="H56" s="6">
        <v>64979</v>
      </c>
      <c r="I56" s="6">
        <v>4041.3661999999999</v>
      </c>
      <c r="J56" s="7">
        <v>1</v>
      </c>
      <c r="K56" s="12">
        <f t="shared" si="1"/>
        <v>16.078473660714042</v>
      </c>
      <c r="M56" s="23">
        <v>34.9666</v>
      </c>
      <c r="N56" s="9">
        <v>269</v>
      </c>
      <c r="O56" s="9">
        <v>5719.1394</v>
      </c>
      <c r="P56" s="10">
        <v>1</v>
      </c>
      <c r="Q56" s="13">
        <f t="shared" si="2"/>
        <v>4.7035048664839325E-2</v>
      </c>
      <c r="R56" s="24"/>
      <c r="S56" s="9">
        <v>34.370800000000003</v>
      </c>
      <c r="T56" s="9">
        <v>138</v>
      </c>
      <c r="U56" s="9">
        <v>3495.0232000000001</v>
      </c>
      <c r="V56" s="10">
        <v>1</v>
      </c>
      <c r="W56" s="13">
        <f t="shared" si="3"/>
        <v>3.9484716439078284E-2</v>
      </c>
      <c r="Y56" s="3">
        <v>34.395600000000002</v>
      </c>
      <c r="Z56" s="3">
        <v>347</v>
      </c>
      <c r="AA56" s="3">
        <v>6961.1698999999999</v>
      </c>
      <c r="AB56" s="4">
        <v>1</v>
      </c>
      <c r="AC56" s="3">
        <v>0</v>
      </c>
      <c r="AD56" s="11">
        <f t="shared" si="4"/>
        <v>4.9847942944188164E-2</v>
      </c>
      <c r="AE56" s="17"/>
      <c r="AF56" s="3">
        <v>34.394799999999996</v>
      </c>
      <c r="AG56" s="3">
        <v>259</v>
      </c>
      <c r="AH56" s="3">
        <v>5945.3140999999996</v>
      </c>
      <c r="AI56" s="4">
        <v>1</v>
      </c>
      <c r="AJ56" s="11">
        <f t="shared" si="5"/>
        <v>4.3563720207818797E-2</v>
      </c>
    </row>
    <row r="57" spans="1:36" x14ac:dyDescent="0.4">
      <c r="A57" s="33">
        <v>34.800400000000003</v>
      </c>
      <c r="B57" s="6">
        <v>35026</v>
      </c>
      <c r="C57" s="6">
        <v>4887.7426999999998</v>
      </c>
      <c r="D57" s="7">
        <v>1</v>
      </c>
      <c r="E57" s="12">
        <f t="shared" si="0"/>
        <v>7.1660891642270776</v>
      </c>
      <c r="F57" s="34"/>
      <c r="G57" s="6">
        <v>35.1051</v>
      </c>
      <c r="H57" s="6">
        <v>69049</v>
      </c>
      <c r="I57" s="6">
        <v>4040.1019000000001</v>
      </c>
      <c r="J57" s="7">
        <v>1</v>
      </c>
      <c r="K57" s="12">
        <f t="shared" si="1"/>
        <v>17.090905553644575</v>
      </c>
      <c r="M57" s="23">
        <v>34.967599999999997</v>
      </c>
      <c r="N57" s="9">
        <v>287</v>
      </c>
      <c r="O57" s="9">
        <v>5719.7875000000004</v>
      </c>
      <c r="P57" s="10">
        <v>1</v>
      </c>
      <c r="Q57" s="13">
        <f t="shared" si="2"/>
        <v>5.0176689256375341E-2</v>
      </c>
      <c r="R57" s="24"/>
      <c r="S57" s="9">
        <v>34.3718</v>
      </c>
      <c r="T57" s="9">
        <v>176</v>
      </c>
      <c r="U57" s="9">
        <v>3494.0774000000001</v>
      </c>
      <c r="V57" s="10">
        <v>1</v>
      </c>
      <c r="W57" s="13">
        <f t="shared" si="3"/>
        <v>5.0370950569097295E-2</v>
      </c>
      <c r="Y57" s="3">
        <v>34.396599999999999</v>
      </c>
      <c r="Z57" s="3">
        <v>373</v>
      </c>
      <c r="AA57" s="3">
        <v>6956.4660999999996</v>
      </c>
      <c r="AB57" s="4">
        <v>1</v>
      </c>
      <c r="AC57" s="3">
        <v>0</v>
      </c>
      <c r="AD57" s="11">
        <f t="shared" si="4"/>
        <v>5.3619178852894862E-2</v>
      </c>
      <c r="AE57" s="17"/>
      <c r="AF57" s="3">
        <v>34.395800000000001</v>
      </c>
      <c r="AG57" s="3">
        <v>273</v>
      </c>
      <c r="AH57" s="3">
        <v>5942.3981999999996</v>
      </c>
      <c r="AI57" s="4">
        <v>1</v>
      </c>
      <c r="AJ57" s="11">
        <f t="shared" si="5"/>
        <v>4.5941047841593655E-2</v>
      </c>
    </row>
    <row r="58" spans="1:36" x14ac:dyDescent="0.4">
      <c r="A58" s="33">
        <v>34.801400000000001</v>
      </c>
      <c r="B58" s="6">
        <v>37148</v>
      </c>
      <c r="C58" s="6">
        <v>4886.9889000000003</v>
      </c>
      <c r="D58" s="7">
        <v>1</v>
      </c>
      <c r="E58" s="12">
        <f t="shared" si="0"/>
        <v>7.6014087120189693</v>
      </c>
      <c r="F58" s="34"/>
      <c r="G58" s="6">
        <v>35.106099999999998</v>
      </c>
      <c r="H58" s="6">
        <v>73496</v>
      </c>
      <c r="I58" s="6">
        <v>4040.0473999999999</v>
      </c>
      <c r="J58" s="7">
        <v>1</v>
      </c>
      <c r="K58" s="12">
        <f t="shared" si="1"/>
        <v>18.191865768703604</v>
      </c>
      <c r="M58" s="23">
        <v>34.968600000000002</v>
      </c>
      <c r="N58" s="9">
        <v>298</v>
      </c>
      <c r="O58" s="9">
        <v>5717.3173999999999</v>
      </c>
      <c r="P58" s="10">
        <v>1</v>
      </c>
      <c r="Q58" s="13">
        <f t="shared" si="2"/>
        <v>5.2122346749543767E-2</v>
      </c>
      <c r="R58" s="24"/>
      <c r="S58" s="9">
        <v>34.372799999999998</v>
      </c>
      <c r="T58" s="9">
        <v>184</v>
      </c>
      <c r="U58" s="9">
        <v>3493.6763000000001</v>
      </c>
      <c r="V58" s="10">
        <v>1</v>
      </c>
      <c r="W58" s="13">
        <f t="shared" si="3"/>
        <v>5.2666585052541931E-2</v>
      </c>
      <c r="Y58" s="3">
        <v>34.397599999999997</v>
      </c>
      <c r="Z58" s="3">
        <v>323</v>
      </c>
      <c r="AA58" s="3">
        <v>6958.1305000000002</v>
      </c>
      <c r="AB58" s="4">
        <v>1</v>
      </c>
      <c r="AC58" s="3">
        <v>0</v>
      </c>
      <c r="AD58" s="11">
        <f t="shared" si="4"/>
        <v>4.6420514820755369E-2</v>
      </c>
      <c r="AE58" s="17"/>
      <c r="AF58" s="3">
        <v>34.396799999999999</v>
      </c>
      <c r="AG58" s="3">
        <v>289</v>
      </c>
      <c r="AH58" s="3">
        <v>5942.7084999999997</v>
      </c>
      <c r="AI58" s="4">
        <v>1</v>
      </c>
      <c r="AJ58" s="11">
        <f t="shared" si="5"/>
        <v>4.8631024052416504E-2</v>
      </c>
    </row>
    <row r="59" spans="1:36" x14ac:dyDescent="0.4">
      <c r="A59" s="33">
        <v>34.802399999999999</v>
      </c>
      <c r="B59" s="6">
        <v>39634</v>
      </c>
      <c r="C59" s="6">
        <v>4884.5870999999997</v>
      </c>
      <c r="D59" s="7">
        <v>1</v>
      </c>
      <c r="E59" s="12">
        <f t="shared" si="0"/>
        <v>8.1140942291724105</v>
      </c>
      <c r="F59" s="34"/>
      <c r="G59" s="6">
        <v>35.107100000000003</v>
      </c>
      <c r="H59" s="6">
        <v>78336</v>
      </c>
      <c r="I59" s="6">
        <v>4038.0365000000002</v>
      </c>
      <c r="J59" s="7">
        <v>1</v>
      </c>
      <c r="K59" s="12">
        <f t="shared" si="1"/>
        <v>19.399527468362407</v>
      </c>
      <c r="M59" s="23">
        <v>34.9696</v>
      </c>
      <c r="N59" s="9">
        <v>314</v>
      </c>
      <c r="O59" s="9">
        <v>5717.7007999999996</v>
      </c>
      <c r="P59" s="10">
        <v>1</v>
      </c>
      <c r="Q59" s="13">
        <f t="shared" si="2"/>
        <v>5.4917179296964963E-2</v>
      </c>
      <c r="R59" s="24"/>
      <c r="S59" s="9">
        <v>34.373800000000003</v>
      </c>
      <c r="T59" s="9">
        <v>164</v>
      </c>
      <c r="U59" s="9">
        <v>3492.6581999999999</v>
      </c>
      <c r="V59" s="10">
        <v>1</v>
      </c>
      <c r="W59" s="13">
        <f t="shared" si="3"/>
        <v>4.6955639690136303E-2</v>
      </c>
      <c r="Y59" s="3">
        <v>34.398600000000002</v>
      </c>
      <c r="Z59" s="3">
        <v>381</v>
      </c>
      <c r="AA59" s="3">
        <v>6958.8428000000004</v>
      </c>
      <c r="AB59" s="4">
        <v>1</v>
      </c>
      <c r="AC59" s="3">
        <v>0</v>
      </c>
      <c r="AD59" s="11">
        <f t="shared" si="4"/>
        <v>5.4750482364682815E-2</v>
      </c>
      <c r="AE59" s="17"/>
      <c r="AF59" s="3">
        <v>34.397799999999997</v>
      </c>
      <c r="AG59" s="3">
        <v>336</v>
      </c>
      <c r="AH59" s="3">
        <v>5942.8217999999997</v>
      </c>
      <c r="AI59" s="4">
        <v>1</v>
      </c>
      <c r="AJ59" s="11">
        <f t="shared" si="5"/>
        <v>5.6538797781215656E-2</v>
      </c>
    </row>
    <row r="60" spans="1:36" x14ac:dyDescent="0.4">
      <c r="A60" s="33">
        <v>34.803400000000003</v>
      </c>
      <c r="B60" s="6">
        <v>41914</v>
      </c>
      <c r="C60" s="6">
        <v>4882.7465000000002</v>
      </c>
      <c r="D60" s="7">
        <v>1</v>
      </c>
      <c r="E60" s="12">
        <f t="shared" si="0"/>
        <v>8.5841032296065336</v>
      </c>
      <c r="F60" s="34"/>
      <c r="G60" s="6">
        <v>35.1081</v>
      </c>
      <c r="H60" s="6">
        <v>83188</v>
      </c>
      <c r="I60" s="6">
        <v>4038.5203000000001</v>
      </c>
      <c r="J60" s="7">
        <v>1</v>
      </c>
      <c r="K60" s="12">
        <f t="shared" si="1"/>
        <v>20.598633613405383</v>
      </c>
      <c r="M60" s="23">
        <v>34.970599999999997</v>
      </c>
      <c r="N60" s="9">
        <v>319</v>
      </c>
      <c r="O60" s="9">
        <v>5715.9557999999997</v>
      </c>
      <c r="P60" s="10">
        <v>1</v>
      </c>
      <c r="Q60" s="13">
        <f t="shared" si="2"/>
        <v>5.580868907348794E-2</v>
      </c>
      <c r="R60" s="24"/>
      <c r="S60" s="9">
        <v>34.3748</v>
      </c>
      <c r="T60" s="9">
        <v>173</v>
      </c>
      <c r="U60" s="9">
        <v>3493.2566000000002</v>
      </c>
      <c r="V60" s="10">
        <v>1</v>
      </c>
      <c r="W60" s="13">
        <f t="shared" si="3"/>
        <v>4.9523988589902042E-2</v>
      </c>
      <c r="Y60" s="3">
        <v>34.3996</v>
      </c>
      <c r="Z60" s="3">
        <v>379</v>
      </c>
      <c r="AA60" s="3">
        <v>6954.165</v>
      </c>
      <c r="AB60" s="4">
        <v>1</v>
      </c>
      <c r="AC60" s="3">
        <v>0</v>
      </c>
      <c r="AD60" s="11">
        <f t="shared" si="4"/>
        <v>5.4499713481057754E-2</v>
      </c>
      <c r="AE60" s="17"/>
      <c r="AF60" s="3">
        <v>34.398800000000001</v>
      </c>
      <c r="AG60" s="3">
        <v>295</v>
      </c>
      <c r="AH60" s="3">
        <v>5942.4903000000004</v>
      </c>
      <c r="AI60" s="4">
        <v>1</v>
      </c>
      <c r="AJ60" s="11">
        <f t="shared" si="5"/>
        <v>4.9642487426525536E-2</v>
      </c>
    </row>
    <row r="61" spans="1:36" x14ac:dyDescent="0.4">
      <c r="A61" s="33">
        <v>34.804400000000001</v>
      </c>
      <c r="B61" s="6">
        <v>44568</v>
      </c>
      <c r="C61" s="6">
        <v>4882.8513000000003</v>
      </c>
      <c r="D61" s="7">
        <v>1</v>
      </c>
      <c r="E61" s="12">
        <f t="shared" si="0"/>
        <v>9.1274538710609505</v>
      </c>
      <c r="F61" s="34"/>
      <c r="G61" s="6">
        <v>35.109099999999998</v>
      </c>
      <c r="H61" s="6">
        <v>89620</v>
      </c>
      <c r="I61" s="6">
        <v>4037.6473999999998</v>
      </c>
      <c r="J61" s="7">
        <v>1</v>
      </c>
      <c r="K61" s="12">
        <f t="shared" si="1"/>
        <v>22.196093695551525</v>
      </c>
      <c r="M61" s="23">
        <v>34.971600000000002</v>
      </c>
      <c r="N61" s="9">
        <v>340</v>
      </c>
      <c r="O61" s="9">
        <v>5712.1298999999999</v>
      </c>
      <c r="P61" s="10">
        <v>1</v>
      </c>
      <c r="Q61" s="13">
        <f t="shared" si="2"/>
        <v>5.9522455888126775E-2</v>
      </c>
      <c r="R61" s="24"/>
      <c r="S61" s="9">
        <v>34.375799999999998</v>
      </c>
      <c r="T61" s="9">
        <v>180</v>
      </c>
      <c r="U61" s="9">
        <v>3492.1563000000001</v>
      </c>
      <c r="V61" s="10">
        <v>1</v>
      </c>
      <c r="W61" s="13">
        <f t="shared" si="3"/>
        <v>5.1544084667687985E-2</v>
      </c>
      <c r="Y61" s="3">
        <v>34.400599999999997</v>
      </c>
      <c r="Z61" s="3">
        <v>362</v>
      </c>
      <c r="AA61" s="3">
        <v>6952.8555999999999</v>
      </c>
      <c r="AB61" s="4">
        <v>1</v>
      </c>
      <c r="AC61" s="3">
        <v>0</v>
      </c>
      <c r="AD61" s="11">
        <f t="shared" si="4"/>
        <v>5.2064938613136165E-2</v>
      </c>
      <c r="AE61" s="17"/>
      <c r="AF61" s="3">
        <v>34.399799999999999</v>
      </c>
      <c r="AG61" s="3">
        <v>316</v>
      </c>
      <c r="AH61" s="3">
        <v>5942.1247000000003</v>
      </c>
      <c r="AI61" s="4">
        <v>1</v>
      </c>
      <c r="AJ61" s="11">
        <f t="shared" si="5"/>
        <v>5.3179631184784797E-2</v>
      </c>
    </row>
    <row r="62" spans="1:36" x14ac:dyDescent="0.4">
      <c r="A62" s="33">
        <v>34.805399999999999</v>
      </c>
      <c r="B62" s="6">
        <v>47234</v>
      </c>
      <c r="C62" s="6">
        <v>4880.1930000000002</v>
      </c>
      <c r="D62" s="7">
        <v>1</v>
      </c>
      <c r="E62" s="12">
        <f t="shared" si="0"/>
        <v>9.6787155753881038</v>
      </c>
      <c r="F62" s="34"/>
      <c r="G62" s="6">
        <v>35.110100000000003</v>
      </c>
      <c r="H62" s="6">
        <v>95142</v>
      </c>
      <c r="I62" s="6">
        <v>4039.3015999999998</v>
      </c>
      <c r="J62" s="7">
        <v>1</v>
      </c>
      <c r="K62" s="12">
        <f t="shared" si="1"/>
        <v>23.554071822713116</v>
      </c>
      <c r="M62" s="23">
        <v>34.9726</v>
      </c>
      <c r="N62" s="9">
        <v>365</v>
      </c>
      <c r="O62" s="9">
        <v>5710.3613999999998</v>
      </c>
      <c r="P62" s="10">
        <v>1</v>
      </c>
      <c r="Q62" s="13">
        <f t="shared" si="2"/>
        <v>6.3918896621849547E-2</v>
      </c>
      <c r="R62" s="24"/>
      <c r="S62" s="9">
        <v>34.376800000000003</v>
      </c>
      <c r="T62" s="9">
        <v>151</v>
      </c>
      <c r="U62" s="9">
        <v>3492.4124000000002</v>
      </c>
      <c r="V62" s="10">
        <v>1</v>
      </c>
      <c r="W62" s="13">
        <f t="shared" si="3"/>
        <v>4.3236589126759484E-2</v>
      </c>
      <c r="Y62" s="3">
        <v>34.401600000000002</v>
      </c>
      <c r="Z62" s="3">
        <v>365</v>
      </c>
      <c r="AA62" s="3">
        <v>6950.0182000000004</v>
      </c>
      <c r="AB62" s="4">
        <v>1</v>
      </c>
      <c r="AC62" s="3">
        <v>0</v>
      </c>
      <c r="AD62" s="11">
        <f t="shared" si="4"/>
        <v>5.2517848082757536E-2</v>
      </c>
      <c r="AE62" s="17"/>
      <c r="AF62" s="3">
        <v>34.400799999999997</v>
      </c>
      <c r="AG62" s="3">
        <v>311</v>
      </c>
      <c r="AH62" s="3">
        <v>5940.5338000000002</v>
      </c>
      <c r="AI62" s="4">
        <v>1</v>
      </c>
      <c r="AJ62" s="11">
        <f t="shared" si="5"/>
        <v>5.2352197709909502E-2</v>
      </c>
    </row>
    <row r="63" spans="1:36" x14ac:dyDescent="0.4">
      <c r="A63" s="33">
        <v>34.806399999999996</v>
      </c>
      <c r="B63" s="6">
        <v>50868</v>
      </c>
      <c r="C63" s="6">
        <v>4876.5168999999996</v>
      </c>
      <c r="D63" s="7">
        <v>1</v>
      </c>
      <c r="E63" s="12">
        <f t="shared" si="0"/>
        <v>10.431215772060588</v>
      </c>
      <c r="F63" s="34"/>
      <c r="G63" s="6">
        <v>35.1111</v>
      </c>
      <c r="H63" s="6">
        <v>101443</v>
      </c>
      <c r="I63" s="6">
        <v>4037.0466999999999</v>
      </c>
      <c r="J63" s="7">
        <v>1</v>
      </c>
      <c r="K63" s="12">
        <f t="shared" si="1"/>
        <v>25.128022422926147</v>
      </c>
      <c r="M63" s="23">
        <v>34.973599999999998</v>
      </c>
      <c r="N63" s="9">
        <v>346</v>
      </c>
      <c r="O63" s="9">
        <v>5706.7335000000003</v>
      </c>
      <c r="P63" s="10">
        <v>1</v>
      </c>
      <c r="Q63" s="13">
        <f t="shared" si="2"/>
        <v>6.0630131054831976E-2</v>
      </c>
      <c r="R63" s="24"/>
      <c r="S63" s="9">
        <v>34.377800000000001</v>
      </c>
      <c r="T63" s="9">
        <v>184</v>
      </c>
      <c r="U63" s="9">
        <v>3492.2846</v>
      </c>
      <c r="V63" s="10">
        <v>1</v>
      </c>
      <c r="W63" s="13">
        <f t="shared" si="3"/>
        <v>5.2687573057476476E-2</v>
      </c>
      <c r="Y63" s="3">
        <v>34.4026</v>
      </c>
      <c r="Z63" s="3">
        <v>399</v>
      </c>
      <c r="AA63" s="3">
        <v>6952.6751000000004</v>
      </c>
      <c r="AB63" s="4">
        <v>1</v>
      </c>
      <c r="AC63" s="3">
        <v>0</v>
      </c>
      <c r="AD63" s="11">
        <f t="shared" si="4"/>
        <v>5.7387982936237016E-2</v>
      </c>
      <c r="AE63" s="17"/>
      <c r="AF63" s="3">
        <v>34.401800000000001</v>
      </c>
      <c r="AG63" s="3">
        <v>333</v>
      </c>
      <c r="AH63" s="3">
        <v>5938.3468000000003</v>
      </c>
      <c r="AI63" s="4">
        <v>1</v>
      </c>
      <c r="AJ63" s="11">
        <f t="shared" si="5"/>
        <v>5.6076212995845913E-2</v>
      </c>
    </row>
    <row r="64" spans="1:36" x14ac:dyDescent="0.4">
      <c r="A64" s="33">
        <v>34.807400000000001</v>
      </c>
      <c r="B64" s="6">
        <v>54108</v>
      </c>
      <c r="C64" s="6">
        <v>4876.7497000000003</v>
      </c>
      <c r="D64" s="7">
        <v>1</v>
      </c>
      <c r="E64" s="12">
        <f t="shared" si="0"/>
        <v>11.095094751325867</v>
      </c>
      <c r="F64" s="34"/>
      <c r="G64" s="6">
        <v>35.112099999999998</v>
      </c>
      <c r="H64" s="6">
        <v>107872</v>
      </c>
      <c r="I64" s="6">
        <v>4027.0853000000002</v>
      </c>
      <c r="J64" s="7">
        <v>1</v>
      </c>
      <c r="K64" s="12">
        <f t="shared" si="1"/>
        <v>26.786619096446753</v>
      </c>
      <c r="M64" s="23">
        <v>34.974600000000002</v>
      </c>
      <c r="N64" s="9">
        <v>351</v>
      </c>
      <c r="O64" s="9">
        <v>5703.7505000000001</v>
      </c>
      <c r="P64" s="10">
        <v>1</v>
      </c>
      <c r="Q64" s="13">
        <f t="shared" si="2"/>
        <v>6.1538456143900404E-2</v>
      </c>
      <c r="R64" s="24"/>
      <c r="S64" s="9">
        <v>34.378799999999998</v>
      </c>
      <c r="T64" s="9">
        <v>199</v>
      </c>
      <c r="U64" s="9">
        <v>3492.4432999999999</v>
      </c>
      <c r="V64" s="10">
        <v>1</v>
      </c>
      <c r="W64" s="13">
        <f t="shared" si="3"/>
        <v>5.698016629217717E-2</v>
      </c>
      <c r="Y64" s="3">
        <v>34.403599999999997</v>
      </c>
      <c r="Z64" s="3">
        <v>454</v>
      </c>
      <c r="AA64" s="3">
        <v>6949.5482000000002</v>
      </c>
      <c r="AB64" s="4">
        <v>1</v>
      </c>
      <c r="AC64" s="3">
        <v>0</v>
      </c>
      <c r="AD64" s="11">
        <f t="shared" si="4"/>
        <v>6.532798779638653E-2</v>
      </c>
      <c r="AE64" s="17"/>
      <c r="AF64" s="3">
        <v>34.402799999999999</v>
      </c>
      <c r="AG64" s="3">
        <v>338</v>
      </c>
      <c r="AH64" s="3">
        <v>5937.9784</v>
      </c>
      <c r="AI64" s="4">
        <v>1</v>
      </c>
      <c r="AJ64" s="11">
        <f t="shared" si="5"/>
        <v>5.6921729455937396E-2</v>
      </c>
    </row>
    <row r="65" spans="1:36" x14ac:dyDescent="0.4">
      <c r="A65" s="33">
        <v>34.808399999999999</v>
      </c>
      <c r="B65" s="6">
        <v>57784</v>
      </c>
      <c r="C65" s="6">
        <v>4873.5819000000001</v>
      </c>
      <c r="D65" s="7">
        <v>1</v>
      </c>
      <c r="E65" s="12">
        <f t="shared" si="0"/>
        <v>11.856577192228984</v>
      </c>
      <c r="F65" s="34"/>
      <c r="G65" s="6">
        <v>35.113100000000003</v>
      </c>
      <c r="H65" s="6">
        <v>116703</v>
      </c>
      <c r="I65" s="6">
        <v>4035.1098000000002</v>
      </c>
      <c r="J65" s="7">
        <v>1</v>
      </c>
      <c r="K65" s="12">
        <f t="shared" si="1"/>
        <v>28.921889560477386</v>
      </c>
      <c r="M65" s="23">
        <v>34.9756</v>
      </c>
      <c r="N65" s="9">
        <v>362</v>
      </c>
      <c r="O65" s="9">
        <v>5700.7183999999997</v>
      </c>
      <c r="P65" s="10">
        <v>1</v>
      </c>
      <c r="Q65" s="13">
        <f t="shared" si="2"/>
        <v>6.3500768604883198E-2</v>
      </c>
      <c r="R65" s="24"/>
      <c r="S65" s="9">
        <v>34.379800000000003</v>
      </c>
      <c r="T65" s="9">
        <v>221</v>
      </c>
      <c r="U65" s="9">
        <v>3492.6565999999998</v>
      </c>
      <c r="V65" s="10">
        <v>1</v>
      </c>
      <c r="W65" s="13">
        <f t="shared" si="3"/>
        <v>6.3275616618020794E-2</v>
      </c>
      <c r="Y65" s="3">
        <v>34.404600000000002</v>
      </c>
      <c r="Z65" s="3">
        <v>451</v>
      </c>
      <c r="AA65" s="3">
        <v>6947.7665999999999</v>
      </c>
      <c r="AB65" s="4">
        <v>1</v>
      </c>
      <c r="AC65" s="3">
        <v>0</v>
      </c>
      <c r="AD65" s="11">
        <f t="shared" si="4"/>
        <v>6.491294626966887E-2</v>
      </c>
      <c r="AE65" s="17"/>
      <c r="AF65" s="3">
        <v>34.403799999999997</v>
      </c>
      <c r="AG65" s="3">
        <v>335</v>
      </c>
      <c r="AH65" s="3">
        <v>5938.0820999999996</v>
      </c>
      <c r="AI65" s="4">
        <v>1</v>
      </c>
      <c r="AJ65" s="11">
        <f t="shared" si="5"/>
        <v>5.6415521772593888E-2</v>
      </c>
    </row>
    <row r="66" spans="1:36" x14ac:dyDescent="0.4">
      <c r="A66" s="33">
        <v>34.809399999999997</v>
      </c>
      <c r="B66" s="6">
        <v>62549</v>
      </c>
      <c r="C66" s="6">
        <v>4872.8823000000002</v>
      </c>
      <c r="D66" s="7">
        <v>1</v>
      </c>
      <c r="E66" s="12">
        <f t="shared" si="0"/>
        <v>12.836140121833026</v>
      </c>
      <c r="F66" s="34"/>
      <c r="G66" s="6">
        <v>35.114100000000001</v>
      </c>
      <c r="H66" s="6">
        <v>124705</v>
      </c>
      <c r="I66" s="6">
        <v>4035.1093000000001</v>
      </c>
      <c r="J66" s="7">
        <v>1</v>
      </c>
      <c r="K66" s="12">
        <f t="shared" si="1"/>
        <v>30.904986885981007</v>
      </c>
      <c r="M66" s="23">
        <v>34.976599999999998</v>
      </c>
      <c r="N66" s="9">
        <v>381</v>
      </c>
      <c r="O66" s="9">
        <v>5692.2470999999996</v>
      </c>
      <c r="P66" s="10">
        <v>1</v>
      </c>
      <c r="Q66" s="13">
        <f t="shared" si="2"/>
        <v>6.6933144908624925E-2</v>
      </c>
      <c r="R66" s="24"/>
      <c r="S66" s="9">
        <v>34.380800000000001</v>
      </c>
      <c r="T66" s="9">
        <v>192</v>
      </c>
      <c r="U66" s="9">
        <v>3490.7595999999999</v>
      </c>
      <c r="V66" s="10">
        <v>1</v>
      </c>
      <c r="W66" s="13">
        <f t="shared" si="3"/>
        <v>5.5002355361280106E-2</v>
      </c>
      <c r="Y66" s="3">
        <v>34.4056</v>
      </c>
      <c r="Z66" s="3">
        <v>438</v>
      </c>
      <c r="AA66" s="3">
        <v>6947.7329</v>
      </c>
      <c r="AB66" s="4">
        <v>1</v>
      </c>
      <c r="AC66" s="3">
        <v>0</v>
      </c>
      <c r="AD66" s="11">
        <f t="shared" si="4"/>
        <v>6.3042147172928886E-2</v>
      </c>
      <c r="AE66" s="17"/>
      <c r="AF66" s="3">
        <v>34.404800000000002</v>
      </c>
      <c r="AG66" s="3">
        <v>376</v>
      </c>
      <c r="AH66" s="3">
        <v>5937.9912000000004</v>
      </c>
      <c r="AI66" s="4">
        <v>1</v>
      </c>
      <c r="AJ66" s="11">
        <f t="shared" si="5"/>
        <v>6.3321077336726261E-2</v>
      </c>
    </row>
    <row r="67" spans="1:36" x14ac:dyDescent="0.4">
      <c r="A67" s="33">
        <v>34.810400000000001</v>
      </c>
      <c r="B67" s="6">
        <v>67139</v>
      </c>
      <c r="C67" s="6">
        <v>4873.5820999999996</v>
      </c>
      <c r="D67" s="7">
        <v>1</v>
      </c>
      <c r="E67" s="12">
        <f t="shared" si="0"/>
        <v>13.776109363172523</v>
      </c>
      <c r="F67" s="34"/>
      <c r="G67" s="6">
        <v>35.115099999999998</v>
      </c>
      <c r="H67" s="6">
        <v>132826</v>
      </c>
      <c r="I67" s="6">
        <v>4036.2136999999998</v>
      </c>
      <c r="J67" s="7">
        <v>1</v>
      </c>
      <c r="K67" s="12">
        <f t="shared" si="1"/>
        <v>32.908564776934384</v>
      </c>
      <c r="M67" s="23">
        <v>34.977600000000002</v>
      </c>
      <c r="N67" s="9">
        <v>411</v>
      </c>
      <c r="O67" s="9">
        <v>5691.6814000000004</v>
      </c>
      <c r="P67" s="10">
        <v>1</v>
      </c>
      <c r="Q67" s="13">
        <f t="shared" si="2"/>
        <v>7.2210647630417263E-2</v>
      </c>
      <c r="R67" s="24"/>
      <c r="S67" s="9">
        <v>34.381799999999998</v>
      </c>
      <c r="T67" s="9">
        <v>203</v>
      </c>
      <c r="U67" s="9">
        <v>3488.9441999999999</v>
      </c>
      <c r="V67" s="10">
        <v>1</v>
      </c>
      <c r="W67" s="13">
        <f t="shared" si="3"/>
        <v>5.8183790958880911E-2</v>
      </c>
      <c r="Y67" s="3">
        <v>34.406599999999997</v>
      </c>
      <c r="Z67" s="3">
        <v>512</v>
      </c>
      <c r="AA67" s="3">
        <v>6946.7942999999996</v>
      </c>
      <c r="AB67" s="4">
        <v>1</v>
      </c>
      <c r="AC67" s="3">
        <v>0</v>
      </c>
      <c r="AD67" s="11">
        <f t="shared" si="4"/>
        <v>7.3703060417378424E-2</v>
      </c>
      <c r="AE67" s="17"/>
      <c r="AF67" s="3">
        <v>34.405799999999999</v>
      </c>
      <c r="AG67" s="3">
        <v>374</v>
      </c>
      <c r="AH67" s="3">
        <v>5939.2883000000002</v>
      </c>
      <c r="AI67" s="4">
        <v>1</v>
      </c>
      <c r="AJ67" s="11">
        <f t="shared" si="5"/>
        <v>6.2970507762689337E-2</v>
      </c>
    </row>
    <row r="68" spans="1:36" x14ac:dyDescent="0.4">
      <c r="A68" s="33">
        <v>34.811399999999999</v>
      </c>
      <c r="B68" s="6">
        <v>71631</v>
      </c>
      <c r="C68" s="6">
        <v>4871.7057000000004</v>
      </c>
      <c r="D68" s="7">
        <v>1</v>
      </c>
      <c r="E68" s="12">
        <f t="shared" si="0"/>
        <v>14.703474390909943</v>
      </c>
      <c r="F68" s="34"/>
      <c r="G68" s="6">
        <v>35.116100000000003</v>
      </c>
      <c r="H68" s="6">
        <v>142664</v>
      </c>
      <c r="I68" s="6">
        <v>4033.5347999999999</v>
      </c>
      <c r="J68" s="7">
        <v>1</v>
      </c>
      <c r="K68" s="12">
        <f t="shared" si="1"/>
        <v>35.369472949632168</v>
      </c>
      <c r="M68" s="23">
        <v>34.9786</v>
      </c>
      <c r="N68" s="9">
        <v>394</v>
      </c>
      <c r="O68" s="9">
        <v>5689.6738999999998</v>
      </c>
      <c r="P68" s="10">
        <v>1</v>
      </c>
      <c r="Q68" s="13">
        <f t="shared" si="2"/>
        <v>6.9248256916797993E-2</v>
      </c>
      <c r="R68" s="24"/>
      <c r="S68" s="9">
        <v>34.382800000000003</v>
      </c>
      <c r="T68" s="9">
        <v>229</v>
      </c>
      <c r="U68" s="9">
        <v>3491.1041</v>
      </c>
      <c r="V68" s="10">
        <v>1</v>
      </c>
      <c r="W68" s="13">
        <f t="shared" si="3"/>
        <v>6.5595294050383654E-2</v>
      </c>
      <c r="Y68" s="3">
        <v>34.407600000000002</v>
      </c>
      <c r="Z68" s="3">
        <v>516</v>
      </c>
      <c r="AA68" s="3">
        <v>6948.7493000000004</v>
      </c>
      <c r="AB68" s="4">
        <v>1</v>
      </c>
      <c r="AC68" s="3">
        <v>0</v>
      </c>
      <c r="AD68" s="11">
        <f t="shared" si="4"/>
        <v>7.4257967545325029E-2</v>
      </c>
      <c r="AE68" s="17"/>
      <c r="AF68" s="3">
        <v>34.406799999999997</v>
      </c>
      <c r="AG68" s="3">
        <v>383</v>
      </c>
      <c r="AH68" s="3">
        <v>5939.4489000000003</v>
      </c>
      <c r="AI68" s="4">
        <v>1</v>
      </c>
      <c r="AJ68" s="11">
        <f t="shared" si="5"/>
        <v>6.4484097169351856E-2</v>
      </c>
    </row>
    <row r="69" spans="1:36" x14ac:dyDescent="0.4">
      <c r="A69" s="33">
        <v>34.812399999999997</v>
      </c>
      <c r="B69" s="6">
        <v>77086</v>
      </c>
      <c r="C69" s="6">
        <v>4869.7938999999997</v>
      </c>
      <c r="D69" s="7">
        <v>1</v>
      </c>
      <c r="E69" s="12">
        <f t="shared" si="0"/>
        <v>15.829417339407321</v>
      </c>
      <c r="F69" s="34"/>
      <c r="G69" s="6">
        <v>35.117100000000001</v>
      </c>
      <c r="H69" s="6">
        <v>152889</v>
      </c>
      <c r="I69" s="6">
        <v>4035.5803000000001</v>
      </c>
      <c r="J69" s="7">
        <v>1</v>
      </c>
      <c r="K69" s="12">
        <f t="shared" si="1"/>
        <v>37.885257790558647</v>
      </c>
      <c r="M69" s="23">
        <v>34.979599999999998</v>
      </c>
      <c r="N69" s="9">
        <v>455</v>
      </c>
      <c r="O69" s="9">
        <v>5695.6575999999995</v>
      </c>
      <c r="P69" s="10">
        <v>1</v>
      </c>
      <c r="Q69" s="13">
        <f t="shared" si="2"/>
        <v>7.9885420078622704E-2</v>
      </c>
      <c r="R69" s="24"/>
      <c r="S69" s="9">
        <v>34.383800000000001</v>
      </c>
      <c r="T69" s="9">
        <v>227</v>
      </c>
      <c r="U69" s="9">
        <v>3490.7293</v>
      </c>
      <c r="V69" s="10">
        <v>1</v>
      </c>
      <c r="W69" s="13">
        <f t="shared" si="3"/>
        <v>6.5029390849642793E-2</v>
      </c>
      <c r="Y69" s="3">
        <v>34.4086</v>
      </c>
      <c r="Z69" s="3">
        <v>505</v>
      </c>
      <c r="AA69" s="3">
        <v>6946.8608999999997</v>
      </c>
      <c r="AB69" s="4">
        <v>1</v>
      </c>
      <c r="AC69" s="3">
        <v>0</v>
      </c>
      <c r="AD69" s="11">
        <f t="shared" si="4"/>
        <v>7.269470445276946E-2</v>
      </c>
      <c r="AE69" s="17"/>
      <c r="AF69" s="3">
        <v>34.407800000000002</v>
      </c>
      <c r="AG69" s="3">
        <v>351</v>
      </c>
      <c r="AH69" s="3">
        <v>5939.2446</v>
      </c>
      <c r="AI69" s="4">
        <v>1</v>
      </c>
      <c r="AJ69" s="11">
        <f t="shared" si="5"/>
        <v>5.9098424739065299E-2</v>
      </c>
    </row>
    <row r="70" spans="1:36" x14ac:dyDescent="0.4">
      <c r="A70" s="33">
        <v>34.813400000000001</v>
      </c>
      <c r="B70" s="6">
        <v>83401</v>
      </c>
      <c r="C70" s="6">
        <v>4869.9690000000001</v>
      </c>
      <c r="D70" s="7">
        <v>1</v>
      </c>
      <c r="E70" s="12">
        <f t="shared" si="0"/>
        <v>17.125571025195438</v>
      </c>
      <c r="F70" s="34"/>
      <c r="G70" s="6">
        <v>35.118099999999998</v>
      </c>
      <c r="H70" s="6">
        <v>163834</v>
      </c>
      <c r="I70" s="6">
        <v>4035.5958000000001</v>
      </c>
      <c r="J70" s="7">
        <v>1</v>
      </c>
      <c r="K70" s="12">
        <f t="shared" si="1"/>
        <v>40.597227304082338</v>
      </c>
      <c r="M70" s="23">
        <v>34.980600000000003</v>
      </c>
      <c r="N70" s="9">
        <v>451</v>
      </c>
      <c r="O70" s="9">
        <v>5697.1588000000002</v>
      </c>
      <c r="P70" s="10">
        <v>1</v>
      </c>
      <c r="Q70" s="13">
        <f t="shared" si="2"/>
        <v>7.9162265935083284E-2</v>
      </c>
      <c r="R70" s="24"/>
      <c r="S70" s="9">
        <v>34.384799999999998</v>
      </c>
      <c r="T70" s="9">
        <v>234</v>
      </c>
      <c r="U70" s="9">
        <v>3489.4090999999999</v>
      </c>
      <c r="V70" s="10">
        <v>1</v>
      </c>
      <c r="W70" s="13">
        <f t="shared" si="3"/>
        <v>6.7060064696913876E-2</v>
      </c>
      <c r="Y70" s="3">
        <v>34.409599999999998</v>
      </c>
      <c r="Z70" s="3">
        <v>541</v>
      </c>
      <c r="AA70" s="3">
        <v>6944.4888000000001</v>
      </c>
      <c r="AB70" s="4">
        <v>1</v>
      </c>
      <c r="AC70" s="3">
        <v>0</v>
      </c>
      <c r="AD70" s="11">
        <f t="shared" si="4"/>
        <v>7.7903502414749373E-2</v>
      </c>
      <c r="AE70" s="17"/>
      <c r="AF70" s="3">
        <v>34.408799999999999</v>
      </c>
      <c r="AG70" s="3">
        <v>408</v>
      </c>
      <c r="AH70" s="3">
        <v>5939.7547999999997</v>
      </c>
      <c r="AI70" s="4">
        <v>1</v>
      </c>
      <c r="AJ70" s="11">
        <f t="shared" si="5"/>
        <v>6.8689704160851892E-2</v>
      </c>
    </row>
    <row r="71" spans="1:36" x14ac:dyDescent="0.4">
      <c r="A71" s="33">
        <v>34.814399999999999</v>
      </c>
      <c r="B71" s="6">
        <v>89726</v>
      </c>
      <c r="C71" s="6">
        <v>4867.9771000000001</v>
      </c>
      <c r="D71" s="7">
        <v>1</v>
      </c>
      <c r="E71" s="12">
        <f t="shared" si="0"/>
        <v>18.431886214090859</v>
      </c>
      <c r="F71" s="34"/>
      <c r="G71" s="6">
        <v>35.119100000000003</v>
      </c>
      <c r="H71" s="6">
        <v>174362</v>
      </c>
      <c r="I71" s="6">
        <v>4012.7123000000001</v>
      </c>
      <c r="J71" s="7">
        <v>1</v>
      </c>
      <c r="K71" s="12">
        <f t="shared" si="1"/>
        <v>43.452404997986022</v>
      </c>
      <c r="M71" s="23">
        <v>34.9816</v>
      </c>
      <c r="N71" s="9">
        <v>449</v>
      </c>
      <c r="O71" s="9">
        <v>5693.7978999999996</v>
      </c>
      <c r="P71" s="10">
        <v>1</v>
      </c>
      <c r="Q71" s="13">
        <f t="shared" si="2"/>
        <v>7.8857733956451112E-2</v>
      </c>
      <c r="R71" s="24"/>
      <c r="S71" s="9">
        <v>34.385800000000003</v>
      </c>
      <c r="T71" s="9">
        <v>220</v>
      </c>
      <c r="U71" s="9">
        <v>3489.6682999999998</v>
      </c>
      <c r="V71" s="10">
        <v>1</v>
      </c>
      <c r="W71" s="13">
        <f t="shared" si="3"/>
        <v>6.304324110116713E-2</v>
      </c>
      <c r="Y71" s="3">
        <v>34.410600000000002</v>
      </c>
      <c r="Z71" s="3">
        <v>546</v>
      </c>
      <c r="AA71" s="3">
        <v>6943.4589999999998</v>
      </c>
      <c r="AB71" s="4">
        <v>1</v>
      </c>
      <c r="AC71" s="3">
        <v>0</v>
      </c>
      <c r="AD71" s="11">
        <f t="shared" si="4"/>
        <v>7.8635158643552153E-2</v>
      </c>
      <c r="AE71" s="17"/>
      <c r="AF71" s="3">
        <v>34.409799999999997</v>
      </c>
      <c r="AG71" s="3">
        <v>404</v>
      </c>
      <c r="AH71" s="3">
        <v>5939.4955</v>
      </c>
      <c r="AI71" s="4">
        <v>1</v>
      </c>
      <c r="AJ71" s="11">
        <f t="shared" si="5"/>
        <v>6.8019245068878326E-2</v>
      </c>
    </row>
    <row r="72" spans="1:36" x14ac:dyDescent="0.4">
      <c r="A72" s="33">
        <v>34.815399999999997</v>
      </c>
      <c r="B72" s="6">
        <v>96912</v>
      </c>
      <c r="C72" s="6">
        <v>4869.3117000000002</v>
      </c>
      <c r="D72" s="7">
        <v>1</v>
      </c>
      <c r="E72" s="12">
        <f t="shared" si="0"/>
        <v>19.902607590308914</v>
      </c>
      <c r="F72" s="34"/>
      <c r="G72" s="6">
        <v>35.120100000000001</v>
      </c>
      <c r="H72" s="6">
        <v>189385</v>
      </c>
      <c r="I72" s="6">
        <v>4037.0664000000002</v>
      </c>
      <c r="J72" s="7">
        <v>1</v>
      </c>
      <c r="K72" s="12">
        <f t="shared" si="1"/>
        <v>46.911539527811577</v>
      </c>
      <c r="M72" s="23">
        <v>34.982599999999998</v>
      </c>
      <c r="N72" s="9">
        <v>418</v>
      </c>
      <c r="O72" s="9">
        <v>5696.8760000000002</v>
      </c>
      <c r="P72" s="10">
        <v>1</v>
      </c>
      <c r="Q72" s="13">
        <f t="shared" si="2"/>
        <v>7.3373547186212223E-2</v>
      </c>
      <c r="R72" s="24"/>
      <c r="S72" s="9">
        <v>34.386800000000001</v>
      </c>
      <c r="T72" s="9">
        <v>216</v>
      </c>
      <c r="U72" s="9">
        <v>3488.7228</v>
      </c>
      <c r="V72" s="10">
        <v>1</v>
      </c>
      <c r="W72" s="13">
        <f t="shared" si="3"/>
        <v>6.1913775436672695E-2</v>
      </c>
      <c r="Y72" s="3">
        <v>34.4116</v>
      </c>
      <c r="Z72" s="3">
        <v>596</v>
      </c>
      <c r="AA72" s="3">
        <v>6940.4843000000001</v>
      </c>
      <c r="AB72" s="4">
        <v>1</v>
      </c>
      <c r="AC72" s="3">
        <v>0</v>
      </c>
      <c r="AD72" s="11">
        <f t="shared" si="4"/>
        <v>8.5872969988564057E-2</v>
      </c>
      <c r="AE72" s="17"/>
      <c r="AF72" s="3">
        <v>34.410800000000002</v>
      </c>
      <c r="AG72" s="3">
        <v>449</v>
      </c>
      <c r="AH72" s="3">
        <v>5940.5388000000003</v>
      </c>
      <c r="AI72" s="4">
        <v>1</v>
      </c>
      <c r="AJ72" s="11">
        <f t="shared" si="5"/>
        <v>7.5582369733869934E-2</v>
      </c>
    </row>
    <row r="73" spans="1:36" x14ac:dyDescent="0.4">
      <c r="A73" s="33">
        <v>34.816400000000002</v>
      </c>
      <c r="B73" s="6">
        <v>104813</v>
      </c>
      <c r="C73" s="6">
        <v>4869.3822</v>
      </c>
      <c r="D73" s="7">
        <v>1</v>
      </c>
      <c r="E73" s="12">
        <f t="shared" si="0"/>
        <v>21.524907204860607</v>
      </c>
      <c r="F73" s="34"/>
      <c r="G73" s="6">
        <v>35.121099999999998</v>
      </c>
      <c r="H73" s="6">
        <v>202292</v>
      </c>
      <c r="I73" s="6">
        <v>4035.1266999999998</v>
      </c>
      <c r="J73" s="7">
        <v>1</v>
      </c>
      <c r="K73" s="12">
        <f t="shared" si="1"/>
        <v>50.132750478442226</v>
      </c>
      <c r="M73" s="23">
        <v>34.983600000000003</v>
      </c>
      <c r="N73" s="9">
        <v>489</v>
      </c>
      <c r="O73" s="9">
        <v>5698.1135999999997</v>
      </c>
      <c r="P73" s="10">
        <v>1</v>
      </c>
      <c r="Q73" s="13">
        <f t="shared" si="2"/>
        <v>8.5817874884066905E-2</v>
      </c>
      <c r="R73" s="24"/>
      <c r="S73" s="9">
        <v>34.387799999999999</v>
      </c>
      <c r="T73" s="9">
        <v>270</v>
      </c>
      <c r="U73" s="9">
        <v>3488.7257</v>
      </c>
      <c r="V73" s="10">
        <v>1</v>
      </c>
      <c r="W73" s="13">
        <f t="shared" si="3"/>
        <v>7.7392154963630416E-2</v>
      </c>
      <c r="Y73" s="3">
        <v>34.412599999999998</v>
      </c>
      <c r="Z73" s="3">
        <v>604</v>
      </c>
      <c r="AA73" s="3">
        <v>6942.0645000000004</v>
      </c>
      <c r="AB73" s="4">
        <v>1</v>
      </c>
      <c r="AC73" s="3">
        <v>0</v>
      </c>
      <c r="AD73" s="11">
        <f t="shared" si="4"/>
        <v>8.7005817937877122E-2</v>
      </c>
      <c r="AE73" s="17"/>
      <c r="AF73" s="3">
        <v>34.411799999999999</v>
      </c>
      <c r="AG73" s="3">
        <v>491</v>
      </c>
      <c r="AH73" s="3">
        <v>5942.5919999999996</v>
      </c>
      <c r="AI73" s="4">
        <v>1</v>
      </c>
      <c r="AJ73" s="11">
        <f t="shared" si="5"/>
        <v>8.2623878603814635E-2</v>
      </c>
    </row>
    <row r="74" spans="1:36" x14ac:dyDescent="0.4">
      <c r="A74" s="33">
        <v>34.817399999999999</v>
      </c>
      <c r="B74" s="6">
        <v>113981</v>
      </c>
      <c r="C74" s="6">
        <v>4870.8212000000003</v>
      </c>
      <c r="D74" s="7">
        <v>1</v>
      </c>
      <c r="E74" s="12">
        <f t="shared" si="0"/>
        <v>23.400776854629768</v>
      </c>
      <c r="F74" s="34"/>
      <c r="G74" s="6">
        <v>35.122100000000003</v>
      </c>
      <c r="H74" s="6">
        <v>217533</v>
      </c>
      <c r="I74" s="6">
        <v>4034.7626</v>
      </c>
      <c r="J74" s="7">
        <v>1</v>
      </c>
      <c r="K74" s="12">
        <f t="shared" si="1"/>
        <v>53.914696245077714</v>
      </c>
      <c r="M74" s="23">
        <v>34.9846</v>
      </c>
      <c r="N74" s="9">
        <v>516</v>
      </c>
      <c r="O74" s="9">
        <v>5697.0024999999996</v>
      </c>
      <c r="P74" s="10">
        <v>1</v>
      </c>
      <c r="Q74" s="13">
        <f t="shared" si="2"/>
        <v>9.0573946562249194E-2</v>
      </c>
      <c r="R74" s="24"/>
      <c r="S74" s="9">
        <v>34.388800000000003</v>
      </c>
      <c r="T74" s="9">
        <v>261</v>
      </c>
      <c r="U74" s="9">
        <v>3489.7734999999998</v>
      </c>
      <c r="V74" s="10">
        <v>1</v>
      </c>
      <c r="W74" s="13">
        <f t="shared" si="3"/>
        <v>7.4789954133126405E-2</v>
      </c>
      <c r="Y74" s="3">
        <v>34.413600000000002</v>
      </c>
      <c r="Z74" s="3">
        <v>608</v>
      </c>
      <c r="AA74" s="3">
        <v>6941.4477999999999</v>
      </c>
      <c r="AB74" s="4">
        <v>1</v>
      </c>
      <c r="AC74" s="3">
        <v>0</v>
      </c>
      <c r="AD74" s="11">
        <f t="shared" si="4"/>
        <v>8.7589796468684825E-2</v>
      </c>
      <c r="AE74" s="17"/>
      <c r="AF74" s="3">
        <v>34.412799999999997</v>
      </c>
      <c r="AG74" s="3">
        <v>459</v>
      </c>
      <c r="AH74" s="3">
        <v>5941.2628999999997</v>
      </c>
      <c r="AI74" s="4">
        <v>1</v>
      </c>
      <c r="AJ74" s="11">
        <f t="shared" si="5"/>
        <v>7.7256301854610743E-2</v>
      </c>
    </row>
    <row r="75" spans="1:36" x14ac:dyDescent="0.4">
      <c r="A75" s="33">
        <v>34.818399999999997</v>
      </c>
      <c r="B75" s="6">
        <v>122343</v>
      </c>
      <c r="C75" s="6">
        <v>4866.0059000000001</v>
      </c>
      <c r="D75" s="7">
        <v>1</v>
      </c>
      <c r="E75" s="12">
        <f t="shared" si="0"/>
        <v>25.142386284406271</v>
      </c>
      <c r="F75" s="34"/>
      <c r="G75" s="6">
        <v>35.123100000000001</v>
      </c>
      <c r="H75" s="6">
        <v>233634</v>
      </c>
      <c r="I75" s="6">
        <v>4033.85</v>
      </c>
      <c r="J75" s="7">
        <v>1</v>
      </c>
      <c r="K75" s="12">
        <f t="shared" si="1"/>
        <v>57.918365829170646</v>
      </c>
      <c r="M75" s="23">
        <v>34.985599999999998</v>
      </c>
      <c r="N75" s="9">
        <v>545</v>
      </c>
      <c r="O75" s="9">
        <v>5697.9044000000004</v>
      </c>
      <c r="P75" s="10">
        <v>1</v>
      </c>
      <c r="Q75" s="13">
        <f t="shared" si="2"/>
        <v>9.5649200432355447E-2</v>
      </c>
      <c r="R75" s="24"/>
      <c r="S75" s="9">
        <v>34.389800000000001</v>
      </c>
      <c r="T75" s="9">
        <v>302</v>
      </c>
      <c r="U75" s="9">
        <v>3487.8651</v>
      </c>
      <c r="V75" s="10">
        <v>1</v>
      </c>
      <c r="W75" s="13">
        <f t="shared" si="3"/>
        <v>8.658591755741929E-2</v>
      </c>
      <c r="Y75" s="3">
        <v>34.4146</v>
      </c>
      <c r="Z75" s="3">
        <v>639</v>
      </c>
      <c r="AA75" s="3">
        <v>6936.5765000000001</v>
      </c>
      <c r="AB75" s="4">
        <v>1</v>
      </c>
      <c r="AC75" s="3">
        <v>0</v>
      </c>
      <c r="AD75" s="11">
        <f t="shared" si="4"/>
        <v>9.2120370906310908E-2</v>
      </c>
      <c r="AE75" s="17"/>
      <c r="AF75" s="3">
        <v>34.413800000000002</v>
      </c>
      <c r="AG75" s="3">
        <v>498</v>
      </c>
      <c r="AH75" s="3">
        <v>5941.1332000000002</v>
      </c>
      <c r="AI75" s="4">
        <v>1</v>
      </c>
      <c r="AJ75" s="11">
        <f t="shared" si="5"/>
        <v>8.382239267081236E-2</v>
      </c>
    </row>
    <row r="76" spans="1:36" x14ac:dyDescent="0.4">
      <c r="A76" s="33">
        <v>34.819400000000002</v>
      </c>
      <c r="B76" s="6">
        <v>132471</v>
      </c>
      <c r="C76" s="6">
        <v>4865.3719000000001</v>
      </c>
      <c r="D76" s="7">
        <v>1</v>
      </c>
      <c r="E76" s="12">
        <f t="shared" si="0"/>
        <v>27.227312263631891</v>
      </c>
      <c r="F76" s="34"/>
      <c r="G76" s="6">
        <v>35.124099999999999</v>
      </c>
      <c r="H76" s="6">
        <v>251485</v>
      </c>
      <c r="I76" s="6">
        <v>4036.0664999999999</v>
      </c>
      <c r="J76" s="7">
        <v>1</v>
      </c>
      <c r="K76" s="12">
        <f t="shared" si="1"/>
        <v>62.309429242555844</v>
      </c>
      <c r="M76" s="23">
        <v>34.986600000000003</v>
      </c>
      <c r="N76" s="9">
        <v>555</v>
      </c>
      <c r="O76" s="9">
        <v>5699.3977999999997</v>
      </c>
      <c r="P76" s="10">
        <v>1</v>
      </c>
      <c r="Q76" s="13">
        <f t="shared" si="2"/>
        <v>9.7378709027820448E-2</v>
      </c>
      <c r="R76" s="24"/>
      <c r="S76" s="9">
        <v>34.390799999999999</v>
      </c>
      <c r="T76" s="9">
        <v>280</v>
      </c>
      <c r="U76" s="9">
        <v>3489.0581999999999</v>
      </c>
      <c r="V76" s="10">
        <v>1</v>
      </c>
      <c r="W76" s="13">
        <f t="shared" si="3"/>
        <v>8.0250882602072957E-2</v>
      </c>
      <c r="Y76" s="3">
        <v>34.415599999999998</v>
      </c>
      <c r="Z76" s="3">
        <v>664</v>
      </c>
      <c r="AA76" s="3">
        <v>6935.5203000000001</v>
      </c>
      <c r="AB76" s="4">
        <v>1</v>
      </c>
      <c r="AC76" s="3">
        <v>0</v>
      </c>
      <c r="AD76" s="11">
        <f t="shared" si="4"/>
        <v>9.5739032008889086E-2</v>
      </c>
      <c r="AE76" s="17"/>
      <c r="AF76" s="3">
        <v>34.4148</v>
      </c>
      <c r="AG76" s="3">
        <v>511</v>
      </c>
      <c r="AH76" s="3">
        <v>5938.7307000000001</v>
      </c>
      <c r="AI76" s="4">
        <v>1</v>
      </c>
      <c r="AJ76" s="11">
        <f t="shared" si="5"/>
        <v>8.6045322782526579E-2</v>
      </c>
    </row>
    <row r="77" spans="1:36" x14ac:dyDescent="0.4">
      <c r="A77" s="33">
        <v>34.820399999999999</v>
      </c>
      <c r="B77" s="6">
        <v>143356</v>
      </c>
      <c r="C77" s="6">
        <v>4865.1189999999997</v>
      </c>
      <c r="D77" s="7">
        <v>1</v>
      </c>
      <c r="E77" s="12">
        <f t="shared" si="0"/>
        <v>29.466082946789175</v>
      </c>
      <c r="F77" s="34"/>
      <c r="G77" s="6">
        <v>35.125100000000003</v>
      </c>
      <c r="H77" s="6">
        <v>272204</v>
      </c>
      <c r="I77" s="6">
        <v>4034.7917000000002</v>
      </c>
      <c r="J77" s="7">
        <v>1</v>
      </c>
      <c r="K77" s="12">
        <f t="shared" si="1"/>
        <v>67.464201435727148</v>
      </c>
      <c r="M77" s="23">
        <v>34.9876</v>
      </c>
      <c r="N77" s="9">
        <v>509</v>
      </c>
      <c r="O77" s="9">
        <v>5697.6405000000004</v>
      </c>
      <c r="P77" s="10">
        <v>1</v>
      </c>
      <c r="Q77" s="13">
        <f t="shared" si="2"/>
        <v>8.933522569561908E-2</v>
      </c>
      <c r="R77" s="24"/>
      <c r="S77" s="9">
        <v>34.391800000000003</v>
      </c>
      <c r="T77" s="9">
        <v>292</v>
      </c>
      <c r="U77" s="9">
        <v>3489.8705</v>
      </c>
      <c r="V77" s="10">
        <v>1</v>
      </c>
      <c r="W77" s="13">
        <f t="shared" si="3"/>
        <v>8.3670726463918932E-2</v>
      </c>
      <c r="Y77" s="3">
        <v>34.416600000000003</v>
      </c>
      <c r="Z77" s="3">
        <v>735</v>
      </c>
      <c r="AA77" s="3">
        <v>6935.2064</v>
      </c>
      <c r="AB77" s="4">
        <v>1</v>
      </c>
      <c r="AC77" s="3">
        <v>0</v>
      </c>
      <c r="AD77" s="11">
        <f t="shared" si="4"/>
        <v>0.10598098421411077</v>
      </c>
      <c r="AE77" s="17"/>
      <c r="AF77" s="3">
        <v>34.415799999999997</v>
      </c>
      <c r="AG77" s="3">
        <v>497</v>
      </c>
      <c r="AH77" s="3">
        <v>5938.1009000000004</v>
      </c>
      <c r="AI77" s="4">
        <v>1</v>
      </c>
      <c r="AJ77" s="11">
        <f t="shared" si="5"/>
        <v>8.3696792690066954E-2</v>
      </c>
    </row>
    <row r="78" spans="1:36" x14ac:dyDescent="0.4">
      <c r="A78" s="33">
        <v>34.821399999999997</v>
      </c>
      <c r="B78" s="6">
        <v>155227</v>
      </c>
      <c r="C78" s="6">
        <v>4861.2326000000003</v>
      </c>
      <c r="D78" s="7">
        <v>1</v>
      </c>
      <c r="E78" s="12">
        <f t="shared" si="0"/>
        <v>31.931613393689492</v>
      </c>
      <c r="F78" s="34"/>
      <c r="G78" s="6">
        <v>35.126100000000001</v>
      </c>
      <c r="H78" s="6">
        <v>293971</v>
      </c>
      <c r="I78" s="6">
        <v>4029.0666999999999</v>
      </c>
      <c r="J78" s="7">
        <v>1</v>
      </c>
      <c r="K78" s="12">
        <f t="shared" si="1"/>
        <v>72.962554826903215</v>
      </c>
      <c r="M78" s="23">
        <v>34.988599999999998</v>
      </c>
      <c r="N78" s="9">
        <v>584</v>
      </c>
      <c r="O78" s="9">
        <v>5696.6706000000004</v>
      </c>
      <c r="P78" s="10">
        <v>1</v>
      </c>
      <c r="Q78" s="13">
        <f t="shared" si="2"/>
        <v>0.10251602049800808</v>
      </c>
      <c r="R78" s="24"/>
      <c r="S78" s="9">
        <v>34.392800000000001</v>
      </c>
      <c r="T78" s="9">
        <v>282</v>
      </c>
      <c r="U78" s="9">
        <v>3488.3099000000002</v>
      </c>
      <c r="V78" s="10">
        <v>1</v>
      </c>
      <c r="W78" s="13">
        <f t="shared" si="3"/>
        <v>8.0841441295109701E-2</v>
      </c>
      <c r="Y78" s="3">
        <v>34.4176</v>
      </c>
      <c r="Z78" s="3">
        <v>697</v>
      </c>
      <c r="AA78" s="3">
        <v>6934.9501</v>
      </c>
      <c r="AB78" s="4">
        <v>1</v>
      </c>
      <c r="AC78" s="3">
        <v>0</v>
      </c>
      <c r="AD78" s="11">
        <f t="shared" si="4"/>
        <v>0.10050540954865703</v>
      </c>
      <c r="AE78" s="17"/>
      <c r="AF78" s="3">
        <v>34.416800000000002</v>
      </c>
      <c r="AG78" s="3">
        <v>558</v>
      </c>
      <c r="AH78" s="3">
        <v>5935.0843999999997</v>
      </c>
      <c r="AI78" s="4">
        <v>1</v>
      </c>
      <c r="AJ78" s="11">
        <f t="shared" si="5"/>
        <v>9.4017197126969251E-2</v>
      </c>
    </row>
    <row r="79" spans="1:36" x14ac:dyDescent="0.4">
      <c r="A79" s="33">
        <v>34.822400000000002</v>
      </c>
      <c r="B79" s="6">
        <v>167084</v>
      </c>
      <c r="C79" s="6">
        <v>4858.7137000000002</v>
      </c>
      <c r="D79" s="7">
        <v>1</v>
      </c>
      <c r="E79" s="12">
        <f t="shared" si="0"/>
        <v>34.388525506246644</v>
      </c>
      <c r="F79" s="34"/>
      <c r="G79" s="6">
        <v>35.127099999999999</v>
      </c>
      <c r="H79" s="6">
        <v>319187</v>
      </c>
      <c r="I79" s="6">
        <v>4035.6563000000001</v>
      </c>
      <c r="J79" s="7">
        <v>1</v>
      </c>
      <c r="K79" s="12">
        <f t="shared" si="1"/>
        <v>79.091720471835032</v>
      </c>
      <c r="M79" s="23">
        <v>34.989600000000003</v>
      </c>
      <c r="N79" s="9">
        <v>620</v>
      </c>
      <c r="O79" s="9">
        <v>5695.8977999999997</v>
      </c>
      <c r="P79" s="10">
        <v>1</v>
      </c>
      <c r="Q79" s="13">
        <f t="shared" si="2"/>
        <v>0.10885026764349599</v>
      </c>
      <c r="R79" s="24"/>
      <c r="S79" s="9">
        <v>34.393799999999999</v>
      </c>
      <c r="T79" s="9">
        <v>312</v>
      </c>
      <c r="U79" s="9">
        <v>3486.8573000000001</v>
      </c>
      <c r="V79" s="10">
        <v>1</v>
      </c>
      <c r="W79" s="13">
        <f t="shared" si="3"/>
        <v>8.9478855357803144E-2</v>
      </c>
      <c r="Y79" s="3">
        <v>34.418599999999998</v>
      </c>
      <c r="Z79" s="3">
        <v>716</v>
      </c>
      <c r="AA79" s="3">
        <v>6931.8018000000002</v>
      </c>
      <c r="AB79" s="4">
        <v>1</v>
      </c>
      <c r="AC79" s="3">
        <v>0</v>
      </c>
      <c r="AD79" s="11">
        <f t="shared" si="4"/>
        <v>0.10329204738658281</v>
      </c>
      <c r="AE79" s="17"/>
      <c r="AF79" s="3">
        <v>34.4178</v>
      </c>
      <c r="AG79" s="3">
        <v>576</v>
      </c>
      <c r="AH79" s="3">
        <v>5933.5769</v>
      </c>
      <c r="AI79" s="4">
        <v>1</v>
      </c>
      <c r="AJ79" s="11">
        <f t="shared" si="5"/>
        <v>9.7074666715788252E-2</v>
      </c>
    </row>
    <row r="80" spans="1:36" x14ac:dyDescent="0.4">
      <c r="A80" s="33">
        <v>34.823399999999999</v>
      </c>
      <c r="B80" s="6">
        <v>182732</v>
      </c>
      <c r="C80" s="6">
        <v>4857.8512000000001</v>
      </c>
      <c r="D80" s="7">
        <v>1</v>
      </c>
      <c r="E80" s="12">
        <f t="shared" si="0"/>
        <v>37.61580840516482</v>
      </c>
      <c r="F80" s="34"/>
      <c r="G80" s="6">
        <v>35.128100000000003</v>
      </c>
      <c r="H80" s="6">
        <v>346753</v>
      </c>
      <c r="I80" s="6">
        <v>4034.8530000000001</v>
      </c>
      <c r="J80" s="7">
        <v>1</v>
      </c>
      <c r="K80" s="12">
        <f t="shared" si="1"/>
        <v>85.939438190189335</v>
      </c>
      <c r="M80" s="23">
        <v>34.990600000000001</v>
      </c>
      <c r="N80" s="9">
        <v>595</v>
      </c>
      <c r="O80" s="9">
        <v>5692.5582999999997</v>
      </c>
      <c r="P80" s="10">
        <v>1</v>
      </c>
      <c r="Q80" s="13">
        <f t="shared" si="2"/>
        <v>0.10452242535662745</v>
      </c>
      <c r="R80" s="24"/>
      <c r="S80" s="9">
        <v>34.394799999999996</v>
      </c>
      <c r="T80" s="9">
        <v>316</v>
      </c>
      <c r="U80" s="9">
        <v>3488.1142</v>
      </c>
      <c r="V80" s="10">
        <v>1</v>
      </c>
      <c r="W80" s="13">
        <f t="shared" si="3"/>
        <v>9.0593364173684451E-2</v>
      </c>
      <c r="Y80" s="3">
        <v>34.419600000000003</v>
      </c>
      <c r="Z80" s="3">
        <v>732</v>
      </c>
      <c r="AA80" s="3">
        <v>6929.0571</v>
      </c>
      <c r="AB80" s="4">
        <v>1</v>
      </c>
      <c r="AC80" s="3">
        <v>0</v>
      </c>
      <c r="AD80" s="11">
        <f t="shared" si="4"/>
        <v>0.10564207935304791</v>
      </c>
      <c r="AE80" s="17"/>
      <c r="AF80" s="3">
        <v>34.418799999999997</v>
      </c>
      <c r="AG80" s="3">
        <v>574</v>
      </c>
      <c r="AH80" s="3">
        <v>5932.6436999999996</v>
      </c>
      <c r="AI80" s="4">
        <v>1</v>
      </c>
      <c r="AJ80" s="11">
        <f t="shared" si="5"/>
        <v>9.6752818646432454E-2</v>
      </c>
    </row>
    <row r="81" spans="1:36" x14ac:dyDescent="0.4">
      <c r="A81" s="33">
        <v>34.824399999999997</v>
      </c>
      <c r="B81" s="6">
        <v>198026</v>
      </c>
      <c r="C81" s="6">
        <v>4850.9838</v>
      </c>
      <c r="D81" s="7">
        <v>1</v>
      </c>
      <c r="E81" s="12">
        <f t="shared" si="0"/>
        <v>40.821822575453666</v>
      </c>
      <c r="F81" s="34"/>
      <c r="G81" s="6">
        <v>35.129100000000001</v>
      </c>
      <c r="H81" s="6">
        <v>377598</v>
      </c>
      <c r="I81" s="6">
        <v>4035.1345000000001</v>
      </c>
      <c r="J81" s="7">
        <v>1</v>
      </c>
      <c r="K81" s="12">
        <f t="shared" si="1"/>
        <v>93.577549893318306</v>
      </c>
      <c r="M81" s="23">
        <v>34.991599999999998</v>
      </c>
      <c r="N81" s="9">
        <v>645</v>
      </c>
      <c r="O81" s="9">
        <v>5696.2370000000001</v>
      </c>
      <c r="P81" s="10">
        <v>1</v>
      </c>
      <c r="Q81" s="13">
        <f t="shared" si="2"/>
        <v>0.11323264814999798</v>
      </c>
      <c r="R81" s="24"/>
      <c r="S81" s="9">
        <v>34.395800000000001</v>
      </c>
      <c r="T81" s="9">
        <v>365</v>
      </c>
      <c r="U81" s="9">
        <v>3489.0396000000001</v>
      </c>
      <c r="V81" s="10">
        <v>1</v>
      </c>
      <c r="W81" s="13">
        <f t="shared" si="3"/>
        <v>0.10461331536621138</v>
      </c>
      <c r="Y81" s="3">
        <v>34.4206</v>
      </c>
      <c r="Z81" s="3">
        <v>797</v>
      </c>
      <c r="AA81" s="3">
        <v>6930.9287999999997</v>
      </c>
      <c r="AB81" s="4">
        <v>1</v>
      </c>
      <c r="AC81" s="3">
        <v>0</v>
      </c>
      <c r="AD81" s="11">
        <f t="shared" si="4"/>
        <v>0.11499180311879702</v>
      </c>
      <c r="AE81" s="17"/>
      <c r="AF81" s="3">
        <v>34.419800000000002</v>
      </c>
      <c r="AG81" s="3">
        <v>596</v>
      </c>
      <c r="AH81" s="3">
        <v>5929.1259</v>
      </c>
      <c r="AI81" s="4">
        <v>1</v>
      </c>
      <c r="AJ81" s="11">
        <f t="shared" si="5"/>
        <v>0.1005207192513824</v>
      </c>
    </row>
    <row r="82" spans="1:36" x14ac:dyDescent="0.4">
      <c r="A82" s="33">
        <v>34.825400000000002</v>
      </c>
      <c r="B82" s="6">
        <v>214903</v>
      </c>
      <c r="C82" s="6">
        <v>4848.1575999999995</v>
      </c>
      <c r="D82" s="7">
        <v>1</v>
      </c>
      <c r="E82" s="12">
        <f t="shared" si="0"/>
        <v>44.326735583018177</v>
      </c>
      <c r="F82" s="34"/>
      <c r="G82" s="6">
        <v>35.130099999999999</v>
      </c>
      <c r="H82" s="6">
        <v>408774</v>
      </c>
      <c r="I82" s="6">
        <v>4033.8323</v>
      </c>
      <c r="J82" s="7">
        <v>1</v>
      </c>
      <c r="K82" s="12">
        <f t="shared" si="1"/>
        <v>101.33638921975016</v>
      </c>
      <c r="M82" s="23">
        <v>34.992600000000003</v>
      </c>
      <c r="N82" s="9">
        <v>723</v>
      </c>
      <c r="O82" s="9">
        <v>5692.1072000000004</v>
      </c>
      <c r="P82" s="10">
        <v>1</v>
      </c>
      <c r="Q82" s="13">
        <f t="shared" si="2"/>
        <v>0.12701798729300107</v>
      </c>
      <c r="R82" s="24"/>
      <c r="S82" s="9">
        <v>34.396799999999999</v>
      </c>
      <c r="T82" s="9">
        <v>313</v>
      </c>
      <c r="U82" s="9">
        <v>3487.9529000000002</v>
      </c>
      <c r="V82" s="10">
        <v>1</v>
      </c>
      <c r="W82" s="13">
        <f t="shared" si="3"/>
        <v>8.9737450296418844E-2</v>
      </c>
      <c r="Y82" s="3">
        <v>34.421599999999998</v>
      </c>
      <c r="Z82" s="3">
        <v>838</v>
      </c>
      <c r="AA82" s="3">
        <v>6929.9627</v>
      </c>
      <c r="AB82" s="4">
        <v>1</v>
      </c>
      <c r="AC82" s="3">
        <v>0</v>
      </c>
      <c r="AD82" s="11">
        <f t="shared" si="4"/>
        <v>0.12092417178522476</v>
      </c>
      <c r="AE82" s="17"/>
      <c r="AF82" s="3">
        <v>34.4208</v>
      </c>
      <c r="AG82" s="3">
        <v>657</v>
      </c>
      <c r="AH82" s="3">
        <v>5929.7344999999996</v>
      </c>
      <c r="AI82" s="4">
        <v>1</v>
      </c>
      <c r="AJ82" s="11">
        <f t="shared" si="5"/>
        <v>0.11079754076679151</v>
      </c>
    </row>
    <row r="83" spans="1:36" x14ac:dyDescent="0.4">
      <c r="A83" s="33">
        <v>34.8264</v>
      </c>
      <c r="B83" s="6">
        <v>234407</v>
      </c>
      <c r="C83" s="6">
        <v>4842.7359999999999</v>
      </c>
      <c r="D83" s="7">
        <v>1</v>
      </c>
      <c r="E83" s="12">
        <f t="shared" si="0"/>
        <v>48.403836178556915</v>
      </c>
      <c r="F83" s="34"/>
      <c r="G83" s="6">
        <v>35.131100000000004</v>
      </c>
      <c r="H83" s="6">
        <v>447678</v>
      </c>
      <c r="I83" s="6">
        <v>4032.8998000000001</v>
      </c>
      <c r="J83" s="7">
        <v>1</v>
      </c>
      <c r="K83" s="12">
        <f t="shared" si="1"/>
        <v>111.00647727473913</v>
      </c>
      <c r="M83" s="23">
        <v>34.993600000000001</v>
      </c>
      <c r="N83" s="9">
        <v>728</v>
      </c>
      <c r="O83" s="9">
        <v>5693.0137999999997</v>
      </c>
      <c r="P83" s="10">
        <v>1</v>
      </c>
      <c r="Q83" s="13">
        <f t="shared" si="2"/>
        <v>0.12787602938886256</v>
      </c>
      <c r="R83" s="24"/>
      <c r="S83" s="9">
        <v>34.397799999999997</v>
      </c>
      <c r="T83" s="9">
        <v>373</v>
      </c>
      <c r="U83" s="9">
        <v>3486.6273999999999</v>
      </c>
      <c r="V83" s="10">
        <v>1</v>
      </c>
      <c r="W83" s="13">
        <f t="shared" si="3"/>
        <v>0.10698017230060201</v>
      </c>
      <c r="Y83" s="3">
        <v>34.422600000000003</v>
      </c>
      <c r="Z83" s="3">
        <v>829</v>
      </c>
      <c r="AA83" s="3">
        <v>6929.4712</v>
      </c>
      <c r="AB83" s="4">
        <v>1</v>
      </c>
      <c r="AC83" s="3">
        <v>0</v>
      </c>
      <c r="AD83" s="11">
        <f t="shared" si="4"/>
        <v>0.11963394840287381</v>
      </c>
      <c r="AE83" s="17"/>
      <c r="AF83" s="3">
        <v>34.421799999999998</v>
      </c>
      <c r="AG83" s="3">
        <v>674</v>
      </c>
      <c r="AH83" s="3">
        <v>5926.6215000000002</v>
      </c>
      <c r="AI83" s="4">
        <v>1</v>
      </c>
      <c r="AJ83" s="11">
        <f t="shared" si="5"/>
        <v>0.11372415127235642</v>
      </c>
    </row>
    <row r="84" spans="1:36" x14ac:dyDescent="0.4">
      <c r="A84" s="33">
        <v>34.827399999999997</v>
      </c>
      <c r="B84" s="6">
        <v>254933</v>
      </c>
      <c r="C84" s="6">
        <v>4840.2749999999996</v>
      </c>
      <c r="D84" s="7">
        <v>1</v>
      </c>
      <c r="E84" s="12">
        <f t="shared" si="0"/>
        <v>52.669114874671379</v>
      </c>
      <c r="F84" s="34"/>
      <c r="G84" s="6">
        <v>35.132100000000001</v>
      </c>
      <c r="H84" s="6">
        <v>488102</v>
      </c>
      <c r="I84" s="6">
        <v>4031.6324</v>
      </c>
      <c r="J84" s="7">
        <v>1</v>
      </c>
      <c r="K84" s="12">
        <f t="shared" si="1"/>
        <v>121.06808150465305</v>
      </c>
      <c r="M84" s="23">
        <v>34.994599999999998</v>
      </c>
      <c r="N84" s="9">
        <v>731</v>
      </c>
      <c r="O84" s="9">
        <v>5692.0409</v>
      </c>
      <c r="P84" s="10">
        <v>1</v>
      </c>
      <c r="Q84" s="13">
        <f t="shared" si="2"/>
        <v>0.12842493805692787</v>
      </c>
      <c r="R84" s="24"/>
      <c r="S84" s="9">
        <v>34.398800000000001</v>
      </c>
      <c r="T84" s="9">
        <v>406</v>
      </c>
      <c r="U84" s="9">
        <v>3486.0351999999998</v>
      </c>
      <c r="V84" s="10">
        <v>1</v>
      </c>
      <c r="W84" s="13">
        <f t="shared" si="3"/>
        <v>0.1164646874477917</v>
      </c>
      <c r="Y84" s="3">
        <v>34.4236</v>
      </c>
      <c r="Z84" s="3">
        <v>934</v>
      </c>
      <c r="AA84" s="3">
        <v>6927.7658000000001</v>
      </c>
      <c r="AB84" s="4">
        <v>1</v>
      </c>
      <c r="AC84" s="3">
        <v>0</v>
      </c>
      <c r="AD84" s="11">
        <f t="shared" si="4"/>
        <v>0.13481980005732871</v>
      </c>
      <c r="AE84" s="17"/>
      <c r="AF84" s="3">
        <v>34.422800000000002</v>
      </c>
      <c r="AG84" s="3">
        <v>696</v>
      </c>
      <c r="AH84" s="3">
        <v>5921.4162999999999</v>
      </c>
      <c r="AI84" s="4">
        <v>1</v>
      </c>
      <c r="AJ84" s="11">
        <f t="shared" si="5"/>
        <v>0.11753944744604429</v>
      </c>
    </row>
    <row r="85" spans="1:36" x14ac:dyDescent="0.4">
      <c r="A85" s="33">
        <v>34.828400000000002</v>
      </c>
      <c r="B85" s="6">
        <v>278372</v>
      </c>
      <c r="C85" s="6">
        <v>4832.1572999999999</v>
      </c>
      <c r="D85" s="7">
        <v>1</v>
      </c>
      <c r="E85" s="12">
        <f t="shared" ref="E85:E148" si="6">B85/C85*D85</f>
        <v>57.608223970689032</v>
      </c>
      <c r="F85" s="34"/>
      <c r="G85" s="6">
        <v>35.133099999999999</v>
      </c>
      <c r="H85" s="6">
        <v>533763</v>
      </c>
      <c r="I85" s="6">
        <v>4029.4076</v>
      </c>
      <c r="J85" s="7">
        <v>1</v>
      </c>
      <c r="K85" s="12">
        <f t="shared" ref="K85:K148" si="7">H85/I85*J85</f>
        <v>132.46686684166676</v>
      </c>
      <c r="M85" s="23">
        <v>34.995600000000003</v>
      </c>
      <c r="N85" s="9">
        <v>793</v>
      </c>
      <c r="O85" s="9">
        <v>5693.1815999999999</v>
      </c>
      <c r="P85" s="10">
        <v>1</v>
      </c>
      <c r="Q85" s="13">
        <f t="shared" ref="Q85:Q148" si="8">(N85/O85)*P85</f>
        <v>0.13928942649572254</v>
      </c>
      <c r="R85" s="24"/>
      <c r="S85" s="9">
        <v>34.399799999999999</v>
      </c>
      <c r="T85" s="9">
        <v>388</v>
      </c>
      <c r="U85" s="9">
        <v>3484.4533000000001</v>
      </c>
      <c r="V85" s="10">
        <v>1</v>
      </c>
      <c r="W85" s="13">
        <f t="shared" ref="W85:W148" si="9">T85/U85*V85</f>
        <v>0.11135175782094711</v>
      </c>
      <c r="Y85" s="3">
        <v>34.424599999999998</v>
      </c>
      <c r="Z85" s="3">
        <v>918</v>
      </c>
      <c r="AA85" s="3">
        <v>6926.7021999999997</v>
      </c>
      <c r="AB85" s="4">
        <v>1</v>
      </c>
      <c r="AC85" s="3">
        <v>0</v>
      </c>
      <c r="AD85" s="11">
        <f t="shared" ref="AD85:AD148" si="10">Z85/AA85*AB85</f>
        <v>0.132530600203947</v>
      </c>
      <c r="AE85" s="17"/>
      <c r="AF85" s="3">
        <v>34.4238</v>
      </c>
      <c r="AG85" s="3">
        <v>659</v>
      </c>
      <c r="AH85" s="3">
        <v>5919.7519000000002</v>
      </c>
      <c r="AI85" s="4">
        <v>1</v>
      </c>
      <c r="AJ85" s="11">
        <f t="shared" ref="AJ85:AJ148" si="11">AG85/AH85*AI85</f>
        <v>0.11132223294695846</v>
      </c>
    </row>
    <row r="86" spans="1:36" x14ac:dyDescent="0.4">
      <c r="A86" s="33">
        <v>34.8294</v>
      </c>
      <c r="B86" s="6">
        <v>303415</v>
      </c>
      <c r="C86" s="6">
        <v>4826.0491000000002</v>
      </c>
      <c r="D86" s="7">
        <v>1</v>
      </c>
      <c r="E86" s="12">
        <f t="shared" si="6"/>
        <v>62.870267938218859</v>
      </c>
      <c r="F86" s="34"/>
      <c r="G86" s="6">
        <v>35.134099999999997</v>
      </c>
      <c r="H86" s="6">
        <v>583404</v>
      </c>
      <c r="I86" s="6">
        <v>4028.0297</v>
      </c>
      <c r="J86" s="7">
        <v>1</v>
      </c>
      <c r="K86" s="12">
        <f t="shared" si="7"/>
        <v>144.83607208755188</v>
      </c>
      <c r="M86" s="23">
        <v>34.996600000000001</v>
      </c>
      <c r="N86" s="9">
        <v>806</v>
      </c>
      <c r="O86" s="9">
        <v>5694.9522999999999</v>
      </c>
      <c r="P86" s="10">
        <v>1</v>
      </c>
      <c r="Q86" s="13">
        <f t="shared" si="8"/>
        <v>0.14152884125122522</v>
      </c>
      <c r="R86" s="24"/>
      <c r="S86" s="9">
        <v>34.400799999999997</v>
      </c>
      <c r="T86" s="9">
        <v>451</v>
      </c>
      <c r="U86" s="9">
        <v>3485.5394999999999</v>
      </c>
      <c r="V86" s="10">
        <v>1</v>
      </c>
      <c r="W86" s="13">
        <f t="shared" si="9"/>
        <v>0.1293917340486315</v>
      </c>
      <c r="Y86" s="3">
        <v>34.425600000000003</v>
      </c>
      <c r="Z86" s="3">
        <v>984</v>
      </c>
      <c r="AA86" s="3">
        <v>6924.2175999999999</v>
      </c>
      <c r="AB86" s="4">
        <v>1</v>
      </c>
      <c r="AC86" s="3">
        <v>0</v>
      </c>
      <c r="AD86" s="11">
        <f t="shared" si="10"/>
        <v>0.14210991867153339</v>
      </c>
      <c r="AE86" s="17"/>
      <c r="AF86" s="3">
        <v>34.424799999999998</v>
      </c>
      <c r="AG86" s="3">
        <v>709</v>
      </c>
      <c r="AH86" s="3">
        <v>5920.482</v>
      </c>
      <c r="AI86" s="4">
        <v>1</v>
      </c>
      <c r="AJ86" s="11">
        <f t="shared" si="11"/>
        <v>0.11975376329156984</v>
      </c>
    </row>
    <row r="87" spans="1:36" x14ac:dyDescent="0.4">
      <c r="A87" s="33">
        <v>34.830399999999997</v>
      </c>
      <c r="B87" s="6">
        <v>334129</v>
      </c>
      <c r="C87" s="6">
        <v>4828.0441000000001</v>
      </c>
      <c r="D87" s="7">
        <v>1</v>
      </c>
      <c r="E87" s="12">
        <f t="shared" si="6"/>
        <v>69.205871586798466</v>
      </c>
      <c r="F87" s="34"/>
      <c r="G87" s="6">
        <v>35.135100000000001</v>
      </c>
      <c r="H87" s="6">
        <v>641177</v>
      </c>
      <c r="I87" s="6">
        <v>4025.348</v>
      </c>
      <c r="J87" s="7">
        <v>1</v>
      </c>
      <c r="K87" s="12">
        <f t="shared" si="7"/>
        <v>159.28486183057962</v>
      </c>
      <c r="M87" s="23">
        <v>34.997599999999998</v>
      </c>
      <c r="N87" s="9">
        <v>850</v>
      </c>
      <c r="O87" s="9">
        <v>5691.7764999999999</v>
      </c>
      <c r="P87" s="10">
        <v>1</v>
      </c>
      <c r="Q87" s="13">
        <f t="shared" si="8"/>
        <v>0.14933826020751167</v>
      </c>
      <c r="R87" s="24"/>
      <c r="S87" s="9">
        <v>34.401800000000001</v>
      </c>
      <c r="T87" s="9">
        <v>415</v>
      </c>
      <c r="U87" s="9">
        <v>3484.1394</v>
      </c>
      <c r="V87" s="10">
        <v>1</v>
      </c>
      <c r="W87" s="13">
        <f t="shared" si="9"/>
        <v>0.11911119285296105</v>
      </c>
      <c r="Y87" s="3">
        <v>34.426600000000001</v>
      </c>
      <c r="Z87" s="3">
        <v>1011</v>
      </c>
      <c r="AA87" s="3">
        <v>6923.4778999999999</v>
      </c>
      <c r="AB87" s="4">
        <v>1</v>
      </c>
      <c r="AC87" s="3">
        <v>0</v>
      </c>
      <c r="AD87" s="11">
        <f t="shared" si="10"/>
        <v>0.14602487573478065</v>
      </c>
      <c r="AE87" s="17"/>
      <c r="AF87" s="3">
        <v>34.425800000000002</v>
      </c>
      <c r="AG87" s="3">
        <v>816</v>
      </c>
      <c r="AH87" s="3">
        <v>5920.4876999999997</v>
      </c>
      <c r="AI87" s="4">
        <v>1</v>
      </c>
      <c r="AJ87" s="11">
        <f t="shared" si="11"/>
        <v>0.13782648345000362</v>
      </c>
    </row>
    <row r="88" spans="1:36" x14ac:dyDescent="0.4">
      <c r="A88" s="33">
        <v>34.831400000000002</v>
      </c>
      <c r="B88" s="6">
        <v>368253</v>
      </c>
      <c r="C88" s="6">
        <v>4829.0204999999996</v>
      </c>
      <c r="D88" s="7">
        <v>1</v>
      </c>
      <c r="E88" s="12">
        <f t="shared" si="6"/>
        <v>76.258321951625604</v>
      </c>
      <c r="F88" s="34"/>
      <c r="G88" s="6">
        <v>35.136099999999999</v>
      </c>
      <c r="H88" s="6">
        <v>701349</v>
      </c>
      <c r="I88" s="6">
        <v>4023.2516000000001</v>
      </c>
      <c r="J88" s="7">
        <v>1</v>
      </c>
      <c r="K88" s="12">
        <f t="shared" si="7"/>
        <v>174.32392247106793</v>
      </c>
      <c r="M88" s="23">
        <v>34.998600000000003</v>
      </c>
      <c r="N88" s="9">
        <v>967</v>
      </c>
      <c r="O88" s="9">
        <v>5694.3023999999996</v>
      </c>
      <c r="P88" s="10">
        <v>1</v>
      </c>
      <c r="Q88" s="13">
        <f t="shared" si="8"/>
        <v>0.16981887017450989</v>
      </c>
      <c r="R88" s="24"/>
      <c r="S88" s="9">
        <v>34.402799999999999</v>
      </c>
      <c r="T88" s="9">
        <v>414</v>
      </c>
      <c r="U88" s="9">
        <v>3483.7422999999999</v>
      </c>
      <c r="V88" s="10">
        <v>1</v>
      </c>
      <c r="W88" s="13">
        <f t="shared" si="9"/>
        <v>0.11883772229650856</v>
      </c>
      <c r="Y88" s="3">
        <v>34.427599999999998</v>
      </c>
      <c r="Z88" s="3">
        <v>1122</v>
      </c>
      <c r="AA88" s="3">
        <v>6920.6815999999999</v>
      </c>
      <c r="AB88" s="4">
        <v>1</v>
      </c>
      <c r="AC88" s="3">
        <v>0</v>
      </c>
      <c r="AD88" s="11">
        <f t="shared" si="10"/>
        <v>0.16212275970043183</v>
      </c>
      <c r="AE88" s="17"/>
      <c r="AF88" s="3">
        <v>34.4268</v>
      </c>
      <c r="AG88" s="3">
        <v>762</v>
      </c>
      <c r="AH88" s="3">
        <v>5919.4452000000001</v>
      </c>
      <c r="AI88" s="4">
        <v>1</v>
      </c>
      <c r="AJ88" s="11">
        <f t="shared" si="11"/>
        <v>0.12872828014355128</v>
      </c>
    </row>
    <row r="89" spans="1:36" x14ac:dyDescent="0.4">
      <c r="A89" s="33">
        <v>34.8324</v>
      </c>
      <c r="B89" s="6">
        <v>407060</v>
      </c>
      <c r="C89" s="6">
        <v>4828.2524000000003</v>
      </c>
      <c r="D89" s="7">
        <v>1</v>
      </c>
      <c r="E89" s="12">
        <f t="shared" si="6"/>
        <v>84.307937174121221</v>
      </c>
      <c r="F89" s="34"/>
      <c r="G89" s="6">
        <v>35.137099999999997</v>
      </c>
      <c r="H89" s="6">
        <v>770794</v>
      </c>
      <c r="I89" s="6">
        <v>4024.0659000000001</v>
      </c>
      <c r="J89" s="7">
        <v>1</v>
      </c>
      <c r="K89" s="12">
        <f t="shared" si="7"/>
        <v>191.54606787130399</v>
      </c>
      <c r="M89" s="23">
        <v>34.999600000000001</v>
      </c>
      <c r="N89" s="9">
        <v>934</v>
      </c>
      <c r="O89" s="9">
        <v>5694.3873999999996</v>
      </c>
      <c r="P89" s="10">
        <v>1</v>
      </c>
      <c r="Q89" s="13">
        <f t="shared" si="8"/>
        <v>0.16402115528704633</v>
      </c>
      <c r="R89" s="24"/>
      <c r="S89" s="9">
        <v>34.403799999999997</v>
      </c>
      <c r="T89" s="9">
        <v>433</v>
      </c>
      <c r="U89" s="9">
        <v>3484.5046000000002</v>
      </c>
      <c r="V89" s="10">
        <v>1</v>
      </c>
      <c r="W89" s="13">
        <f t="shared" si="9"/>
        <v>0.12426443632762028</v>
      </c>
      <c r="Y89" s="3">
        <v>34.428600000000003</v>
      </c>
      <c r="Z89" s="3">
        <v>1076</v>
      </c>
      <c r="AA89" s="3">
        <v>6922.0389999999998</v>
      </c>
      <c r="AB89" s="4">
        <v>1</v>
      </c>
      <c r="AC89" s="3">
        <v>0</v>
      </c>
      <c r="AD89" s="11">
        <f t="shared" si="10"/>
        <v>0.15544552696105873</v>
      </c>
      <c r="AE89" s="17"/>
      <c r="AF89" s="3">
        <v>34.427799999999998</v>
      </c>
      <c r="AG89" s="3">
        <v>863</v>
      </c>
      <c r="AH89" s="3">
        <v>5922.1309000000001</v>
      </c>
      <c r="AI89" s="4">
        <v>1</v>
      </c>
      <c r="AJ89" s="11">
        <f t="shared" si="11"/>
        <v>0.14572457356523477</v>
      </c>
    </row>
    <row r="90" spans="1:36" x14ac:dyDescent="0.4">
      <c r="A90" s="33">
        <v>34.833399999999997</v>
      </c>
      <c r="B90" s="6">
        <v>450475</v>
      </c>
      <c r="C90" s="6">
        <v>4832.6772000000001</v>
      </c>
      <c r="D90" s="7">
        <v>1</v>
      </c>
      <c r="E90" s="12">
        <f t="shared" si="6"/>
        <v>93.214378150479405</v>
      </c>
      <c r="F90" s="34"/>
      <c r="G90" s="6">
        <v>35.138100000000001</v>
      </c>
      <c r="H90" s="6">
        <v>848722</v>
      </c>
      <c r="I90" s="6">
        <v>4022.2310000000002</v>
      </c>
      <c r="J90" s="7">
        <v>1</v>
      </c>
      <c r="K90" s="12">
        <f t="shared" si="7"/>
        <v>211.0077715576256</v>
      </c>
      <c r="M90" s="23">
        <v>35.000599999999999</v>
      </c>
      <c r="N90" s="9">
        <v>986</v>
      </c>
      <c r="O90" s="9">
        <v>5691.2264999999998</v>
      </c>
      <c r="P90" s="10">
        <v>1</v>
      </c>
      <c r="Q90" s="13">
        <f t="shared" si="8"/>
        <v>0.17324912301416928</v>
      </c>
      <c r="R90" s="24"/>
      <c r="S90" s="9">
        <v>34.404800000000002</v>
      </c>
      <c r="T90" s="9">
        <v>445</v>
      </c>
      <c r="U90" s="9">
        <v>3484.5063</v>
      </c>
      <c r="V90" s="10">
        <v>1</v>
      </c>
      <c r="W90" s="13">
        <f t="shared" si="9"/>
        <v>0.1277081921189237</v>
      </c>
      <c r="Y90" s="3">
        <v>34.429600000000001</v>
      </c>
      <c r="Z90" s="3">
        <v>1189</v>
      </c>
      <c r="AA90" s="3">
        <v>6920.5977999999996</v>
      </c>
      <c r="AB90" s="4">
        <v>1</v>
      </c>
      <c r="AC90" s="3">
        <v>0</v>
      </c>
      <c r="AD90" s="11">
        <f t="shared" si="10"/>
        <v>0.17180596739778753</v>
      </c>
      <c r="AE90" s="17"/>
      <c r="AF90" s="3">
        <v>34.428800000000003</v>
      </c>
      <c r="AG90" s="3">
        <v>844</v>
      </c>
      <c r="AH90" s="3">
        <v>5920.2933000000003</v>
      </c>
      <c r="AI90" s="4">
        <v>1</v>
      </c>
      <c r="AJ90" s="11">
        <f t="shared" si="11"/>
        <v>0.14256050456148853</v>
      </c>
    </row>
    <row r="91" spans="1:36" x14ac:dyDescent="0.4">
      <c r="A91" s="33">
        <v>34.834400000000002</v>
      </c>
      <c r="B91" s="6">
        <v>502160</v>
      </c>
      <c r="C91" s="6">
        <v>4832.4937</v>
      </c>
      <c r="D91" s="7">
        <v>1</v>
      </c>
      <c r="E91" s="12">
        <f t="shared" si="6"/>
        <v>103.91322393239747</v>
      </c>
      <c r="F91" s="34"/>
      <c r="G91" s="6">
        <v>35.139099999999999</v>
      </c>
      <c r="H91" s="6">
        <v>937144</v>
      </c>
      <c r="I91" s="6">
        <v>4022.0243999999998</v>
      </c>
      <c r="J91" s="7">
        <v>1</v>
      </c>
      <c r="K91" s="12">
        <f t="shared" si="7"/>
        <v>233.0030618411962</v>
      </c>
      <c r="M91" s="23">
        <v>35.001600000000003</v>
      </c>
      <c r="N91" s="9">
        <v>997</v>
      </c>
      <c r="O91" s="9">
        <v>5690.5582999999997</v>
      </c>
      <c r="P91" s="10">
        <v>1</v>
      </c>
      <c r="Q91" s="13">
        <f t="shared" si="8"/>
        <v>0.17520249287315096</v>
      </c>
      <c r="R91" s="24"/>
      <c r="S91" s="9">
        <v>34.405799999999999</v>
      </c>
      <c r="T91" s="9">
        <v>483</v>
      </c>
      <c r="U91" s="9">
        <v>3483.1813000000002</v>
      </c>
      <c r="V91" s="10">
        <v>1</v>
      </c>
      <c r="W91" s="13">
        <f t="shared" si="9"/>
        <v>0.13866633930309627</v>
      </c>
      <c r="Y91" s="3">
        <v>34.430599999999998</v>
      </c>
      <c r="Z91" s="3">
        <v>1243</v>
      </c>
      <c r="AA91" s="3">
        <v>6916.5303999999996</v>
      </c>
      <c r="AB91" s="4">
        <v>1</v>
      </c>
      <c r="AC91" s="3">
        <v>0</v>
      </c>
      <c r="AD91" s="11">
        <f t="shared" si="10"/>
        <v>0.17971438396338141</v>
      </c>
      <c r="AE91" s="17"/>
      <c r="AF91" s="3">
        <v>34.4298</v>
      </c>
      <c r="AG91" s="3">
        <v>914</v>
      </c>
      <c r="AH91" s="3">
        <v>5922.0007999999998</v>
      </c>
      <c r="AI91" s="4">
        <v>1</v>
      </c>
      <c r="AJ91" s="11">
        <f t="shared" si="11"/>
        <v>0.15433972923475459</v>
      </c>
    </row>
    <row r="92" spans="1:36" x14ac:dyDescent="0.4">
      <c r="A92" s="33">
        <v>34.8354</v>
      </c>
      <c r="B92" s="6">
        <v>559216</v>
      </c>
      <c r="C92" s="6">
        <v>4839.5609000000004</v>
      </c>
      <c r="D92" s="7">
        <v>1</v>
      </c>
      <c r="E92" s="12">
        <f t="shared" si="6"/>
        <v>115.55097901547224</v>
      </c>
      <c r="F92" s="34"/>
      <c r="G92" s="6">
        <v>35.140099999999997</v>
      </c>
      <c r="H92" s="6">
        <v>1036509</v>
      </c>
      <c r="I92" s="6">
        <v>4021.0212999999999</v>
      </c>
      <c r="J92" s="7">
        <v>1</v>
      </c>
      <c r="K92" s="12">
        <f t="shared" si="7"/>
        <v>257.77257136141009</v>
      </c>
      <c r="M92" s="23">
        <v>35.002600000000001</v>
      </c>
      <c r="N92" s="9">
        <v>1078</v>
      </c>
      <c r="O92" s="9">
        <v>5691.1067000000003</v>
      </c>
      <c r="P92" s="10">
        <v>1</v>
      </c>
      <c r="Q92" s="13">
        <f t="shared" si="8"/>
        <v>0.18941834283303807</v>
      </c>
      <c r="R92" s="24"/>
      <c r="S92" s="9">
        <v>34.406799999999997</v>
      </c>
      <c r="T92" s="9">
        <v>563</v>
      </c>
      <c r="U92" s="9">
        <v>3484.4576999999999</v>
      </c>
      <c r="V92" s="10">
        <v>1</v>
      </c>
      <c r="W92" s="13">
        <f t="shared" si="9"/>
        <v>0.16157464043830982</v>
      </c>
      <c r="Y92" s="3">
        <v>34.431600000000003</v>
      </c>
      <c r="Z92" s="3">
        <v>1304</v>
      </c>
      <c r="AA92" s="3">
        <v>6918.8819000000003</v>
      </c>
      <c r="AB92" s="4">
        <v>1</v>
      </c>
      <c r="AC92" s="3">
        <v>0</v>
      </c>
      <c r="AD92" s="11">
        <f t="shared" si="10"/>
        <v>0.18846975838682836</v>
      </c>
      <c r="AE92" s="17"/>
      <c r="AF92" s="3">
        <v>34.430799999999998</v>
      </c>
      <c r="AG92" s="3">
        <v>945</v>
      </c>
      <c r="AH92" s="3">
        <v>5921.2717000000002</v>
      </c>
      <c r="AI92" s="4">
        <v>1</v>
      </c>
      <c r="AJ92" s="11">
        <f t="shared" si="11"/>
        <v>0.15959409530219665</v>
      </c>
    </row>
    <row r="93" spans="1:36" x14ac:dyDescent="0.4">
      <c r="A93" s="33">
        <v>34.836399999999998</v>
      </c>
      <c r="B93" s="6">
        <v>627847</v>
      </c>
      <c r="C93" s="6">
        <v>4843.3831</v>
      </c>
      <c r="D93" s="7">
        <v>1</v>
      </c>
      <c r="E93" s="12">
        <f t="shared" si="6"/>
        <v>129.62984489085738</v>
      </c>
      <c r="F93" s="34"/>
      <c r="G93" s="6">
        <v>35.141100000000002</v>
      </c>
      <c r="H93" s="6">
        <v>1154514</v>
      </c>
      <c r="I93" s="6">
        <v>4020.6459</v>
      </c>
      <c r="J93" s="7">
        <v>1</v>
      </c>
      <c r="K93" s="12">
        <f t="shared" si="7"/>
        <v>287.14640102974499</v>
      </c>
      <c r="M93" s="23">
        <v>35.003599999999999</v>
      </c>
      <c r="N93" s="9">
        <v>1130</v>
      </c>
      <c r="O93" s="9">
        <v>5689.1615000000002</v>
      </c>
      <c r="P93" s="10">
        <v>1</v>
      </c>
      <c r="Q93" s="13">
        <f t="shared" si="8"/>
        <v>0.19862329448724561</v>
      </c>
      <c r="R93" s="24"/>
      <c r="S93" s="9">
        <v>34.407800000000002</v>
      </c>
      <c r="T93" s="9">
        <v>569</v>
      </c>
      <c r="U93" s="9">
        <v>3483.8730999999998</v>
      </c>
      <c r="V93" s="10">
        <v>1</v>
      </c>
      <c r="W93" s="13">
        <f t="shared" si="9"/>
        <v>0.16332397411375288</v>
      </c>
      <c r="Y93" s="3">
        <v>34.432600000000001</v>
      </c>
      <c r="Z93" s="3">
        <v>1401</v>
      </c>
      <c r="AA93" s="3">
        <v>6921.1764999999996</v>
      </c>
      <c r="AB93" s="4">
        <v>1</v>
      </c>
      <c r="AC93" s="3">
        <v>0</v>
      </c>
      <c r="AD93" s="11">
        <f t="shared" si="10"/>
        <v>0.20242223269410917</v>
      </c>
      <c r="AE93" s="17"/>
      <c r="AF93" s="3">
        <v>34.431800000000003</v>
      </c>
      <c r="AG93" s="3">
        <v>996</v>
      </c>
      <c r="AH93" s="3">
        <v>5922.7641999999996</v>
      </c>
      <c r="AI93" s="4">
        <v>1</v>
      </c>
      <c r="AJ93" s="11">
        <f t="shared" si="11"/>
        <v>0.16816472281641739</v>
      </c>
    </row>
    <row r="94" spans="1:36" x14ac:dyDescent="0.4">
      <c r="A94" s="33">
        <v>34.837400000000002</v>
      </c>
      <c r="B94" s="6">
        <v>701216</v>
      </c>
      <c r="C94" s="6">
        <v>4843.4620000000004</v>
      </c>
      <c r="D94" s="7">
        <v>1</v>
      </c>
      <c r="E94" s="12">
        <f t="shared" si="6"/>
        <v>144.77578228135164</v>
      </c>
      <c r="F94" s="34"/>
      <c r="G94" s="6">
        <v>35.142099999999999</v>
      </c>
      <c r="H94" s="6">
        <v>1285268</v>
      </c>
      <c r="I94" s="6">
        <v>4018.7147</v>
      </c>
      <c r="J94" s="7">
        <v>1</v>
      </c>
      <c r="K94" s="12">
        <f t="shared" si="7"/>
        <v>319.82066305926122</v>
      </c>
      <c r="M94" s="23">
        <v>35.004600000000003</v>
      </c>
      <c r="N94" s="9">
        <v>1195</v>
      </c>
      <c r="O94" s="9">
        <v>5685.0137999999997</v>
      </c>
      <c r="P94" s="10">
        <v>1</v>
      </c>
      <c r="Q94" s="13">
        <f t="shared" si="8"/>
        <v>0.21020177646710375</v>
      </c>
      <c r="R94" s="24"/>
      <c r="S94" s="9">
        <v>34.408799999999999</v>
      </c>
      <c r="T94" s="9">
        <v>632</v>
      </c>
      <c r="U94" s="9">
        <v>3484.4124000000002</v>
      </c>
      <c r="V94" s="10">
        <v>1</v>
      </c>
      <c r="W94" s="13">
        <f t="shared" si="9"/>
        <v>0.18137921906144058</v>
      </c>
      <c r="Y94" s="3">
        <v>34.433599999999998</v>
      </c>
      <c r="Z94" s="3">
        <v>1376</v>
      </c>
      <c r="AA94" s="3">
        <v>6920.7793000000001</v>
      </c>
      <c r="AB94" s="4">
        <v>1</v>
      </c>
      <c r="AC94" s="3">
        <v>0</v>
      </c>
      <c r="AD94" s="11">
        <f t="shared" si="10"/>
        <v>0.19882154022741341</v>
      </c>
      <c r="AE94" s="17"/>
      <c r="AF94" s="3">
        <v>34.4328</v>
      </c>
      <c r="AG94" s="3">
        <v>1096</v>
      </c>
      <c r="AH94" s="3">
        <v>5922.2655000000004</v>
      </c>
      <c r="AI94" s="4">
        <v>1</v>
      </c>
      <c r="AJ94" s="11">
        <f t="shared" si="11"/>
        <v>0.18506431364821452</v>
      </c>
    </row>
    <row r="95" spans="1:36" x14ac:dyDescent="0.4">
      <c r="A95" s="33">
        <v>34.8384</v>
      </c>
      <c r="B95" s="6">
        <v>795292</v>
      </c>
      <c r="C95" s="6">
        <v>4848.5064000000002</v>
      </c>
      <c r="D95" s="7">
        <v>1</v>
      </c>
      <c r="E95" s="12">
        <f t="shared" si="6"/>
        <v>164.028245894447</v>
      </c>
      <c r="F95" s="34"/>
      <c r="G95" s="6">
        <v>35.143099999999997</v>
      </c>
      <c r="H95" s="6">
        <v>1435480</v>
      </c>
      <c r="I95" s="6">
        <v>4005.3717000000001</v>
      </c>
      <c r="J95" s="7">
        <v>1</v>
      </c>
      <c r="K95" s="12">
        <f t="shared" si="7"/>
        <v>358.38871084049453</v>
      </c>
      <c r="M95" s="23">
        <v>35.005600000000001</v>
      </c>
      <c r="N95" s="9">
        <v>1241</v>
      </c>
      <c r="O95" s="9">
        <v>5683.7771000000002</v>
      </c>
      <c r="P95" s="10">
        <v>1</v>
      </c>
      <c r="Q95" s="13">
        <f t="shared" si="8"/>
        <v>0.21834072275635158</v>
      </c>
      <c r="R95" s="24"/>
      <c r="S95" s="9">
        <v>34.409799999999997</v>
      </c>
      <c r="T95" s="9">
        <v>638</v>
      </c>
      <c r="U95" s="9">
        <v>3484.5167999999999</v>
      </c>
      <c r="V95" s="10">
        <v>1</v>
      </c>
      <c r="W95" s="13">
        <f t="shared" si="9"/>
        <v>0.18309568775791238</v>
      </c>
      <c r="Y95" s="3">
        <v>34.434600000000003</v>
      </c>
      <c r="Z95" s="3">
        <v>1522</v>
      </c>
      <c r="AA95" s="3">
        <v>6920.2701999999999</v>
      </c>
      <c r="AB95" s="4">
        <v>1</v>
      </c>
      <c r="AC95" s="3">
        <v>0</v>
      </c>
      <c r="AD95" s="11">
        <f t="shared" si="10"/>
        <v>0.21993360895070255</v>
      </c>
      <c r="AE95" s="17"/>
      <c r="AF95" s="3">
        <v>34.433799999999998</v>
      </c>
      <c r="AG95" s="3">
        <v>1105</v>
      </c>
      <c r="AH95" s="3">
        <v>5922.5306</v>
      </c>
      <c r="AI95" s="4">
        <v>1</v>
      </c>
      <c r="AJ95" s="11">
        <f t="shared" si="11"/>
        <v>0.18657565061799766</v>
      </c>
    </row>
    <row r="96" spans="1:36" x14ac:dyDescent="0.4">
      <c r="A96" s="33">
        <v>34.839399999999998</v>
      </c>
      <c r="B96" s="6">
        <v>896819</v>
      </c>
      <c r="C96" s="6">
        <v>4849.5379000000003</v>
      </c>
      <c r="D96" s="7">
        <v>1</v>
      </c>
      <c r="E96" s="12">
        <f t="shared" si="6"/>
        <v>184.92875372723657</v>
      </c>
      <c r="F96" s="34"/>
      <c r="G96" s="6">
        <v>35.144100000000002</v>
      </c>
      <c r="H96" s="6">
        <v>1621205</v>
      </c>
      <c r="I96" s="6">
        <v>4020.1032</v>
      </c>
      <c r="J96" s="7">
        <v>1</v>
      </c>
      <c r="K96" s="12">
        <f t="shared" si="7"/>
        <v>403.27447315282853</v>
      </c>
      <c r="M96" s="23">
        <v>35.006599999999999</v>
      </c>
      <c r="N96" s="9">
        <v>1440</v>
      </c>
      <c r="O96" s="9">
        <v>5683.4031000000004</v>
      </c>
      <c r="P96" s="10">
        <v>1</v>
      </c>
      <c r="Q96" s="13">
        <f t="shared" si="8"/>
        <v>0.25336932374196719</v>
      </c>
      <c r="R96" s="24"/>
      <c r="S96" s="9">
        <v>34.410800000000002</v>
      </c>
      <c r="T96" s="9">
        <v>646</v>
      </c>
      <c r="U96" s="9">
        <v>3483.7862</v>
      </c>
      <c r="V96" s="10">
        <v>1</v>
      </c>
      <c r="W96" s="13">
        <f t="shared" si="9"/>
        <v>0.18543043772318749</v>
      </c>
      <c r="Y96" s="3">
        <v>34.435600000000001</v>
      </c>
      <c r="Z96" s="3">
        <v>1663</v>
      </c>
      <c r="AA96" s="3">
        <v>6922.7645000000002</v>
      </c>
      <c r="AB96" s="4">
        <v>1</v>
      </c>
      <c r="AC96" s="3">
        <v>0</v>
      </c>
      <c r="AD96" s="11">
        <f t="shared" si="10"/>
        <v>0.24022195179396902</v>
      </c>
      <c r="AE96" s="17"/>
      <c r="AF96" s="3">
        <v>34.434800000000003</v>
      </c>
      <c r="AG96" s="3">
        <v>1156</v>
      </c>
      <c r="AH96" s="3">
        <v>5921.8689999999997</v>
      </c>
      <c r="AI96" s="4">
        <v>1</v>
      </c>
      <c r="AJ96" s="11">
        <f t="shared" si="11"/>
        <v>0.19520864105572075</v>
      </c>
    </row>
    <row r="97" spans="1:36" x14ac:dyDescent="0.4">
      <c r="A97" s="33">
        <v>34.840400000000002</v>
      </c>
      <c r="B97" s="6">
        <v>1010868</v>
      </c>
      <c r="C97" s="6">
        <v>4850.2807000000003</v>
      </c>
      <c r="D97" s="7">
        <v>1</v>
      </c>
      <c r="E97" s="12">
        <f t="shared" si="6"/>
        <v>208.41432950468206</v>
      </c>
      <c r="F97" s="34"/>
      <c r="G97" s="6">
        <v>35.145099999999999</v>
      </c>
      <c r="H97" s="6">
        <v>1836652</v>
      </c>
      <c r="I97" s="6">
        <v>4021.4184</v>
      </c>
      <c r="J97" s="7">
        <v>1</v>
      </c>
      <c r="K97" s="12">
        <f t="shared" si="7"/>
        <v>456.71746068501602</v>
      </c>
      <c r="M97" s="23">
        <v>35.007599999999996</v>
      </c>
      <c r="N97" s="9">
        <v>1517</v>
      </c>
      <c r="O97" s="9">
        <v>5680.3981999999996</v>
      </c>
      <c r="P97" s="10">
        <v>1</v>
      </c>
      <c r="Q97" s="13">
        <f t="shared" si="8"/>
        <v>0.26705874246632921</v>
      </c>
      <c r="R97" s="24"/>
      <c r="S97" s="9">
        <v>34.411799999999999</v>
      </c>
      <c r="T97" s="9">
        <v>684</v>
      </c>
      <c r="U97" s="9">
        <v>3483.48</v>
      </c>
      <c r="V97" s="10">
        <v>1</v>
      </c>
      <c r="W97" s="13">
        <f t="shared" si="9"/>
        <v>0.19635536876916188</v>
      </c>
      <c r="Y97" s="3">
        <v>34.436599999999999</v>
      </c>
      <c r="Z97" s="3">
        <v>1883</v>
      </c>
      <c r="AA97" s="3">
        <v>6921.5712000000003</v>
      </c>
      <c r="AB97" s="4">
        <v>1</v>
      </c>
      <c r="AC97" s="3">
        <v>0</v>
      </c>
      <c r="AD97" s="11">
        <f t="shared" si="10"/>
        <v>0.27204805752774747</v>
      </c>
      <c r="AE97" s="17"/>
      <c r="AF97" s="3">
        <v>34.4358</v>
      </c>
      <c r="AG97" s="3">
        <v>1244</v>
      </c>
      <c r="AH97" s="3">
        <v>5919.4813999999997</v>
      </c>
      <c r="AI97" s="4">
        <v>1</v>
      </c>
      <c r="AJ97" s="11">
        <f t="shared" si="11"/>
        <v>0.21015354486965701</v>
      </c>
    </row>
    <row r="98" spans="1:36" x14ac:dyDescent="0.4">
      <c r="A98" s="33">
        <v>34.8414</v>
      </c>
      <c r="B98" s="6">
        <v>1147119</v>
      </c>
      <c r="C98" s="6">
        <v>4853.7275</v>
      </c>
      <c r="D98" s="7">
        <v>1</v>
      </c>
      <c r="E98" s="12">
        <f t="shared" si="6"/>
        <v>236.33774248760361</v>
      </c>
      <c r="F98" s="34"/>
      <c r="G98" s="6">
        <v>35.146099999999997</v>
      </c>
      <c r="H98" s="6">
        <v>2088236</v>
      </c>
      <c r="I98" s="6">
        <v>4022.7139999999999</v>
      </c>
      <c r="J98" s="7">
        <v>1</v>
      </c>
      <c r="K98" s="12">
        <f t="shared" si="7"/>
        <v>519.11122689805939</v>
      </c>
      <c r="M98" s="23">
        <v>35.008600000000001</v>
      </c>
      <c r="N98" s="9">
        <v>1769</v>
      </c>
      <c r="O98" s="9">
        <v>5681.1755999999996</v>
      </c>
      <c r="P98" s="10">
        <v>1</v>
      </c>
      <c r="Q98" s="13">
        <f t="shared" si="8"/>
        <v>0.3113792152455207</v>
      </c>
      <c r="R98" s="24"/>
      <c r="S98" s="9">
        <v>34.412799999999997</v>
      </c>
      <c r="T98" s="9">
        <v>758</v>
      </c>
      <c r="U98" s="9">
        <v>3482.9376999999999</v>
      </c>
      <c r="V98" s="10">
        <v>1</v>
      </c>
      <c r="W98" s="13">
        <f t="shared" si="9"/>
        <v>0.21763237395833981</v>
      </c>
      <c r="Y98" s="3">
        <v>34.437600000000003</v>
      </c>
      <c r="Z98" s="3">
        <v>2095</v>
      </c>
      <c r="AA98" s="3">
        <v>6919.7212</v>
      </c>
      <c r="AB98" s="4">
        <v>1</v>
      </c>
      <c r="AC98" s="3">
        <v>0</v>
      </c>
      <c r="AD98" s="11">
        <f t="shared" si="10"/>
        <v>0.3027578625566591</v>
      </c>
      <c r="AE98" s="17"/>
      <c r="AF98" s="3">
        <v>34.436799999999998</v>
      </c>
      <c r="AG98" s="3">
        <v>1340</v>
      </c>
      <c r="AH98" s="3">
        <v>5917.3113000000003</v>
      </c>
      <c r="AI98" s="4">
        <v>1</v>
      </c>
      <c r="AJ98" s="11">
        <f t="shared" si="11"/>
        <v>0.22645420057585949</v>
      </c>
    </row>
    <row r="99" spans="1:36" x14ac:dyDescent="0.4">
      <c r="A99" s="33">
        <v>34.842399999999998</v>
      </c>
      <c r="B99" s="6">
        <v>1303907</v>
      </c>
      <c r="C99" s="6">
        <v>4855.3247000000001</v>
      </c>
      <c r="D99" s="7">
        <v>1</v>
      </c>
      <c r="E99" s="12">
        <f t="shared" si="6"/>
        <v>268.55196728655449</v>
      </c>
      <c r="F99" s="34"/>
      <c r="G99" s="6">
        <v>35.147100000000002</v>
      </c>
      <c r="H99" s="6">
        <v>46105</v>
      </c>
      <c r="I99" s="6">
        <v>4020.8198000000002</v>
      </c>
      <c r="J99" s="7">
        <v>53.984200000000001</v>
      </c>
      <c r="K99" s="12">
        <f t="shared" si="7"/>
        <v>619.01345118724294</v>
      </c>
      <c r="M99" s="23">
        <v>35.009599999999999</v>
      </c>
      <c r="N99" s="9">
        <v>2035</v>
      </c>
      <c r="O99" s="9">
        <v>5680.0763999999999</v>
      </c>
      <c r="P99" s="10">
        <v>1</v>
      </c>
      <c r="Q99" s="13">
        <f t="shared" si="8"/>
        <v>0.35826982890582248</v>
      </c>
      <c r="R99" s="24"/>
      <c r="S99" s="9">
        <v>34.413800000000002</v>
      </c>
      <c r="T99" s="9">
        <v>828</v>
      </c>
      <c r="U99" s="9">
        <v>3483.0403000000001</v>
      </c>
      <c r="V99" s="10">
        <v>1</v>
      </c>
      <c r="W99" s="13">
        <f t="shared" si="9"/>
        <v>0.23772334761673586</v>
      </c>
      <c r="Y99" s="3">
        <v>34.438600000000001</v>
      </c>
      <c r="Z99" s="3">
        <v>2592</v>
      </c>
      <c r="AA99" s="3">
        <v>6919.6289999999999</v>
      </c>
      <c r="AB99" s="4">
        <v>1</v>
      </c>
      <c r="AC99" s="3">
        <v>0</v>
      </c>
      <c r="AD99" s="11">
        <f t="shared" si="10"/>
        <v>0.37458655659140105</v>
      </c>
      <c r="AE99" s="17"/>
      <c r="AF99" s="3">
        <v>34.437800000000003</v>
      </c>
      <c r="AG99" s="3">
        <v>1405</v>
      </c>
      <c r="AH99" s="3">
        <v>5917.3464000000004</v>
      </c>
      <c r="AI99" s="4">
        <v>1</v>
      </c>
      <c r="AJ99" s="11">
        <f t="shared" si="11"/>
        <v>0.23743751084100803</v>
      </c>
    </row>
    <row r="100" spans="1:36" x14ac:dyDescent="0.4">
      <c r="A100" s="33">
        <v>34.843400000000003</v>
      </c>
      <c r="B100" s="6">
        <v>1482468</v>
      </c>
      <c r="C100" s="6">
        <v>4857.2480999999998</v>
      </c>
      <c r="D100" s="7">
        <v>1</v>
      </c>
      <c r="E100" s="12">
        <f t="shared" si="6"/>
        <v>305.20738687406146</v>
      </c>
      <c r="F100" s="34"/>
      <c r="G100" s="6">
        <v>35.148099999999999</v>
      </c>
      <c r="H100" s="6">
        <v>52220</v>
      </c>
      <c r="I100" s="6">
        <v>4024.8298</v>
      </c>
      <c r="J100" s="7">
        <v>53.984200000000001</v>
      </c>
      <c r="K100" s="12">
        <f t="shared" si="7"/>
        <v>700.41593410981011</v>
      </c>
      <c r="M100" s="23">
        <v>35.010599999999997</v>
      </c>
      <c r="N100" s="9">
        <v>2492</v>
      </c>
      <c r="O100" s="9">
        <v>5683.7070999999996</v>
      </c>
      <c r="P100" s="10">
        <v>1</v>
      </c>
      <c r="Q100" s="13">
        <f t="shared" si="8"/>
        <v>0.43844623872331495</v>
      </c>
      <c r="R100" s="24"/>
      <c r="S100" s="9">
        <v>34.4148</v>
      </c>
      <c r="T100" s="9">
        <v>850</v>
      </c>
      <c r="U100" s="9">
        <v>3481.4281999999998</v>
      </c>
      <c r="V100" s="10">
        <v>1</v>
      </c>
      <c r="W100" s="13">
        <f t="shared" si="9"/>
        <v>0.24415267274505331</v>
      </c>
      <c r="Y100" s="3">
        <v>34.439599999999999</v>
      </c>
      <c r="Z100" s="3">
        <v>2854</v>
      </c>
      <c r="AA100" s="3">
        <v>6917.1382000000003</v>
      </c>
      <c r="AB100" s="4">
        <v>1</v>
      </c>
      <c r="AC100" s="3">
        <v>0</v>
      </c>
      <c r="AD100" s="11">
        <f t="shared" si="10"/>
        <v>0.41259837775107627</v>
      </c>
      <c r="AE100" s="17"/>
      <c r="AF100" s="3">
        <v>34.438800000000001</v>
      </c>
      <c r="AG100" s="3">
        <v>1462</v>
      </c>
      <c r="AH100" s="3">
        <v>5917.0793999999996</v>
      </c>
      <c r="AI100" s="4">
        <v>1</v>
      </c>
      <c r="AJ100" s="11">
        <f t="shared" si="11"/>
        <v>0.24708135571072445</v>
      </c>
    </row>
    <row r="101" spans="1:36" x14ac:dyDescent="0.4">
      <c r="A101" s="33">
        <v>34.8444</v>
      </c>
      <c r="B101" s="6">
        <v>1694688</v>
      </c>
      <c r="C101" s="6">
        <v>4858.0923000000003</v>
      </c>
      <c r="D101" s="7">
        <v>1</v>
      </c>
      <c r="E101" s="12">
        <f t="shared" si="6"/>
        <v>348.83816431400447</v>
      </c>
      <c r="F101" s="34"/>
      <c r="G101" s="6">
        <v>35.149099999999997</v>
      </c>
      <c r="H101" s="6">
        <v>60575</v>
      </c>
      <c r="I101" s="6">
        <v>4022.0057999999999</v>
      </c>
      <c r="J101" s="7">
        <v>53.984200000000001</v>
      </c>
      <c r="K101" s="12">
        <f t="shared" si="7"/>
        <v>813.05027332382269</v>
      </c>
      <c r="M101" s="23">
        <v>35.011600000000001</v>
      </c>
      <c r="N101" s="9">
        <v>3095</v>
      </c>
      <c r="O101" s="9">
        <v>5683.1729999999998</v>
      </c>
      <c r="P101" s="10">
        <v>1</v>
      </c>
      <c r="Q101" s="13">
        <f t="shared" si="8"/>
        <v>0.54459014356944613</v>
      </c>
      <c r="R101" s="24"/>
      <c r="S101" s="9">
        <v>34.415799999999997</v>
      </c>
      <c r="T101" s="9">
        <v>909</v>
      </c>
      <c r="U101" s="9">
        <v>3484.3854000000001</v>
      </c>
      <c r="V101" s="10">
        <v>1</v>
      </c>
      <c r="W101" s="13">
        <f t="shared" si="9"/>
        <v>0.2608781451098951</v>
      </c>
      <c r="Y101" s="3">
        <v>34.440600000000003</v>
      </c>
      <c r="Z101" s="3">
        <v>3590</v>
      </c>
      <c r="AA101" s="3">
        <v>6916.7435999999998</v>
      </c>
      <c r="AB101" s="4">
        <v>1</v>
      </c>
      <c r="AC101" s="3">
        <v>0</v>
      </c>
      <c r="AD101" s="11">
        <f t="shared" si="10"/>
        <v>0.51903037145977193</v>
      </c>
      <c r="AE101" s="17"/>
      <c r="AF101" s="3">
        <v>34.439799999999998</v>
      </c>
      <c r="AG101" s="3">
        <v>1649</v>
      </c>
      <c r="AH101" s="3">
        <v>5916.0601999999999</v>
      </c>
      <c r="AI101" s="4">
        <v>1</v>
      </c>
      <c r="AJ101" s="11">
        <f t="shared" si="11"/>
        <v>0.27873279585626937</v>
      </c>
    </row>
    <row r="102" spans="1:36" x14ac:dyDescent="0.4">
      <c r="A102" s="33">
        <v>34.845399999999998</v>
      </c>
      <c r="B102" s="6">
        <v>1940094</v>
      </c>
      <c r="C102" s="6">
        <v>4854.6653999999999</v>
      </c>
      <c r="D102" s="7">
        <v>1</v>
      </c>
      <c r="E102" s="12">
        <f t="shared" si="6"/>
        <v>399.6349573340317</v>
      </c>
      <c r="F102" s="34"/>
      <c r="G102" s="6">
        <v>35.150100000000002</v>
      </c>
      <c r="H102" s="6">
        <v>70227</v>
      </c>
      <c r="I102" s="6">
        <v>4020.8842</v>
      </c>
      <c r="J102" s="7">
        <v>53.984200000000001</v>
      </c>
      <c r="K102" s="12">
        <f t="shared" si="7"/>
        <v>942.86436137603766</v>
      </c>
      <c r="M102" s="23">
        <v>35.012599999999999</v>
      </c>
      <c r="N102" s="9">
        <v>3628</v>
      </c>
      <c r="O102" s="9">
        <v>5680.9125999999997</v>
      </c>
      <c r="P102" s="10">
        <v>1</v>
      </c>
      <c r="Q102" s="13">
        <f t="shared" si="8"/>
        <v>0.63862978634805967</v>
      </c>
      <c r="R102" s="24"/>
      <c r="S102" s="9">
        <v>34.416800000000002</v>
      </c>
      <c r="T102" s="9">
        <v>1042</v>
      </c>
      <c r="U102" s="9">
        <v>3482.5252999999998</v>
      </c>
      <c r="V102" s="10">
        <v>1</v>
      </c>
      <c r="W102" s="13">
        <f t="shared" si="9"/>
        <v>0.29920816368512815</v>
      </c>
      <c r="Y102" s="3">
        <v>34.441600000000001</v>
      </c>
      <c r="Z102" s="3">
        <v>4283</v>
      </c>
      <c r="AA102" s="3">
        <v>6915.1171999999997</v>
      </c>
      <c r="AB102" s="4">
        <v>1</v>
      </c>
      <c r="AC102" s="3">
        <v>0</v>
      </c>
      <c r="AD102" s="11">
        <f t="shared" si="10"/>
        <v>0.61936766595944315</v>
      </c>
      <c r="AE102" s="17"/>
      <c r="AF102" s="3">
        <v>34.440800000000003</v>
      </c>
      <c r="AG102" s="3">
        <v>2009</v>
      </c>
      <c r="AH102" s="3">
        <v>5915.9231</v>
      </c>
      <c r="AI102" s="4">
        <v>1</v>
      </c>
      <c r="AJ102" s="11">
        <f t="shared" si="11"/>
        <v>0.33959197339803149</v>
      </c>
    </row>
    <row r="103" spans="1:36" x14ac:dyDescent="0.4">
      <c r="A103" s="33">
        <v>34.846400000000003</v>
      </c>
      <c r="B103" s="6">
        <v>2234128</v>
      </c>
      <c r="C103" s="6">
        <v>4850.8950000000004</v>
      </c>
      <c r="D103" s="7">
        <v>1</v>
      </c>
      <c r="E103" s="12">
        <f t="shared" si="6"/>
        <v>460.55995852311787</v>
      </c>
      <c r="F103" s="34"/>
      <c r="G103" s="6">
        <v>35.1511</v>
      </c>
      <c r="H103" s="6">
        <v>83776</v>
      </c>
      <c r="I103" s="6">
        <v>4020.5927000000001</v>
      </c>
      <c r="J103" s="7">
        <v>53.984200000000001</v>
      </c>
      <c r="K103" s="12">
        <f t="shared" si="7"/>
        <v>1124.8541388437579</v>
      </c>
      <c r="M103" s="23">
        <v>35.013599999999997</v>
      </c>
      <c r="N103" s="9">
        <v>4569</v>
      </c>
      <c r="O103" s="9">
        <v>5680.1058999999996</v>
      </c>
      <c r="P103" s="10">
        <v>1</v>
      </c>
      <c r="Q103" s="13">
        <f t="shared" si="8"/>
        <v>0.80438641117589027</v>
      </c>
      <c r="R103" s="24"/>
      <c r="S103" s="9">
        <v>34.4178</v>
      </c>
      <c r="T103" s="9">
        <v>1164</v>
      </c>
      <c r="U103" s="9">
        <v>3483.5016000000001</v>
      </c>
      <c r="V103" s="10">
        <v>1</v>
      </c>
      <c r="W103" s="13">
        <f t="shared" si="9"/>
        <v>0.33414653806962513</v>
      </c>
      <c r="Y103" s="3">
        <v>34.442599999999999</v>
      </c>
      <c r="Z103" s="3">
        <v>4836</v>
      </c>
      <c r="AA103" s="3">
        <v>6912.7610000000004</v>
      </c>
      <c r="AB103" s="4">
        <v>1</v>
      </c>
      <c r="AC103" s="3">
        <v>0</v>
      </c>
      <c r="AD103" s="11">
        <f t="shared" si="10"/>
        <v>0.69957575562065577</v>
      </c>
      <c r="AE103" s="17"/>
      <c r="AF103" s="3">
        <v>34.441800000000001</v>
      </c>
      <c r="AG103" s="3">
        <v>2270</v>
      </c>
      <c r="AH103" s="3">
        <v>5917.0501000000004</v>
      </c>
      <c r="AI103" s="4">
        <v>1</v>
      </c>
      <c r="AJ103" s="11">
        <f t="shared" si="11"/>
        <v>0.38363710998492306</v>
      </c>
    </row>
    <row r="104" spans="1:36" x14ac:dyDescent="0.4">
      <c r="A104" s="33">
        <v>34.8474</v>
      </c>
      <c r="B104" s="6">
        <v>2588818</v>
      </c>
      <c r="C104" s="6">
        <v>4848.2867999999999</v>
      </c>
      <c r="D104" s="7">
        <v>1</v>
      </c>
      <c r="E104" s="12">
        <f t="shared" si="6"/>
        <v>533.96552365672756</v>
      </c>
      <c r="F104" s="34"/>
      <c r="G104" s="6">
        <v>35.152099999999997</v>
      </c>
      <c r="H104" s="6">
        <v>100000</v>
      </c>
      <c r="I104" s="6">
        <v>4018.0515999999998</v>
      </c>
      <c r="J104" s="7">
        <v>53.984200000000001</v>
      </c>
      <c r="K104" s="12">
        <f t="shared" si="7"/>
        <v>1343.5417305243168</v>
      </c>
      <c r="M104" s="23">
        <v>35.014600000000002</v>
      </c>
      <c r="N104" s="9">
        <v>5463</v>
      </c>
      <c r="O104" s="9">
        <v>5679.2367999999997</v>
      </c>
      <c r="P104" s="10">
        <v>1</v>
      </c>
      <c r="Q104" s="13">
        <f t="shared" si="8"/>
        <v>0.9619250248554525</v>
      </c>
      <c r="R104" s="24"/>
      <c r="S104" s="9">
        <v>34.418799999999997</v>
      </c>
      <c r="T104" s="9">
        <v>1233</v>
      </c>
      <c r="U104" s="9">
        <v>3481.8543</v>
      </c>
      <c r="V104" s="10">
        <v>1</v>
      </c>
      <c r="W104" s="13">
        <f t="shared" si="9"/>
        <v>0.35412165293648273</v>
      </c>
      <c r="Y104" s="3">
        <v>34.443600000000004</v>
      </c>
      <c r="Z104" s="3">
        <v>6185</v>
      </c>
      <c r="AA104" s="3">
        <v>6911.5959000000003</v>
      </c>
      <c r="AB104" s="4">
        <v>1</v>
      </c>
      <c r="AC104" s="3">
        <v>0</v>
      </c>
      <c r="AD104" s="11">
        <f t="shared" si="10"/>
        <v>0.89487291929205526</v>
      </c>
      <c r="AE104" s="17"/>
      <c r="AF104" s="3">
        <v>34.442799999999998</v>
      </c>
      <c r="AG104" s="3">
        <v>2693</v>
      </c>
      <c r="AH104" s="3">
        <v>5914.4075999999995</v>
      </c>
      <c r="AI104" s="4">
        <v>1</v>
      </c>
      <c r="AJ104" s="11">
        <f t="shared" si="11"/>
        <v>0.45532878051894837</v>
      </c>
    </row>
    <row r="105" spans="1:36" x14ac:dyDescent="0.4">
      <c r="A105" s="33">
        <v>34.848399999999998</v>
      </c>
      <c r="B105" s="6">
        <v>3028197</v>
      </c>
      <c r="C105" s="6">
        <v>4845.5437000000002</v>
      </c>
      <c r="D105" s="7">
        <v>1</v>
      </c>
      <c r="E105" s="12">
        <f t="shared" si="6"/>
        <v>624.94473014452433</v>
      </c>
      <c r="F105" s="34"/>
      <c r="G105" s="6">
        <v>35.153100000000002</v>
      </c>
      <c r="H105" s="6">
        <v>124377</v>
      </c>
      <c r="I105" s="6">
        <v>4016.0257000000001</v>
      </c>
      <c r="J105" s="7">
        <v>53.984200000000001</v>
      </c>
      <c r="K105" s="12">
        <f t="shared" si="7"/>
        <v>1671.8998694156762</v>
      </c>
      <c r="M105" s="23">
        <v>35.015599999999999</v>
      </c>
      <c r="N105" s="9">
        <v>6590</v>
      </c>
      <c r="O105" s="9">
        <v>5681.6145999999999</v>
      </c>
      <c r="P105" s="10">
        <v>1</v>
      </c>
      <c r="Q105" s="13">
        <f t="shared" si="8"/>
        <v>1.1598815590202123</v>
      </c>
      <c r="R105" s="24"/>
      <c r="S105" s="9">
        <v>34.419800000000002</v>
      </c>
      <c r="T105" s="9">
        <v>1467</v>
      </c>
      <c r="U105" s="9">
        <v>3482.2114999999999</v>
      </c>
      <c r="V105" s="10">
        <v>1</v>
      </c>
      <c r="W105" s="13">
        <f t="shared" si="9"/>
        <v>0.4212840029963717</v>
      </c>
      <c r="Y105" s="3">
        <v>34.444600000000001</v>
      </c>
      <c r="Z105" s="3">
        <v>7052</v>
      </c>
      <c r="AA105" s="3">
        <v>6908.3379999999997</v>
      </c>
      <c r="AB105" s="4">
        <v>1</v>
      </c>
      <c r="AC105" s="3">
        <v>0</v>
      </c>
      <c r="AD105" s="11">
        <f t="shared" si="10"/>
        <v>1.0207954503673677</v>
      </c>
      <c r="AE105" s="17"/>
      <c r="AF105" s="3">
        <v>34.443800000000003</v>
      </c>
      <c r="AG105" s="3">
        <v>3354</v>
      </c>
      <c r="AH105" s="3">
        <v>5913.0896000000002</v>
      </c>
      <c r="AI105" s="4">
        <v>1</v>
      </c>
      <c r="AJ105" s="11">
        <f t="shared" si="11"/>
        <v>0.56721616394921526</v>
      </c>
    </row>
    <row r="106" spans="1:36" x14ac:dyDescent="0.4">
      <c r="A106" s="33">
        <v>34.849400000000003</v>
      </c>
      <c r="B106" s="6">
        <v>68966</v>
      </c>
      <c r="C106" s="6">
        <v>4846.8042999999998</v>
      </c>
      <c r="D106" s="7">
        <v>53.984200000000001</v>
      </c>
      <c r="E106" s="12">
        <f t="shared" si="6"/>
        <v>768.15033303490304</v>
      </c>
      <c r="F106" s="34"/>
      <c r="G106" s="6">
        <v>35.1541</v>
      </c>
      <c r="H106" s="6">
        <v>155621</v>
      </c>
      <c r="I106" s="6">
        <v>4013.7375999999999</v>
      </c>
      <c r="J106" s="7">
        <v>53.984200000000001</v>
      </c>
      <c r="K106" s="12">
        <f t="shared" si="7"/>
        <v>2093.0803219921504</v>
      </c>
      <c r="M106" s="23">
        <v>35.016599999999997</v>
      </c>
      <c r="N106" s="9">
        <v>8114</v>
      </c>
      <c r="O106" s="9">
        <v>5679.0182000000004</v>
      </c>
      <c r="P106" s="10">
        <v>1</v>
      </c>
      <c r="Q106" s="13">
        <f t="shared" si="8"/>
        <v>1.428768092343849</v>
      </c>
      <c r="R106" s="24"/>
      <c r="S106" s="9">
        <v>34.4208</v>
      </c>
      <c r="T106" s="9">
        <v>1728</v>
      </c>
      <c r="U106" s="9">
        <v>3483.5259000000001</v>
      </c>
      <c r="V106" s="10">
        <v>1</v>
      </c>
      <c r="W106" s="13">
        <f t="shared" si="9"/>
        <v>0.49604913228863889</v>
      </c>
      <c r="Y106" s="3">
        <v>34.445599999999999</v>
      </c>
      <c r="Z106" s="3">
        <v>8733</v>
      </c>
      <c r="AA106" s="3">
        <v>6908.4745000000003</v>
      </c>
      <c r="AB106" s="4">
        <v>1</v>
      </c>
      <c r="AC106" s="3">
        <v>0</v>
      </c>
      <c r="AD106" s="11">
        <f t="shared" si="10"/>
        <v>1.2640996214142499</v>
      </c>
      <c r="AE106" s="17"/>
      <c r="AF106" s="3">
        <v>34.444800000000001</v>
      </c>
      <c r="AG106" s="3">
        <v>3972</v>
      </c>
      <c r="AH106" s="3">
        <v>5909.9804000000004</v>
      </c>
      <c r="AI106" s="4">
        <v>1</v>
      </c>
      <c r="AJ106" s="11">
        <f t="shared" si="11"/>
        <v>0.67208344718029855</v>
      </c>
    </row>
    <row r="107" spans="1:36" x14ac:dyDescent="0.4">
      <c r="A107" s="33">
        <v>34.8504</v>
      </c>
      <c r="B107" s="6">
        <v>82121</v>
      </c>
      <c r="C107" s="6">
        <v>4842.8797999999997</v>
      </c>
      <c r="D107" s="7">
        <v>53.984200000000001</v>
      </c>
      <c r="E107" s="12">
        <f t="shared" si="6"/>
        <v>915.41328120512117</v>
      </c>
      <c r="F107" s="34"/>
      <c r="G107" s="6">
        <v>35.155099999999997</v>
      </c>
      <c r="H107" s="6">
        <v>196085</v>
      </c>
      <c r="I107" s="6">
        <v>4014.2606999999998</v>
      </c>
      <c r="J107" s="7">
        <v>53.984200000000001</v>
      </c>
      <c r="K107" s="12">
        <f t="shared" si="7"/>
        <v>2636.9716986741796</v>
      </c>
      <c r="M107" s="23">
        <v>35.017600000000002</v>
      </c>
      <c r="N107" s="9">
        <v>9865</v>
      </c>
      <c r="O107" s="9">
        <v>5675.0990000000002</v>
      </c>
      <c r="P107" s="10">
        <v>1</v>
      </c>
      <c r="Q107" s="13">
        <f t="shared" si="8"/>
        <v>1.7382956667363865</v>
      </c>
      <c r="R107" s="24"/>
      <c r="S107" s="9">
        <v>34.421799999999998</v>
      </c>
      <c r="T107" s="9">
        <v>2014</v>
      </c>
      <c r="U107" s="9">
        <v>3482.1680000000001</v>
      </c>
      <c r="V107" s="10">
        <v>1</v>
      </c>
      <c r="W107" s="13">
        <f t="shared" si="9"/>
        <v>0.57837531101313888</v>
      </c>
      <c r="Y107" s="3">
        <v>34.446599999999997</v>
      </c>
      <c r="Z107" s="3">
        <v>10976</v>
      </c>
      <c r="AA107" s="3">
        <v>6904.0942999999997</v>
      </c>
      <c r="AB107" s="4">
        <v>1</v>
      </c>
      <c r="AC107" s="3">
        <v>0</v>
      </c>
      <c r="AD107" s="11">
        <f t="shared" si="10"/>
        <v>1.5897812983232285</v>
      </c>
      <c r="AE107" s="17"/>
      <c r="AF107" s="3">
        <v>34.445799999999998</v>
      </c>
      <c r="AG107" s="3">
        <v>4884</v>
      </c>
      <c r="AH107" s="3">
        <v>5908.2566999999999</v>
      </c>
      <c r="AI107" s="4">
        <v>1</v>
      </c>
      <c r="AJ107" s="11">
        <f t="shared" si="11"/>
        <v>0.8266397768397572</v>
      </c>
    </row>
    <row r="108" spans="1:36" x14ac:dyDescent="0.4">
      <c r="A108" s="33">
        <v>34.851399999999998</v>
      </c>
      <c r="B108" s="6">
        <v>97761</v>
      </c>
      <c r="C108" s="6">
        <v>4840.8720000000003</v>
      </c>
      <c r="D108" s="7">
        <v>53.984200000000001</v>
      </c>
      <c r="E108" s="12">
        <f t="shared" si="6"/>
        <v>1090.2063463359493</v>
      </c>
      <c r="F108" s="34"/>
      <c r="G108" s="6">
        <v>35.156100000000002</v>
      </c>
      <c r="H108" s="6">
        <v>244250</v>
      </c>
      <c r="I108" s="6">
        <v>4013.3838999999998</v>
      </c>
      <c r="J108" s="7">
        <v>53.984200000000001</v>
      </c>
      <c r="K108" s="12">
        <f t="shared" si="7"/>
        <v>3285.4172883884844</v>
      </c>
      <c r="M108" s="23">
        <v>35.018599999999999</v>
      </c>
      <c r="N108" s="9">
        <v>12165</v>
      </c>
      <c r="O108" s="9">
        <v>5669.0936000000002</v>
      </c>
      <c r="P108" s="10">
        <v>1</v>
      </c>
      <c r="Q108" s="13">
        <f t="shared" si="8"/>
        <v>2.1458456780463107</v>
      </c>
      <c r="R108" s="24"/>
      <c r="S108" s="9">
        <v>34.422800000000002</v>
      </c>
      <c r="T108" s="9">
        <v>2533</v>
      </c>
      <c r="U108" s="9">
        <v>3481.2981</v>
      </c>
      <c r="V108" s="10">
        <v>1</v>
      </c>
      <c r="W108" s="13">
        <f t="shared" si="9"/>
        <v>0.72760215506968506</v>
      </c>
      <c r="Y108" s="3">
        <v>34.447600000000001</v>
      </c>
      <c r="Z108" s="3">
        <v>13497</v>
      </c>
      <c r="AA108" s="3">
        <v>6902.7736000000004</v>
      </c>
      <c r="AB108" s="4">
        <v>1</v>
      </c>
      <c r="AC108" s="3">
        <v>0</v>
      </c>
      <c r="AD108" s="11">
        <f t="shared" si="10"/>
        <v>1.9553009822022844</v>
      </c>
      <c r="AE108" s="17"/>
      <c r="AF108" s="3">
        <v>34.446800000000003</v>
      </c>
      <c r="AG108" s="3">
        <v>5994</v>
      </c>
      <c r="AH108" s="3">
        <v>5908.8644999999997</v>
      </c>
      <c r="AI108" s="4">
        <v>1</v>
      </c>
      <c r="AJ108" s="11">
        <f t="shared" si="11"/>
        <v>1.0144080982056705</v>
      </c>
    </row>
    <row r="109" spans="1:36" x14ac:dyDescent="0.4">
      <c r="A109" s="33">
        <v>34.852400000000003</v>
      </c>
      <c r="B109" s="6">
        <v>118975</v>
      </c>
      <c r="C109" s="6">
        <v>4838.9492</v>
      </c>
      <c r="D109" s="7">
        <v>53.984200000000001</v>
      </c>
      <c r="E109" s="12">
        <f t="shared" si="6"/>
        <v>1327.3068035101505</v>
      </c>
      <c r="F109" s="34"/>
      <c r="G109" s="6">
        <v>35.1571</v>
      </c>
      <c r="H109" s="6">
        <v>301642</v>
      </c>
      <c r="I109" s="6">
        <v>4013.6282000000001</v>
      </c>
      <c r="J109" s="7">
        <v>53.984200000000001</v>
      </c>
      <c r="K109" s="12">
        <f t="shared" si="7"/>
        <v>4057.1525923601994</v>
      </c>
      <c r="M109" s="23">
        <v>35.019599999999997</v>
      </c>
      <c r="N109" s="9">
        <v>15832</v>
      </c>
      <c r="O109" s="9">
        <v>5667.4403000000002</v>
      </c>
      <c r="P109" s="10">
        <v>1</v>
      </c>
      <c r="Q109" s="13">
        <f t="shared" si="8"/>
        <v>2.793500974328746</v>
      </c>
      <c r="R109" s="24"/>
      <c r="S109" s="9">
        <v>34.4238</v>
      </c>
      <c r="T109" s="9">
        <v>3439</v>
      </c>
      <c r="U109" s="9">
        <v>3481.3888999999999</v>
      </c>
      <c r="V109" s="10">
        <v>1</v>
      </c>
      <c r="W109" s="13">
        <f t="shared" si="9"/>
        <v>0.98782414110644179</v>
      </c>
      <c r="Y109" s="3">
        <v>34.448599999999999</v>
      </c>
      <c r="Z109" s="3">
        <v>17018</v>
      </c>
      <c r="AA109" s="3">
        <v>6902.9525999999996</v>
      </c>
      <c r="AB109" s="4">
        <v>1</v>
      </c>
      <c r="AC109" s="3">
        <v>0</v>
      </c>
      <c r="AD109" s="11">
        <f t="shared" si="10"/>
        <v>2.4653218682104234</v>
      </c>
      <c r="AE109" s="17"/>
      <c r="AF109" s="3">
        <v>34.447800000000001</v>
      </c>
      <c r="AG109" s="3">
        <v>7203</v>
      </c>
      <c r="AH109" s="3">
        <v>5909.8996999999999</v>
      </c>
      <c r="AI109" s="4">
        <v>1</v>
      </c>
      <c r="AJ109" s="11">
        <f t="shared" si="11"/>
        <v>1.2188024104706887</v>
      </c>
    </row>
    <row r="110" spans="1:36" x14ac:dyDescent="0.4">
      <c r="A110" s="33">
        <v>34.853400000000001</v>
      </c>
      <c r="B110" s="6">
        <v>146714</v>
      </c>
      <c r="C110" s="6">
        <v>4839.5176000000001</v>
      </c>
      <c r="D110" s="7">
        <v>53.984200000000001</v>
      </c>
      <c r="E110" s="12">
        <f t="shared" si="6"/>
        <v>1636.5759097146376</v>
      </c>
      <c r="F110" s="34"/>
      <c r="G110" s="6">
        <v>35.158099999999997</v>
      </c>
      <c r="H110" s="6">
        <v>361710</v>
      </c>
      <c r="I110" s="6">
        <v>4011.8897999999999</v>
      </c>
      <c r="J110" s="7">
        <v>53.984200000000001</v>
      </c>
      <c r="K110" s="12">
        <f t="shared" si="7"/>
        <v>4867.1887702399008</v>
      </c>
      <c r="M110" s="23">
        <v>35.020600000000002</v>
      </c>
      <c r="N110" s="9">
        <v>20385</v>
      </c>
      <c r="O110" s="9">
        <v>5662.4808000000003</v>
      </c>
      <c r="P110" s="10">
        <v>1</v>
      </c>
      <c r="Q110" s="13">
        <f t="shared" si="8"/>
        <v>3.600012206663906</v>
      </c>
      <c r="R110" s="24"/>
      <c r="S110" s="9">
        <v>34.424799999999998</v>
      </c>
      <c r="T110" s="9">
        <v>5822</v>
      </c>
      <c r="U110" s="9">
        <v>3480.8906000000002</v>
      </c>
      <c r="V110" s="10">
        <v>1</v>
      </c>
      <c r="W110" s="13">
        <f t="shared" si="9"/>
        <v>1.6725604648419574</v>
      </c>
      <c r="Y110" s="3">
        <v>34.449599999999997</v>
      </c>
      <c r="Z110" s="3">
        <v>22571</v>
      </c>
      <c r="AA110" s="3">
        <v>6903.0497999999998</v>
      </c>
      <c r="AB110" s="4">
        <v>1</v>
      </c>
      <c r="AC110" s="3">
        <v>0</v>
      </c>
      <c r="AD110" s="11">
        <f t="shared" si="10"/>
        <v>3.2697142066105331</v>
      </c>
      <c r="AE110" s="17"/>
      <c r="AF110" s="3">
        <v>34.448799999999999</v>
      </c>
      <c r="AG110" s="3">
        <v>8480</v>
      </c>
      <c r="AH110" s="3">
        <v>5909.8824999999997</v>
      </c>
      <c r="AI110" s="4">
        <v>1</v>
      </c>
      <c r="AJ110" s="11">
        <f t="shared" si="11"/>
        <v>1.4348847037144987</v>
      </c>
    </row>
    <row r="111" spans="1:36" x14ac:dyDescent="0.4">
      <c r="A111" s="33">
        <v>34.854399999999998</v>
      </c>
      <c r="B111" s="6">
        <v>182630</v>
      </c>
      <c r="C111" s="6">
        <v>4841.4079000000002</v>
      </c>
      <c r="D111" s="7">
        <v>53.984200000000001</v>
      </c>
      <c r="E111" s="12">
        <f t="shared" si="6"/>
        <v>2036.418878483674</v>
      </c>
      <c r="F111" s="34"/>
      <c r="G111" s="6">
        <v>35.159100000000002</v>
      </c>
      <c r="H111" s="6">
        <v>422113</v>
      </c>
      <c r="I111" s="6">
        <v>4013.8312999999998</v>
      </c>
      <c r="J111" s="7">
        <v>53.984200000000001</v>
      </c>
      <c r="K111" s="12">
        <f t="shared" si="7"/>
        <v>5677.2272951780515</v>
      </c>
      <c r="M111" s="23">
        <v>35.021599999999999</v>
      </c>
      <c r="N111" s="9">
        <v>28496</v>
      </c>
      <c r="O111" s="9">
        <v>5660.2205000000004</v>
      </c>
      <c r="P111" s="10">
        <v>1</v>
      </c>
      <c r="Q111" s="13">
        <f t="shared" si="8"/>
        <v>5.0344328458582135</v>
      </c>
      <c r="R111" s="24"/>
      <c r="S111" s="9">
        <v>34.425800000000002</v>
      </c>
      <c r="T111" s="9">
        <v>16881</v>
      </c>
      <c r="U111" s="9">
        <v>3481.1174999999998</v>
      </c>
      <c r="V111" s="10">
        <v>1</v>
      </c>
      <c r="W111" s="13">
        <f t="shared" si="9"/>
        <v>4.8493048568455395</v>
      </c>
      <c r="Y111" s="3">
        <v>34.450600000000001</v>
      </c>
      <c r="Z111" s="3">
        <v>31629</v>
      </c>
      <c r="AA111" s="3">
        <v>6903.5663999999997</v>
      </c>
      <c r="AB111" s="4">
        <v>1</v>
      </c>
      <c r="AC111" s="3">
        <v>0</v>
      </c>
      <c r="AD111" s="11">
        <f t="shared" si="10"/>
        <v>4.5815449823152274</v>
      </c>
      <c r="AE111" s="17"/>
      <c r="AF111" s="3">
        <v>34.449800000000003</v>
      </c>
      <c r="AG111" s="3">
        <v>11026</v>
      </c>
      <c r="AH111" s="3">
        <v>5909.1815999999999</v>
      </c>
      <c r="AI111" s="4">
        <v>1</v>
      </c>
      <c r="AJ111" s="11">
        <f t="shared" si="11"/>
        <v>1.865909824128607</v>
      </c>
    </row>
    <row r="112" spans="1:36" x14ac:dyDescent="0.4">
      <c r="A112" s="33">
        <v>34.855400000000003</v>
      </c>
      <c r="B112" s="6">
        <v>229666</v>
      </c>
      <c r="C112" s="6">
        <v>4845.1419999999998</v>
      </c>
      <c r="D112" s="7">
        <v>53.984200000000001</v>
      </c>
      <c r="E112" s="12">
        <f t="shared" si="6"/>
        <v>2558.920930944852</v>
      </c>
      <c r="F112" s="34"/>
      <c r="G112" s="6">
        <v>35.1601</v>
      </c>
      <c r="H112" s="6">
        <v>481340</v>
      </c>
      <c r="I112" s="6">
        <v>4011.723</v>
      </c>
      <c r="J112" s="7">
        <v>53.984200000000001</v>
      </c>
      <c r="K112" s="12">
        <f t="shared" si="7"/>
        <v>6477.205636580592</v>
      </c>
      <c r="M112" s="23">
        <v>35.022599999999997</v>
      </c>
      <c r="N112" s="9">
        <v>45201</v>
      </c>
      <c r="O112" s="9">
        <v>5656.3809000000001</v>
      </c>
      <c r="P112" s="10">
        <v>1</v>
      </c>
      <c r="Q112" s="13">
        <f t="shared" si="8"/>
        <v>7.991152081006426</v>
      </c>
      <c r="R112" s="24"/>
      <c r="S112" s="9">
        <v>34.4268</v>
      </c>
      <c r="T112" s="9">
        <v>75369</v>
      </c>
      <c r="U112" s="9">
        <v>3480.6127000000001</v>
      </c>
      <c r="V112" s="10">
        <v>1</v>
      </c>
      <c r="W112" s="13">
        <f t="shared" si="9"/>
        <v>21.653946157238348</v>
      </c>
      <c r="Y112" s="3">
        <v>34.451599999999999</v>
      </c>
      <c r="Z112" s="3">
        <v>54881</v>
      </c>
      <c r="AA112" s="3">
        <v>6903.7767000000003</v>
      </c>
      <c r="AB112" s="4">
        <v>1</v>
      </c>
      <c r="AC112" s="3">
        <v>0</v>
      </c>
      <c r="AD112" s="11">
        <f t="shared" si="10"/>
        <v>7.9494170198175729</v>
      </c>
      <c r="AE112" s="17"/>
      <c r="AF112" s="3">
        <v>34.450800000000001</v>
      </c>
      <c r="AG112" s="3">
        <v>13833</v>
      </c>
      <c r="AH112" s="3">
        <v>5911.5311000000002</v>
      </c>
      <c r="AI112" s="4">
        <v>1</v>
      </c>
      <c r="AJ112" s="11">
        <f t="shared" si="11"/>
        <v>2.3400029139658929</v>
      </c>
    </row>
    <row r="113" spans="1:36" x14ac:dyDescent="0.4">
      <c r="A113" s="33">
        <v>34.856400000000001</v>
      </c>
      <c r="B113" s="6">
        <v>292994</v>
      </c>
      <c r="C113" s="6">
        <v>4846.1952000000001</v>
      </c>
      <c r="D113" s="7">
        <v>53.984200000000001</v>
      </c>
      <c r="E113" s="12">
        <f t="shared" si="6"/>
        <v>3263.8071811057057</v>
      </c>
      <c r="F113" s="34"/>
      <c r="G113" s="6">
        <v>35.161099999999998</v>
      </c>
      <c r="H113" s="6">
        <v>537126</v>
      </c>
      <c r="I113" s="6">
        <v>4011.8177999999998</v>
      </c>
      <c r="J113" s="7">
        <v>53.984200000000001</v>
      </c>
      <c r="K113" s="12">
        <f t="shared" si="7"/>
        <v>7227.7253989949404</v>
      </c>
      <c r="M113" s="23">
        <v>35.023600000000002</v>
      </c>
      <c r="N113" s="9">
        <v>147112</v>
      </c>
      <c r="O113" s="9">
        <v>5655.7597999999998</v>
      </c>
      <c r="P113" s="10">
        <v>1</v>
      </c>
      <c r="Q113" s="13">
        <f t="shared" si="8"/>
        <v>26.01100563004815</v>
      </c>
      <c r="R113" s="24"/>
      <c r="S113" s="9">
        <v>34.427799999999998</v>
      </c>
      <c r="T113" s="9">
        <v>353159</v>
      </c>
      <c r="U113" s="9">
        <v>3478.7040000000002</v>
      </c>
      <c r="V113" s="10">
        <v>1</v>
      </c>
      <c r="W113" s="13">
        <f t="shared" si="9"/>
        <v>101.52027881647878</v>
      </c>
      <c r="Y113" s="3">
        <v>34.452599999999997</v>
      </c>
      <c r="Z113" s="3">
        <v>171138</v>
      </c>
      <c r="AA113" s="3">
        <v>6899.6464999999998</v>
      </c>
      <c r="AB113" s="4">
        <v>1</v>
      </c>
      <c r="AC113" s="3">
        <v>0</v>
      </c>
      <c r="AD113" s="11">
        <f t="shared" si="10"/>
        <v>24.803879445128096</v>
      </c>
      <c r="AE113" s="17"/>
      <c r="AF113" s="3">
        <v>34.451799999999999</v>
      </c>
      <c r="AG113" s="3">
        <v>17834</v>
      </c>
      <c r="AH113" s="3">
        <v>5910.6725999999999</v>
      </c>
      <c r="AI113" s="4">
        <v>1</v>
      </c>
      <c r="AJ113" s="11">
        <f t="shared" si="11"/>
        <v>3.0172539077870768</v>
      </c>
    </row>
    <row r="114" spans="1:36" x14ac:dyDescent="0.4">
      <c r="A114" s="33">
        <v>34.857399999999998</v>
      </c>
      <c r="B114" s="6">
        <v>381880</v>
      </c>
      <c r="C114" s="6">
        <v>4845.3308999999999</v>
      </c>
      <c r="D114" s="7">
        <v>53.984200000000001</v>
      </c>
      <c r="E114" s="12">
        <f t="shared" si="6"/>
        <v>4254.7117465186948</v>
      </c>
      <c r="F114" s="34"/>
      <c r="G114" s="6">
        <v>35.162100000000002</v>
      </c>
      <c r="H114" s="6">
        <v>593293</v>
      </c>
      <c r="I114" s="6">
        <v>4012.0933</v>
      </c>
      <c r="J114" s="7">
        <v>53.984200000000001</v>
      </c>
      <c r="K114" s="12">
        <f t="shared" si="7"/>
        <v>7982.9768591373486</v>
      </c>
      <c r="M114" s="23">
        <v>35.0246</v>
      </c>
      <c r="N114" s="9">
        <v>1088960</v>
      </c>
      <c r="O114" s="9">
        <v>5655.4175999999998</v>
      </c>
      <c r="P114" s="10">
        <v>1</v>
      </c>
      <c r="Q114" s="13">
        <f t="shared" si="8"/>
        <v>192.55165171180286</v>
      </c>
      <c r="R114" s="24"/>
      <c r="S114" s="9">
        <v>34.428800000000003</v>
      </c>
      <c r="T114" s="9">
        <v>1269031</v>
      </c>
      <c r="U114" s="9">
        <v>3478.4371000000001</v>
      </c>
      <c r="V114" s="10">
        <v>1</v>
      </c>
      <c r="W114" s="13">
        <f t="shared" si="9"/>
        <v>364.82792803699107</v>
      </c>
      <c r="Y114" s="3">
        <v>34.453600000000002</v>
      </c>
      <c r="Z114" s="3">
        <v>1008557</v>
      </c>
      <c r="AA114" s="3">
        <v>6898.5285999999996</v>
      </c>
      <c r="AB114" s="4">
        <v>1</v>
      </c>
      <c r="AC114" s="3">
        <v>0</v>
      </c>
      <c r="AD114" s="11">
        <f t="shared" si="10"/>
        <v>146.19885753608386</v>
      </c>
      <c r="AE114" s="17"/>
      <c r="AF114" s="3">
        <v>34.452800000000003</v>
      </c>
      <c r="AG114" s="3">
        <v>24841</v>
      </c>
      <c r="AH114" s="3">
        <v>5912.6089000000002</v>
      </c>
      <c r="AI114" s="4">
        <v>1</v>
      </c>
      <c r="AJ114" s="11">
        <f t="shared" si="11"/>
        <v>4.2013602489418842</v>
      </c>
    </row>
    <row r="115" spans="1:36" x14ac:dyDescent="0.4">
      <c r="A115" s="33">
        <v>34.858400000000003</v>
      </c>
      <c r="B115" s="6">
        <v>502985</v>
      </c>
      <c r="C115" s="6">
        <v>4846.5852999999997</v>
      </c>
      <c r="D115" s="7">
        <v>53.984200000000001</v>
      </c>
      <c r="E115" s="12">
        <f t="shared" si="6"/>
        <v>5602.5513131895159</v>
      </c>
      <c r="F115" s="34"/>
      <c r="G115" s="6">
        <v>35.1631</v>
      </c>
      <c r="H115" s="6">
        <v>646409</v>
      </c>
      <c r="I115" s="6">
        <v>4011.5453000000002</v>
      </c>
      <c r="J115" s="7">
        <v>53.984200000000001</v>
      </c>
      <c r="K115" s="12">
        <f t="shared" si="7"/>
        <v>8698.8604460729875</v>
      </c>
      <c r="M115" s="23">
        <v>35.025599999999997</v>
      </c>
      <c r="N115" s="9">
        <v>130883</v>
      </c>
      <c r="O115" s="9">
        <v>5657.6409000000003</v>
      </c>
      <c r="P115" s="10">
        <v>53.984200000000001</v>
      </c>
      <c r="Q115" s="13">
        <f t="shared" si="8"/>
        <v>1248.8622331261781</v>
      </c>
      <c r="R115" s="24"/>
      <c r="S115" s="9">
        <v>34.4298</v>
      </c>
      <c r="T115" s="9">
        <v>64467</v>
      </c>
      <c r="U115" s="9">
        <v>3479.1887999999999</v>
      </c>
      <c r="V115" s="10">
        <v>53.984200000000001</v>
      </c>
      <c r="W115" s="13">
        <f t="shared" si="9"/>
        <v>1000.2904761592704</v>
      </c>
      <c r="Y115" s="3">
        <v>34.454599999999999</v>
      </c>
      <c r="Z115" s="3">
        <v>5978135</v>
      </c>
      <c r="AA115" s="3">
        <v>6899.2920999999997</v>
      </c>
      <c r="AB115" s="4">
        <v>1</v>
      </c>
      <c r="AC115" s="3">
        <v>0</v>
      </c>
      <c r="AD115" s="11">
        <f t="shared" si="10"/>
        <v>866.48527317751928</v>
      </c>
      <c r="AE115" s="17"/>
      <c r="AF115" s="3">
        <v>34.453800000000001</v>
      </c>
      <c r="AG115" s="3">
        <v>41450</v>
      </c>
      <c r="AH115" s="3">
        <v>5913.0883999999996</v>
      </c>
      <c r="AI115" s="4">
        <v>1</v>
      </c>
      <c r="AJ115" s="11">
        <f t="shared" si="11"/>
        <v>7.0098732161690673</v>
      </c>
    </row>
    <row r="116" spans="1:36" x14ac:dyDescent="0.4">
      <c r="A116" s="33">
        <v>34.859400000000001</v>
      </c>
      <c r="B116" s="6">
        <v>663890</v>
      </c>
      <c r="C116" s="6">
        <v>4849.6895000000004</v>
      </c>
      <c r="D116" s="7">
        <v>53.984200000000001</v>
      </c>
      <c r="E116" s="12">
        <f t="shared" si="6"/>
        <v>7390.0752899747486</v>
      </c>
      <c r="F116" s="34"/>
      <c r="G116" s="6">
        <v>35.164099999999998</v>
      </c>
      <c r="H116" s="6">
        <v>698383</v>
      </c>
      <c r="I116" s="6">
        <v>4011.3667999999998</v>
      </c>
      <c r="J116" s="7">
        <v>53.984200000000001</v>
      </c>
      <c r="K116" s="12">
        <f t="shared" si="7"/>
        <v>9398.7035911550156</v>
      </c>
      <c r="M116" s="23">
        <v>35.026600000000002</v>
      </c>
      <c r="N116" s="9">
        <v>444213</v>
      </c>
      <c r="O116" s="9">
        <v>5660.2749999999996</v>
      </c>
      <c r="P116" s="10">
        <v>53.984200000000001</v>
      </c>
      <c r="Q116" s="13">
        <f t="shared" si="8"/>
        <v>4236.628685814735</v>
      </c>
      <c r="R116" s="24"/>
      <c r="S116" s="9">
        <v>34.430799999999998</v>
      </c>
      <c r="T116" s="9">
        <v>132677</v>
      </c>
      <c r="U116" s="9">
        <v>3480.4434000000001</v>
      </c>
      <c r="V116" s="10">
        <v>53.984200000000001</v>
      </c>
      <c r="W116" s="13">
        <f t="shared" si="9"/>
        <v>2057.9164434623472</v>
      </c>
      <c r="Y116" s="3">
        <v>34.455599999999997</v>
      </c>
      <c r="Z116" s="3">
        <v>427921</v>
      </c>
      <c r="AA116" s="3">
        <v>6898.4907000000003</v>
      </c>
      <c r="AB116" s="4">
        <v>53.984200000000001</v>
      </c>
      <c r="AC116" s="3">
        <v>0</v>
      </c>
      <c r="AD116" s="11">
        <f t="shared" si="10"/>
        <v>3348.6995710815409</v>
      </c>
      <c r="AE116" s="17"/>
      <c r="AF116" s="3">
        <v>34.454799999999999</v>
      </c>
      <c r="AG116" s="3">
        <v>115773</v>
      </c>
      <c r="AH116" s="3">
        <v>5914.1905999999999</v>
      </c>
      <c r="AI116" s="4">
        <v>1</v>
      </c>
      <c r="AJ116" s="11">
        <f t="shared" si="11"/>
        <v>19.575459742538566</v>
      </c>
    </row>
    <row r="117" spans="1:36" x14ac:dyDescent="0.4">
      <c r="A117" s="33">
        <v>34.860399999999998</v>
      </c>
      <c r="B117" s="6">
        <v>862722</v>
      </c>
      <c r="C117" s="6">
        <v>4853.3001999999997</v>
      </c>
      <c r="D117" s="7">
        <v>53.984200000000001</v>
      </c>
      <c r="E117" s="12">
        <f t="shared" si="6"/>
        <v>9596.2242336462114</v>
      </c>
      <c r="F117" s="34"/>
      <c r="G117" s="6">
        <v>35.165100000000002</v>
      </c>
      <c r="H117" s="6">
        <v>743825</v>
      </c>
      <c r="I117" s="6">
        <v>4010.2166000000002</v>
      </c>
      <c r="J117" s="7">
        <v>53.984200000000001</v>
      </c>
      <c r="K117" s="12">
        <f t="shared" si="7"/>
        <v>10013.12436964128</v>
      </c>
      <c r="M117" s="23">
        <v>35.0276</v>
      </c>
      <c r="N117" s="9">
        <v>1078068</v>
      </c>
      <c r="O117" s="9">
        <v>5661.6067999999996</v>
      </c>
      <c r="P117" s="10">
        <v>53.984200000000001</v>
      </c>
      <c r="Q117" s="13">
        <f t="shared" si="8"/>
        <v>10279.526745940746</v>
      </c>
      <c r="R117" s="24"/>
      <c r="S117" s="9">
        <v>34.431800000000003</v>
      </c>
      <c r="T117" s="9">
        <v>225786</v>
      </c>
      <c r="U117" s="9">
        <v>3478.8101999999999</v>
      </c>
      <c r="V117" s="10">
        <v>53.984200000000001</v>
      </c>
      <c r="W117" s="13">
        <f t="shared" si="9"/>
        <v>3503.748661309548</v>
      </c>
      <c r="Y117" s="3">
        <v>34.456600000000002</v>
      </c>
      <c r="Z117" s="3">
        <v>1147867</v>
      </c>
      <c r="AA117" s="3">
        <v>6896.1039000000001</v>
      </c>
      <c r="AB117" s="4">
        <v>53.984200000000001</v>
      </c>
      <c r="AC117" s="3">
        <v>0</v>
      </c>
      <c r="AD117" s="11">
        <f t="shared" si="10"/>
        <v>8985.7523320378059</v>
      </c>
      <c r="AE117" s="17"/>
      <c r="AF117" s="3">
        <v>34.455800000000004</v>
      </c>
      <c r="AG117" s="3">
        <v>645104</v>
      </c>
      <c r="AH117" s="3">
        <v>5914.9165999999996</v>
      </c>
      <c r="AI117" s="4">
        <v>1</v>
      </c>
      <c r="AJ117" s="11">
        <f t="shared" si="11"/>
        <v>109.06392154371206</v>
      </c>
    </row>
    <row r="118" spans="1:36" x14ac:dyDescent="0.4">
      <c r="A118" s="33">
        <v>34.861400000000003</v>
      </c>
      <c r="B118" s="6">
        <v>1071355</v>
      </c>
      <c r="C118" s="6">
        <v>4859.8818000000001</v>
      </c>
      <c r="D118" s="7">
        <v>53.984200000000001</v>
      </c>
      <c r="E118" s="12">
        <f t="shared" si="6"/>
        <v>11900.75087649251</v>
      </c>
      <c r="F118" s="34"/>
      <c r="G118" s="6">
        <v>35.1661</v>
      </c>
      <c r="H118" s="6">
        <v>776890</v>
      </c>
      <c r="I118" s="6">
        <v>4011.8512999999998</v>
      </c>
      <c r="J118" s="7">
        <v>53.984200000000001</v>
      </c>
      <c r="K118" s="12">
        <f t="shared" si="7"/>
        <v>10453.972991970066</v>
      </c>
      <c r="M118" s="23">
        <v>35.028599999999997</v>
      </c>
      <c r="N118" s="9">
        <v>1899310</v>
      </c>
      <c r="O118" s="9">
        <v>5658.5168999999996</v>
      </c>
      <c r="P118" s="10">
        <v>53.984200000000001</v>
      </c>
      <c r="Q118" s="13">
        <f t="shared" si="8"/>
        <v>18120.07151591259</v>
      </c>
      <c r="R118" s="24"/>
      <c r="S118" s="9">
        <v>34.4328</v>
      </c>
      <c r="T118" s="9">
        <v>332956</v>
      </c>
      <c r="U118" s="9">
        <v>3480.7420999999999</v>
      </c>
      <c r="V118" s="10">
        <v>53.984200000000001</v>
      </c>
      <c r="W118" s="13">
        <f t="shared" si="9"/>
        <v>5163.9457273206199</v>
      </c>
      <c r="Y118" s="3">
        <v>34.457599999999999</v>
      </c>
      <c r="Z118" s="3">
        <v>2094728</v>
      </c>
      <c r="AA118" s="3">
        <v>6894.6881000000003</v>
      </c>
      <c r="AB118" s="4">
        <v>53.984200000000001</v>
      </c>
      <c r="AC118" s="3">
        <v>0</v>
      </c>
      <c r="AD118" s="11">
        <f t="shared" si="10"/>
        <v>16401.353282043317</v>
      </c>
      <c r="AE118" s="17"/>
      <c r="AF118" s="3">
        <v>34.456800000000001</v>
      </c>
      <c r="AG118" s="3">
        <v>4093312</v>
      </c>
      <c r="AH118" s="3">
        <v>5916.6607000000004</v>
      </c>
      <c r="AI118" s="4">
        <v>1</v>
      </c>
      <c r="AJ118" s="11">
        <f t="shared" si="11"/>
        <v>691.82807795620249</v>
      </c>
    </row>
    <row r="119" spans="1:36" x14ac:dyDescent="0.4">
      <c r="A119" s="33">
        <v>34.862400000000001</v>
      </c>
      <c r="B119" s="6">
        <v>1232751</v>
      </c>
      <c r="C119" s="6">
        <v>4860.9528</v>
      </c>
      <c r="D119" s="7">
        <v>53.984200000000001</v>
      </c>
      <c r="E119" s="12">
        <f t="shared" si="6"/>
        <v>13690.541602090849</v>
      </c>
      <c r="F119" s="34"/>
      <c r="G119" s="6">
        <v>35.167099999999998</v>
      </c>
      <c r="H119" s="6">
        <v>787539</v>
      </c>
      <c r="I119" s="6">
        <v>4011.6527000000001</v>
      </c>
      <c r="J119" s="7">
        <v>53.984200000000001</v>
      </c>
      <c r="K119" s="12">
        <f t="shared" si="7"/>
        <v>10597.792496793154</v>
      </c>
      <c r="M119" s="23">
        <v>35.029600000000002</v>
      </c>
      <c r="N119" s="9">
        <v>50362</v>
      </c>
      <c r="O119" s="9">
        <v>5657.2017999999998</v>
      </c>
      <c r="P119" s="10">
        <v>2400.44</v>
      </c>
      <c r="Q119" s="13">
        <f t="shared" si="8"/>
        <v>21369.391362351616</v>
      </c>
      <c r="R119" s="24"/>
      <c r="S119" s="9">
        <v>34.433799999999998</v>
      </c>
      <c r="T119" s="9">
        <v>433183</v>
      </c>
      <c r="U119" s="9">
        <v>3479.8483000000001</v>
      </c>
      <c r="V119" s="10">
        <v>53.984200000000001</v>
      </c>
      <c r="W119" s="13">
        <f t="shared" si="9"/>
        <v>6720.1313656690145</v>
      </c>
      <c r="Y119" s="3">
        <v>34.458599999999997</v>
      </c>
      <c r="Z119" s="3">
        <v>57897</v>
      </c>
      <c r="AA119" s="3">
        <v>6892.9614000000001</v>
      </c>
      <c r="AB119" s="4">
        <v>2400.44</v>
      </c>
      <c r="AC119" s="3">
        <v>0</v>
      </c>
      <c r="AD119" s="11">
        <f t="shared" si="10"/>
        <v>20162.346285589239</v>
      </c>
      <c r="AE119" s="17"/>
      <c r="AF119" s="3">
        <v>34.457799999999999</v>
      </c>
      <c r="AG119" s="3">
        <v>338059</v>
      </c>
      <c r="AH119" s="3">
        <v>5915.7231000000002</v>
      </c>
      <c r="AI119" s="4">
        <v>53.984200000000001</v>
      </c>
      <c r="AJ119" s="11">
        <f t="shared" si="11"/>
        <v>3084.9727682149287</v>
      </c>
    </row>
    <row r="120" spans="1:36" x14ac:dyDescent="0.4">
      <c r="A120" s="33">
        <v>34.863399999999999</v>
      </c>
      <c r="B120" s="6">
        <v>1324860</v>
      </c>
      <c r="C120" s="6">
        <v>4859.0074000000004</v>
      </c>
      <c r="D120" s="7">
        <v>53.984200000000001</v>
      </c>
      <c r="E120" s="12">
        <f t="shared" si="6"/>
        <v>14719.365772523828</v>
      </c>
      <c r="F120" s="34"/>
      <c r="G120" s="6">
        <v>35.168100000000003</v>
      </c>
      <c r="H120" s="6">
        <v>781380</v>
      </c>
      <c r="I120" s="6">
        <v>4008.8795</v>
      </c>
      <c r="J120" s="7">
        <v>53.984200000000001</v>
      </c>
      <c r="K120" s="12">
        <f t="shared" si="7"/>
        <v>10522.185612214087</v>
      </c>
      <c r="M120" s="23">
        <v>35.0306</v>
      </c>
      <c r="N120" s="9">
        <v>49318</v>
      </c>
      <c r="O120" s="9">
        <v>5653.6283999999996</v>
      </c>
      <c r="P120" s="10">
        <v>2400.44</v>
      </c>
      <c r="Q120" s="13">
        <f t="shared" si="8"/>
        <v>20939.632311172063</v>
      </c>
      <c r="R120" s="24"/>
      <c r="S120" s="9">
        <v>34.434800000000003</v>
      </c>
      <c r="T120" s="9">
        <v>508299</v>
      </c>
      <c r="U120" s="9">
        <v>3479.66</v>
      </c>
      <c r="V120" s="10">
        <v>53.984200000000001</v>
      </c>
      <c r="W120" s="13">
        <f t="shared" si="9"/>
        <v>7885.8609392296958</v>
      </c>
      <c r="Y120" s="3">
        <v>34.459600000000002</v>
      </c>
      <c r="Z120" s="3">
        <v>58901</v>
      </c>
      <c r="AA120" s="3">
        <v>6891.74</v>
      </c>
      <c r="AB120" s="4">
        <v>2400.44</v>
      </c>
      <c r="AC120" s="3">
        <v>0</v>
      </c>
      <c r="AD120" s="11">
        <f t="shared" si="10"/>
        <v>20515.619631616981</v>
      </c>
      <c r="AE120" s="17"/>
      <c r="AF120" s="3">
        <v>34.458799999999997</v>
      </c>
      <c r="AG120" s="3">
        <v>994039</v>
      </c>
      <c r="AH120" s="3">
        <v>5915.3109999999997</v>
      </c>
      <c r="AI120" s="4">
        <v>53.984200000000001</v>
      </c>
      <c r="AJ120" s="11">
        <f t="shared" si="11"/>
        <v>9071.7800270856442</v>
      </c>
    </row>
    <row r="121" spans="1:36" x14ac:dyDescent="0.4">
      <c r="A121" s="33">
        <v>34.864400000000003</v>
      </c>
      <c r="B121" s="6">
        <v>1316180</v>
      </c>
      <c r="C121" s="6">
        <v>4862.8525</v>
      </c>
      <c r="D121" s="7">
        <v>53.984200000000001</v>
      </c>
      <c r="E121" s="12">
        <f t="shared" si="6"/>
        <v>14611.36737254523</v>
      </c>
      <c r="F121" s="34"/>
      <c r="G121" s="6">
        <v>35.1691</v>
      </c>
      <c r="H121" s="6">
        <v>757222</v>
      </c>
      <c r="I121" s="6">
        <v>4008.0214999999998</v>
      </c>
      <c r="J121" s="7">
        <v>53.984200000000001</v>
      </c>
      <c r="K121" s="12">
        <f t="shared" si="7"/>
        <v>10199.05304709568</v>
      </c>
      <c r="M121" s="23">
        <v>35.031599999999997</v>
      </c>
      <c r="N121" s="9">
        <v>36687</v>
      </c>
      <c r="O121" s="9">
        <v>5651.6076999999996</v>
      </c>
      <c r="P121" s="10">
        <v>2400.44</v>
      </c>
      <c r="Q121" s="13">
        <f t="shared" si="8"/>
        <v>15582.28153026262</v>
      </c>
      <c r="R121" s="24"/>
      <c r="S121" s="9">
        <v>34.4358</v>
      </c>
      <c r="T121" s="9">
        <v>551831</v>
      </c>
      <c r="U121" s="9">
        <v>3477.7411999999999</v>
      </c>
      <c r="V121" s="10">
        <v>53.984200000000001</v>
      </c>
      <c r="W121" s="13">
        <f t="shared" si="9"/>
        <v>8565.9493783493726</v>
      </c>
      <c r="Y121" s="3">
        <v>34.460599999999999</v>
      </c>
      <c r="Z121" s="3">
        <v>47006</v>
      </c>
      <c r="AA121" s="3">
        <v>6895.0577000000003</v>
      </c>
      <c r="AB121" s="4">
        <v>2400.44</v>
      </c>
      <c r="AC121" s="3">
        <v>0</v>
      </c>
      <c r="AD121" s="11">
        <f t="shared" si="10"/>
        <v>16364.632110330273</v>
      </c>
      <c r="AE121" s="17"/>
      <c r="AF121" s="3">
        <v>34.459800000000001</v>
      </c>
      <c r="AG121" s="3">
        <v>1821259</v>
      </c>
      <c r="AH121" s="3">
        <v>5912.4075999999995</v>
      </c>
      <c r="AI121" s="4">
        <v>53.984200000000001</v>
      </c>
      <c r="AJ121" s="11">
        <f t="shared" si="11"/>
        <v>16629.301759878668</v>
      </c>
    </row>
    <row r="122" spans="1:36" x14ac:dyDescent="0.4">
      <c r="A122" s="33">
        <v>34.865400000000001</v>
      </c>
      <c r="B122" s="6">
        <v>1217135</v>
      </c>
      <c r="C122" s="6">
        <v>4863.1445999999996</v>
      </c>
      <c r="D122" s="7">
        <v>53.984200000000001</v>
      </c>
      <c r="E122" s="12">
        <f t="shared" si="6"/>
        <v>13511.023148890125</v>
      </c>
      <c r="F122" s="34"/>
      <c r="G122" s="6">
        <v>35.170099999999998</v>
      </c>
      <c r="H122" s="6">
        <v>720024</v>
      </c>
      <c r="I122" s="6">
        <v>4008.2525999999998</v>
      </c>
      <c r="J122" s="7">
        <v>53.984200000000001</v>
      </c>
      <c r="K122" s="12">
        <f t="shared" si="7"/>
        <v>9697.4725646781844</v>
      </c>
      <c r="M122" s="23">
        <v>35.032600000000002</v>
      </c>
      <c r="N122" s="9">
        <v>17285</v>
      </c>
      <c r="O122" s="9">
        <v>5650.3108000000002</v>
      </c>
      <c r="P122" s="10">
        <v>2400.44</v>
      </c>
      <c r="Q122" s="13">
        <f t="shared" si="8"/>
        <v>7343.2430301002196</v>
      </c>
      <c r="R122" s="24"/>
      <c r="S122" s="9">
        <v>34.436799999999998</v>
      </c>
      <c r="T122" s="9">
        <v>568258</v>
      </c>
      <c r="U122" s="9">
        <v>3479.2087999999999</v>
      </c>
      <c r="V122" s="10">
        <v>53.984200000000001</v>
      </c>
      <c r="W122" s="13">
        <f t="shared" si="9"/>
        <v>8817.2211807466119</v>
      </c>
      <c r="Y122" s="3">
        <v>34.461599999999997</v>
      </c>
      <c r="Z122" s="3">
        <v>26095</v>
      </c>
      <c r="AA122" s="3">
        <v>6896.4498999999996</v>
      </c>
      <c r="AB122" s="4">
        <v>2400.44</v>
      </c>
      <c r="AC122" s="3">
        <v>0</v>
      </c>
      <c r="AD122" s="11">
        <f t="shared" si="10"/>
        <v>9082.8589648711877</v>
      </c>
      <c r="AE122" s="17"/>
      <c r="AF122" s="3">
        <v>34.460799999999999</v>
      </c>
      <c r="AG122" s="3">
        <v>2285456</v>
      </c>
      <c r="AH122" s="3">
        <v>5913.1063999999997</v>
      </c>
      <c r="AI122" s="4">
        <v>53.984200000000001</v>
      </c>
      <c r="AJ122" s="11">
        <f t="shared" si="11"/>
        <v>20865.261919724631</v>
      </c>
    </row>
    <row r="123" spans="1:36" x14ac:dyDescent="0.4">
      <c r="A123" s="33">
        <v>34.866399999999999</v>
      </c>
      <c r="B123" s="6">
        <v>1031755</v>
      </c>
      <c r="C123" s="6">
        <v>4868.7683999999999</v>
      </c>
      <c r="D123" s="7">
        <v>53.984200000000001</v>
      </c>
      <c r="E123" s="12">
        <f t="shared" si="6"/>
        <v>11439.950249225247</v>
      </c>
      <c r="F123" s="34"/>
      <c r="G123" s="6">
        <v>35.171100000000003</v>
      </c>
      <c r="H123" s="6">
        <v>669606</v>
      </c>
      <c r="I123" s="6">
        <v>4007.7665000000002</v>
      </c>
      <c r="J123" s="7">
        <v>53.984200000000001</v>
      </c>
      <c r="K123" s="12">
        <f t="shared" si="7"/>
        <v>9019.5235239378344</v>
      </c>
      <c r="M123" s="23">
        <v>35.0336</v>
      </c>
      <c r="N123" s="9">
        <v>4415</v>
      </c>
      <c r="O123" s="9">
        <v>5646.1185999999998</v>
      </c>
      <c r="P123" s="10">
        <v>2400.44</v>
      </c>
      <c r="Q123" s="13">
        <f t="shared" si="8"/>
        <v>1877.031523921584</v>
      </c>
      <c r="R123" s="24"/>
      <c r="S123" s="9">
        <v>34.437800000000003</v>
      </c>
      <c r="T123" s="9">
        <v>572775</v>
      </c>
      <c r="U123" s="9">
        <v>3477.4485</v>
      </c>
      <c r="V123" s="10">
        <v>53.984200000000001</v>
      </c>
      <c r="W123" s="13">
        <f t="shared" si="9"/>
        <v>8891.8067816101375</v>
      </c>
      <c r="Y123" s="3">
        <v>34.462600000000002</v>
      </c>
      <c r="Z123" s="3">
        <v>8283</v>
      </c>
      <c r="AA123" s="3">
        <v>6894.13</v>
      </c>
      <c r="AB123" s="4">
        <v>2400.44</v>
      </c>
      <c r="AC123" s="3">
        <v>0</v>
      </c>
      <c r="AD123" s="11">
        <f t="shared" si="10"/>
        <v>2884.0251808422531</v>
      </c>
      <c r="AE123" s="17"/>
      <c r="AF123" s="3">
        <v>34.461799999999997</v>
      </c>
      <c r="AG123" s="3">
        <v>2312305</v>
      </c>
      <c r="AH123" s="3">
        <v>5912.4103999999998</v>
      </c>
      <c r="AI123" s="4">
        <v>53.984200000000001</v>
      </c>
      <c r="AJ123" s="11">
        <f t="shared" si="11"/>
        <v>21112.86719558575</v>
      </c>
    </row>
    <row r="124" spans="1:36" x14ac:dyDescent="0.4">
      <c r="A124" s="33">
        <v>34.867400000000004</v>
      </c>
      <c r="B124" s="6">
        <v>835107</v>
      </c>
      <c r="C124" s="6">
        <v>4865.5607</v>
      </c>
      <c r="D124" s="7">
        <v>53.984200000000001</v>
      </c>
      <c r="E124" s="12">
        <f t="shared" si="6"/>
        <v>9265.650166362122</v>
      </c>
      <c r="F124" s="34"/>
      <c r="G124" s="6">
        <v>35.1721</v>
      </c>
      <c r="H124" s="6">
        <v>610950</v>
      </c>
      <c r="I124" s="6">
        <v>4008.3261000000002</v>
      </c>
      <c r="J124" s="7">
        <v>53.984200000000001</v>
      </c>
      <c r="K124" s="12">
        <f t="shared" si="7"/>
        <v>8228.284367881146</v>
      </c>
      <c r="M124" s="23">
        <v>35.034599999999998</v>
      </c>
      <c r="N124" s="9">
        <v>48727</v>
      </c>
      <c r="O124" s="9">
        <v>5643.9632000000001</v>
      </c>
      <c r="P124" s="10">
        <v>53.984200000000001</v>
      </c>
      <c r="Q124" s="13">
        <f t="shared" si="8"/>
        <v>466.07109582146103</v>
      </c>
      <c r="R124" s="24"/>
      <c r="S124" s="9">
        <v>34.438800000000001</v>
      </c>
      <c r="T124" s="9">
        <v>570136</v>
      </c>
      <c r="U124" s="9">
        <v>3477.7480999999998</v>
      </c>
      <c r="V124" s="10">
        <v>53.984200000000001</v>
      </c>
      <c r="W124" s="13">
        <f t="shared" si="9"/>
        <v>8850.0762465228581</v>
      </c>
      <c r="Y124" s="3">
        <v>34.4636</v>
      </c>
      <c r="Z124" s="3">
        <v>85000</v>
      </c>
      <c r="AA124" s="3">
        <v>6890.8584000000001</v>
      </c>
      <c r="AB124" s="4">
        <v>53.984200000000001</v>
      </c>
      <c r="AC124" s="3">
        <v>0</v>
      </c>
      <c r="AD124" s="11">
        <f t="shared" si="10"/>
        <v>665.90499087893033</v>
      </c>
      <c r="AE124" s="17"/>
      <c r="AF124" s="3">
        <v>34.462800000000001</v>
      </c>
      <c r="AG124" s="3">
        <v>1909241</v>
      </c>
      <c r="AH124" s="3">
        <v>5909.2785999999996</v>
      </c>
      <c r="AI124" s="4">
        <v>53.984200000000001</v>
      </c>
      <c r="AJ124" s="11">
        <f t="shared" si="11"/>
        <v>17441.866422104384</v>
      </c>
    </row>
    <row r="125" spans="1:36" x14ac:dyDescent="0.4">
      <c r="A125" s="33">
        <v>34.868400000000001</v>
      </c>
      <c r="B125" s="6">
        <v>646792</v>
      </c>
      <c r="C125" s="6">
        <v>4862.3876</v>
      </c>
      <c r="D125" s="7">
        <v>53.984200000000001</v>
      </c>
      <c r="E125" s="12">
        <f t="shared" si="6"/>
        <v>7180.9472133402114</v>
      </c>
      <c r="F125" s="34"/>
      <c r="G125" s="6">
        <v>35.173099999999998</v>
      </c>
      <c r="H125" s="6">
        <v>538259</v>
      </c>
      <c r="I125" s="6">
        <v>4009.6685000000002</v>
      </c>
      <c r="J125" s="7">
        <v>53.984200000000001</v>
      </c>
      <c r="K125" s="12">
        <f t="shared" si="7"/>
        <v>7246.8538253972856</v>
      </c>
      <c r="M125" s="23">
        <v>35.035600000000002</v>
      </c>
      <c r="N125" s="9">
        <v>15669</v>
      </c>
      <c r="O125" s="9">
        <v>5649.2101000000002</v>
      </c>
      <c r="P125" s="10">
        <v>53.984200000000001</v>
      </c>
      <c r="Q125" s="13">
        <f t="shared" si="8"/>
        <v>149.73393002324343</v>
      </c>
      <c r="R125" s="24"/>
      <c r="S125" s="9">
        <v>34.439799999999998</v>
      </c>
      <c r="T125" s="9">
        <v>566972</v>
      </c>
      <c r="U125" s="9">
        <v>3476.4845</v>
      </c>
      <c r="V125" s="10">
        <v>53.984200000000001</v>
      </c>
      <c r="W125" s="13">
        <f t="shared" si="9"/>
        <v>8804.1611698254383</v>
      </c>
      <c r="Y125" s="3">
        <v>34.464599999999997</v>
      </c>
      <c r="Z125" s="3">
        <v>24549</v>
      </c>
      <c r="AA125" s="3">
        <v>6892.2777999999998</v>
      </c>
      <c r="AB125" s="4">
        <v>53.984200000000001</v>
      </c>
      <c r="AC125" s="3">
        <v>0</v>
      </c>
      <c r="AD125" s="11">
        <f t="shared" si="10"/>
        <v>192.28158879492639</v>
      </c>
      <c r="AE125" s="17"/>
      <c r="AF125" s="3">
        <v>34.463799999999999</v>
      </c>
      <c r="AG125" s="3">
        <v>1140259</v>
      </c>
      <c r="AH125" s="3">
        <v>5909.8068999999996</v>
      </c>
      <c r="AI125" s="4">
        <v>53.984200000000001</v>
      </c>
      <c r="AJ125" s="11">
        <f t="shared" si="11"/>
        <v>10415.902067426265</v>
      </c>
    </row>
    <row r="126" spans="1:36" x14ac:dyDescent="0.4">
      <c r="A126" s="33">
        <v>34.869399999999999</v>
      </c>
      <c r="B126" s="6">
        <v>490710</v>
      </c>
      <c r="C126" s="6">
        <v>4856.0405000000001</v>
      </c>
      <c r="D126" s="7">
        <v>53.984200000000001</v>
      </c>
      <c r="E126" s="12">
        <f t="shared" si="6"/>
        <v>5455.1824232108438</v>
      </c>
      <c r="F126" s="34"/>
      <c r="G126" s="6">
        <v>35.174100000000003</v>
      </c>
      <c r="H126" s="6">
        <v>459482</v>
      </c>
      <c r="I126" s="6">
        <v>4010.2404000000001</v>
      </c>
      <c r="J126" s="7">
        <v>53.984200000000001</v>
      </c>
      <c r="K126" s="12">
        <f t="shared" si="7"/>
        <v>6185.3569138648145</v>
      </c>
      <c r="M126" s="23">
        <v>35.0366</v>
      </c>
      <c r="N126" s="9">
        <v>224801</v>
      </c>
      <c r="O126" s="9">
        <v>5649.6930000000002</v>
      </c>
      <c r="P126" s="10">
        <v>1</v>
      </c>
      <c r="Q126" s="13">
        <f t="shared" si="8"/>
        <v>39.789949648591524</v>
      </c>
      <c r="R126" s="24"/>
      <c r="S126" s="9">
        <v>34.440800000000003</v>
      </c>
      <c r="T126" s="9">
        <v>562088</v>
      </c>
      <c r="U126" s="9">
        <v>3476.7647000000002</v>
      </c>
      <c r="V126" s="10">
        <v>53.984200000000001</v>
      </c>
      <c r="W126" s="13">
        <f t="shared" si="9"/>
        <v>8727.6170888412435</v>
      </c>
      <c r="Y126" s="3">
        <v>34.465600000000002</v>
      </c>
      <c r="Z126" s="3">
        <v>349646</v>
      </c>
      <c r="AA126" s="3">
        <v>6893.3508000000002</v>
      </c>
      <c r="AB126" s="4">
        <v>1</v>
      </c>
      <c r="AC126" s="3">
        <v>0</v>
      </c>
      <c r="AD126" s="11">
        <f t="shared" si="10"/>
        <v>50.722211903099435</v>
      </c>
      <c r="AE126" s="17"/>
      <c r="AF126" s="3">
        <v>34.464799999999997</v>
      </c>
      <c r="AG126" s="3">
        <v>406294</v>
      </c>
      <c r="AH126" s="3">
        <v>5909.3132999999998</v>
      </c>
      <c r="AI126" s="4">
        <v>53.984200000000001</v>
      </c>
      <c r="AJ126" s="11">
        <f t="shared" si="11"/>
        <v>3711.6760343033434</v>
      </c>
    </row>
    <row r="127" spans="1:36" x14ac:dyDescent="0.4">
      <c r="A127" s="33">
        <v>34.870399999999997</v>
      </c>
      <c r="B127" s="6">
        <v>366432</v>
      </c>
      <c r="C127" s="6">
        <v>4851.9636</v>
      </c>
      <c r="D127" s="7">
        <v>53.984200000000001</v>
      </c>
      <c r="E127" s="12">
        <f t="shared" si="6"/>
        <v>4077.0170605566786</v>
      </c>
      <c r="F127" s="34"/>
      <c r="G127" s="6">
        <v>35.1751</v>
      </c>
      <c r="H127" s="6">
        <v>380891</v>
      </c>
      <c r="I127" s="6">
        <v>4009.9472999999998</v>
      </c>
      <c r="J127" s="7">
        <v>53.984200000000001</v>
      </c>
      <c r="K127" s="12">
        <f t="shared" si="7"/>
        <v>5127.772108675842</v>
      </c>
      <c r="M127" s="23">
        <v>35.037599999999998</v>
      </c>
      <c r="N127" s="9">
        <v>128548</v>
      </c>
      <c r="O127" s="9">
        <v>5644.1414999999997</v>
      </c>
      <c r="P127" s="10">
        <v>1</v>
      </c>
      <c r="Q127" s="13">
        <f t="shared" si="8"/>
        <v>22.775474356906184</v>
      </c>
      <c r="R127" s="24"/>
      <c r="S127" s="9">
        <v>34.441800000000001</v>
      </c>
      <c r="T127" s="9">
        <v>555399</v>
      </c>
      <c r="U127" s="9">
        <v>3475.9593</v>
      </c>
      <c r="V127" s="10">
        <v>53.984200000000001</v>
      </c>
      <c r="W127" s="13">
        <f t="shared" si="9"/>
        <v>8625.7542474102047</v>
      </c>
      <c r="Y127" s="3">
        <v>34.4666</v>
      </c>
      <c r="Z127" s="3">
        <v>180507</v>
      </c>
      <c r="AA127" s="3">
        <v>6889.8310000000001</v>
      </c>
      <c r="AB127" s="4">
        <v>1</v>
      </c>
      <c r="AC127" s="3">
        <v>0</v>
      </c>
      <c r="AD127" s="11">
        <f t="shared" si="10"/>
        <v>26.199046101421064</v>
      </c>
      <c r="AE127" s="17"/>
      <c r="AF127" s="3">
        <v>34.465800000000002</v>
      </c>
      <c r="AG127" s="3">
        <v>86463</v>
      </c>
      <c r="AH127" s="3">
        <v>5909.8521000000001</v>
      </c>
      <c r="AI127" s="4">
        <v>53.984200000000001</v>
      </c>
      <c r="AJ127" s="11">
        <f t="shared" si="11"/>
        <v>789.80587087788547</v>
      </c>
    </row>
    <row r="128" spans="1:36" x14ac:dyDescent="0.4">
      <c r="A128" s="33">
        <v>34.871400000000001</v>
      </c>
      <c r="B128" s="6">
        <v>277537</v>
      </c>
      <c r="C128" s="6">
        <v>4851.1863999999996</v>
      </c>
      <c r="D128" s="7">
        <v>53.984200000000001</v>
      </c>
      <c r="E128" s="12">
        <f t="shared" si="6"/>
        <v>3088.4430487766872</v>
      </c>
      <c r="F128" s="34"/>
      <c r="G128" s="6">
        <v>35.176099999999998</v>
      </c>
      <c r="H128" s="6">
        <v>309887</v>
      </c>
      <c r="I128" s="6">
        <v>4011.8897999999999</v>
      </c>
      <c r="J128" s="7">
        <v>53.984200000000001</v>
      </c>
      <c r="K128" s="12">
        <f t="shared" si="7"/>
        <v>4169.8557586003481</v>
      </c>
      <c r="M128" s="23">
        <v>35.038600000000002</v>
      </c>
      <c r="N128" s="9">
        <v>94879</v>
      </c>
      <c r="O128" s="9">
        <v>5647.4071000000004</v>
      </c>
      <c r="P128" s="10">
        <v>1</v>
      </c>
      <c r="Q128" s="13">
        <f t="shared" si="8"/>
        <v>16.800453432868334</v>
      </c>
      <c r="R128" s="24"/>
      <c r="S128" s="9">
        <v>34.442799999999998</v>
      </c>
      <c r="T128" s="9">
        <v>546954</v>
      </c>
      <c r="U128" s="9">
        <v>3474.0486000000001</v>
      </c>
      <c r="V128" s="10">
        <v>53.984200000000001</v>
      </c>
      <c r="W128" s="13">
        <f t="shared" si="9"/>
        <v>8499.2691601378283</v>
      </c>
      <c r="Y128" s="3">
        <v>34.467599999999997</v>
      </c>
      <c r="Z128" s="3">
        <v>126712</v>
      </c>
      <c r="AA128" s="3">
        <v>6885.3132999999998</v>
      </c>
      <c r="AB128" s="4">
        <v>1</v>
      </c>
      <c r="AC128" s="3">
        <v>0</v>
      </c>
      <c r="AD128" s="11">
        <f t="shared" si="10"/>
        <v>18.40322937810252</v>
      </c>
      <c r="AE128" s="17"/>
      <c r="AF128" s="3">
        <v>34.466799999999999</v>
      </c>
      <c r="AG128" s="3">
        <v>21665</v>
      </c>
      <c r="AH128" s="3">
        <v>5908.8627999999999</v>
      </c>
      <c r="AI128" s="4">
        <v>53.984200000000001</v>
      </c>
      <c r="AJ128" s="11">
        <f t="shared" si="11"/>
        <v>197.93448123385096</v>
      </c>
    </row>
    <row r="129" spans="1:36" x14ac:dyDescent="0.4">
      <c r="A129" s="33">
        <v>34.872399999999999</v>
      </c>
      <c r="B129" s="6">
        <v>216474</v>
      </c>
      <c r="C129" s="6">
        <v>4842.1927999999998</v>
      </c>
      <c r="D129" s="7">
        <v>53.984200000000001</v>
      </c>
      <c r="E129" s="12">
        <f t="shared" si="6"/>
        <v>2413.405701400407</v>
      </c>
      <c r="F129" s="34"/>
      <c r="G129" s="6">
        <v>35.177100000000003</v>
      </c>
      <c r="H129" s="6">
        <v>250015</v>
      </c>
      <c r="I129" s="6">
        <v>4011.8937999999998</v>
      </c>
      <c r="J129" s="7">
        <v>53.984200000000001</v>
      </c>
      <c r="K129" s="12">
        <f t="shared" si="7"/>
        <v>3364.2116256915879</v>
      </c>
      <c r="M129" s="23">
        <v>35.0396</v>
      </c>
      <c r="N129" s="9">
        <v>73826</v>
      </c>
      <c r="O129" s="9">
        <v>5643.8864999999996</v>
      </c>
      <c r="P129" s="10">
        <v>1</v>
      </c>
      <c r="Q129" s="13">
        <f t="shared" si="8"/>
        <v>13.080702455657109</v>
      </c>
      <c r="R129" s="24"/>
      <c r="S129" s="9">
        <v>34.443800000000003</v>
      </c>
      <c r="T129" s="9">
        <v>538144</v>
      </c>
      <c r="U129" s="9">
        <v>3476.7959000000001</v>
      </c>
      <c r="V129" s="10">
        <v>53.984200000000001</v>
      </c>
      <c r="W129" s="13">
        <f t="shared" si="9"/>
        <v>8355.7603495793355</v>
      </c>
      <c r="Y129" s="3">
        <v>34.468600000000002</v>
      </c>
      <c r="Z129" s="3">
        <v>98095</v>
      </c>
      <c r="AA129" s="3">
        <v>6883.2226000000001</v>
      </c>
      <c r="AB129" s="4">
        <v>1</v>
      </c>
      <c r="AC129" s="3">
        <v>0</v>
      </c>
      <c r="AD129" s="11">
        <f t="shared" si="10"/>
        <v>14.251318851725063</v>
      </c>
      <c r="AE129" s="17"/>
      <c r="AF129" s="3">
        <v>34.467799999999997</v>
      </c>
      <c r="AG129" s="3">
        <v>305156</v>
      </c>
      <c r="AH129" s="3">
        <v>5908.4412000000002</v>
      </c>
      <c r="AI129" s="4">
        <v>1</v>
      </c>
      <c r="AJ129" s="11">
        <f t="shared" si="11"/>
        <v>51.647463293702572</v>
      </c>
    </row>
    <row r="130" spans="1:36" x14ac:dyDescent="0.4">
      <c r="A130" s="33">
        <v>34.873399999999997</v>
      </c>
      <c r="B130" s="6">
        <v>169281</v>
      </c>
      <c r="C130" s="6">
        <v>4840.3864000000003</v>
      </c>
      <c r="D130" s="7">
        <v>53.984200000000001</v>
      </c>
      <c r="E130" s="12">
        <f t="shared" si="6"/>
        <v>1887.9689770634839</v>
      </c>
      <c r="F130" s="34"/>
      <c r="G130" s="6">
        <v>35.178100000000001</v>
      </c>
      <c r="H130" s="6">
        <v>201594</v>
      </c>
      <c r="I130" s="6">
        <v>4011.1703000000002</v>
      </c>
      <c r="J130" s="7">
        <v>53.984200000000001</v>
      </c>
      <c r="K130" s="12">
        <f t="shared" si="7"/>
        <v>2713.1460398976328</v>
      </c>
      <c r="M130" s="23">
        <v>35.040599999999998</v>
      </c>
      <c r="N130" s="9">
        <v>59453</v>
      </c>
      <c r="O130" s="9">
        <v>5641.8099000000002</v>
      </c>
      <c r="P130" s="10">
        <v>1</v>
      </c>
      <c r="Q130" s="13">
        <f t="shared" si="8"/>
        <v>10.53793039003317</v>
      </c>
      <c r="R130" s="24"/>
      <c r="S130" s="9">
        <v>34.444800000000001</v>
      </c>
      <c r="T130" s="9">
        <v>522776</v>
      </c>
      <c r="U130" s="9">
        <v>3475.7945</v>
      </c>
      <c r="V130" s="10">
        <v>53.984200000000001</v>
      </c>
      <c r="W130" s="13">
        <f t="shared" si="9"/>
        <v>8119.4800610910679</v>
      </c>
      <c r="Y130" s="3">
        <v>34.4696</v>
      </c>
      <c r="Z130" s="3">
        <v>77863</v>
      </c>
      <c r="AA130" s="3">
        <v>6881.7157999999999</v>
      </c>
      <c r="AB130" s="4">
        <v>1</v>
      </c>
      <c r="AC130" s="3">
        <v>0</v>
      </c>
      <c r="AD130" s="11">
        <f t="shared" si="10"/>
        <v>11.314474800020076</v>
      </c>
      <c r="AE130" s="17"/>
      <c r="AF130" s="3">
        <v>34.468800000000002</v>
      </c>
      <c r="AG130" s="3">
        <v>164088</v>
      </c>
      <c r="AH130" s="3">
        <v>5909.5266000000001</v>
      </c>
      <c r="AI130" s="4">
        <v>1</v>
      </c>
      <c r="AJ130" s="11">
        <f t="shared" si="11"/>
        <v>27.766691159322303</v>
      </c>
    </row>
    <row r="131" spans="1:36" x14ac:dyDescent="0.4">
      <c r="A131" s="33">
        <v>34.874400000000001</v>
      </c>
      <c r="B131" s="6">
        <v>134788</v>
      </c>
      <c r="C131" s="6">
        <v>4842.2986000000001</v>
      </c>
      <c r="D131" s="7">
        <v>53.984200000000001</v>
      </c>
      <c r="E131" s="12">
        <f t="shared" si="6"/>
        <v>1502.6793989119133</v>
      </c>
      <c r="F131" s="34"/>
      <c r="G131" s="6">
        <v>35.179099999999998</v>
      </c>
      <c r="H131" s="6">
        <v>164400</v>
      </c>
      <c r="I131" s="6">
        <v>4010.2253000000001</v>
      </c>
      <c r="J131" s="7">
        <v>53.984200000000001</v>
      </c>
      <c r="K131" s="12">
        <f t="shared" si="7"/>
        <v>2213.0932344374769</v>
      </c>
      <c r="M131" s="23">
        <v>35.041600000000003</v>
      </c>
      <c r="N131" s="9">
        <v>49422</v>
      </c>
      <c r="O131" s="9">
        <v>5640.5325999999995</v>
      </c>
      <c r="P131" s="10">
        <v>1</v>
      </c>
      <c r="Q131" s="13">
        <f t="shared" si="8"/>
        <v>8.7619385445977223</v>
      </c>
      <c r="R131" s="24"/>
      <c r="S131" s="9">
        <v>34.445799999999998</v>
      </c>
      <c r="T131" s="9">
        <v>504666</v>
      </c>
      <c r="U131" s="9">
        <v>3473.8087</v>
      </c>
      <c r="V131" s="10">
        <v>53.984200000000001</v>
      </c>
      <c r="W131" s="13">
        <f t="shared" si="9"/>
        <v>7842.6858327575728</v>
      </c>
      <c r="Y131" s="3">
        <v>34.470599999999997</v>
      </c>
      <c r="Z131" s="3">
        <v>64445</v>
      </c>
      <c r="AA131" s="3">
        <v>6873.9723000000004</v>
      </c>
      <c r="AB131" s="4">
        <v>1</v>
      </c>
      <c r="AC131" s="3">
        <v>0</v>
      </c>
      <c r="AD131" s="11">
        <f t="shared" si="10"/>
        <v>9.3752196237392464</v>
      </c>
      <c r="AE131" s="17"/>
      <c r="AF131" s="3">
        <v>34.469799999999999</v>
      </c>
      <c r="AG131" s="3">
        <v>116112</v>
      </c>
      <c r="AH131" s="3">
        <v>5908.4485000000004</v>
      </c>
      <c r="AI131" s="4">
        <v>1</v>
      </c>
      <c r="AJ131" s="11">
        <f t="shared" si="11"/>
        <v>19.651859536390983</v>
      </c>
    </row>
    <row r="132" spans="1:36" x14ac:dyDescent="0.4">
      <c r="A132" s="33">
        <v>34.875399999999999</v>
      </c>
      <c r="B132" s="6">
        <v>108227</v>
      </c>
      <c r="C132" s="6">
        <v>4841.7777999999998</v>
      </c>
      <c r="D132" s="7">
        <v>53.984200000000001</v>
      </c>
      <c r="E132" s="12">
        <f t="shared" si="6"/>
        <v>1206.694783350033</v>
      </c>
      <c r="F132" s="34"/>
      <c r="G132" s="6">
        <v>35.180100000000003</v>
      </c>
      <c r="H132" s="6">
        <v>134022</v>
      </c>
      <c r="I132" s="6">
        <v>4008.2062000000001</v>
      </c>
      <c r="J132" s="7">
        <v>53.984200000000001</v>
      </c>
      <c r="K132" s="12">
        <f t="shared" si="7"/>
        <v>1805.0644331621463</v>
      </c>
      <c r="M132" s="23">
        <v>35.0426</v>
      </c>
      <c r="N132" s="9">
        <v>41356</v>
      </c>
      <c r="O132" s="9">
        <v>5638.3077999999996</v>
      </c>
      <c r="P132" s="10">
        <v>1</v>
      </c>
      <c r="Q132" s="13">
        <f t="shared" si="8"/>
        <v>7.3348248210216553</v>
      </c>
      <c r="R132" s="24"/>
      <c r="S132" s="9">
        <v>34.446800000000003</v>
      </c>
      <c r="T132" s="9">
        <v>478434</v>
      </c>
      <c r="U132" s="9">
        <v>3473.5146</v>
      </c>
      <c r="V132" s="10">
        <v>53.984200000000001</v>
      </c>
      <c r="W132" s="13">
        <f t="shared" si="9"/>
        <v>7435.6609132433177</v>
      </c>
      <c r="Y132" s="3">
        <v>34.471600000000002</v>
      </c>
      <c r="Z132" s="3">
        <v>53640</v>
      </c>
      <c r="AA132" s="3">
        <v>6875.0358999999999</v>
      </c>
      <c r="AB132" s="4">
        <v>1</v>
      </c>
      <c r="AC132" s="3">
        <v>0</v>
      </c>
      <c r="AD132" s="11">
        <f t="shared" si="10"/>
        <v>7.8021410768196864</v>
      </c>
      <c r="AE132" s="17"/>
      <c r="AF132" s="3">
        <v>34.470799999999997</v>
      </c>
      <c r="AG132" s="3">
        <v>89272</v>
      </c>
      <c r="AH132" s="3">
        <v>5906.7192999999997</v>
      </c>
      <c r="AI132" s="4">
        <v>1</v>
      </c>
      <c r="AJ132" s="11">
        <f t="shared" si="11"/>
        <v>15.113635076581344</v>
      </c>
    </row>
    <row r="133" spans="1:36" x14ac:dyDescent="0.4">
      <c r="A133" s="33">
        <v>34.876399999999997</v>
      </c>
      <c r="B133" s="6">
        <v>87948</v>
      </c>
      <c r="C133" s="6">
        <v>4842.8302000000003</v>
      </c>
      <c r="D133" s="7">
        <v>53.984200000000001</v>
      </c>
      <c r="E133" s="12">
        <f t="shared" si="6"/>
        <v>980.37763570566653</v>
      </c>
      <c r="F133" s="34"/>
      <c r="G133" s="6">
        <v>35.181100000000001</v>
      </c>
      <c r="H133" s="6">
        <v>112258</v>
      </c>
      <c r="I133" s="6">
        <v>4006.6914999999999</v>
      </c>
      <c r="J133" s="7">
        <v>53.984200000000001</v>
      </c>
      <c r="K133" s="12">
        <f t="shared" si="7"/>
        <v>1512.5093418347783</v>
      </c>
      <c r="M133" s="23">
        <v>35.043599999999998</v>
      </c>
      <c r="N133" s="9">
        <v>34892</v>
      </c>
      <c r="O133" s="9">
        <v>5636.6691000000001</v>
      </c>
      <c r="P133" s="10">
        <v>1</v>
      </c>
      <c r="Q133" s="13">
        <f t="shared" si="8"/>
        <v>6.1901806511934501</v>
      </c>
      <c r="R133" s="24"/>
      <c r="S133" s="9">
        <v>34.447800000000001</v>
      </c>
      <c r="T133" s="9">
        <v>441680</v>
      </c>
      <c r="U133" s="9">
        <v>3475.3366999999998</v>
      </c>
      <c r="V133" s="10">
        <v>53.984200000000001</v>
      </c>
      <c r="W133" s="13">
        <f t="shared" si="9"/>
        <v>6860.8435712142655</v>
      </c>
      <c r="Y133" s="3">
        <v>34.4726</v>
      </c>
      <c r="Z133" s="3">
        <v>45482</v>
      </c>
      <c r="AA133" s="3">
        <v>6870.1779999999999</v>
      </c>
      <c r="AB133" s="4">
        <v>1</v>
      </c>
      <c r="AC133" s="3">
        <v>0</v>
      </c>
      <c r="AD133" s="11">
        <f t="shared" si="10"/>
        <v>6.6202069291363337</v>
      </c>
      <c r="AE133" s="17"/>
      <c r="AF133" s="3">
        <v>34.471800000000002</v>
      </c>
      <c r="AG133" s="3">
        <v>70635</v>
      </c>
      <c r="AH133" s="3">
        <v>5906.4750999999997</v>
      </c>
      <c r="AI133" s="4">
        <v>1</v>
      </c>
      <c r="AJ133" s="11">
        <f t="shared" si="11"/>
        <v>11.958909299389072</v>
      </c>
    </row>
    <row r="134" spans="1:36" x14ac:dyDescent="0.4">
      <c r="A134" s="33">
        <v>34.877400000000002</v>
      </c>
      <c r="B134" s="6">
        <v>71826</v>
      </c>
      <c r="C134" s="6">
        <v>4844.9615000000003</v>
      </c>
      <c r="D134" s="7">
        <v>53.984200000000001</v>
      </c>
      <c r="E134" s="12">
        <f t="shared" si="6"/>
        <v>800.30958949828596</v>
      </c>
      <c r="F134" s="34"/>
      <c r="G134" s="6">
        <v>35.182099999999998</v>
      </c>
      <c r="H134" s="6">
        <v>93099</v>
      </c>
      <c r="I134" s="6">
        <v>4003.5021000000002</v>
      </c>
      <c r="J134" s="7">
        <v>53.984200000000001</v>
      </c>
      <c r="K134" s="12">
        <f t="shared" si="7"/>
        <v>1255.3696514359265</v>
      </c>
      <c r="M134" s="23">
        <v>35.044600000000003</v>
      </c>
      <c r="N134" s="9">
        <v>29666</v>
      </c>
      <c r="O134" s="9">
        <v>5637.2016999999996</v>
      </c>
      <c r="P134" s="10">
        <v>1</v>
      </c>
      <c r="Q134" s="13">
        <f t="shared" si="8"/>
        <v>5.2625401003480148</v>
      </c>
      <c r="R134" s="24"/>
      <c r="S134" s="9">
        <v>34.448799999999999</v>
      </c>
      <c r="T134" s="9">
        <v>382806</v>
      </c>
      <c r="U134" s="9">
        <v>3474.0306999999998</v>
      </c>
      <c r="V134" s="10">
        <v>53.984200000000001</v>
      </c>
      <c r="W134" s="13">
        <f t="shared" si="9"/>
        <v>5948.55873472851</v>
      </c>
      <c r="Y134" s="3">
        <v>34.473599999999998</v>
      </c>
      <c r="Z134" s="3">
        <v>38606</v>
      </c>
      <c r="AA134" s="3">
        <v>6871.3928999999998</v>
      </c>
      <c r="AB134" s="4">
        <v>1</v>
      </c>
      <c r="AC134" s="3">
        <v>0</v>
      </c>
      <c r="AD134" s="11">
        <f t="shared" si="10"/>
        <v>5.6183659647813187</v>
      </c>
      <c r="AE134" s="17"/>
      <c r="AF134" s="3">
        <v>34.472799999999999</v>
      </c>
      <c r="AG134" s="3">
        <v>57976</v>
      </c>
      <c r="AH134" s="3">
        <v>5904.3033999999998</v>
      </c>
      <c r="AI134" s="4">
        <v>1</v>
      </c>
      <c r="AJ134" s="11">
        <f t="shared" si="11"/>
        <v>9.8192785960152396</v>
      </c>
    </row>
    <row r="135" spans="1:36" x14ac:dyDescent="0.4">
      <c r="A135" s="33">
        <v>34.878399999999999</v>
      </c>
      <c r="B135" s="6">
        <v>60120</v>
      </c>
      <c r="C135" s="6">
        <v>4842.7224999999999</v>
      </c>
      <c r="D135" s="7">
        <v>53.984200000000001</v>
      </c>
      <c r="E135" s="12">
        <f t="shared" si="6"/>
        <v>670.18709083578506</v>
      </c>
      <c r="F135" s="34"/>
      <c r="G135" s="6">
        <v>35.183100000000003</v>
      </c>
      <c r="H135" s="6">
        <v>78641</v>
      </c>
      <c r="I135" s="6">
        <v>4002.4186</v>
      </c>
      <c r="J135" s="7">
        <v>53.984200000000001</v>
      </c>
      <c r="K135" s="12">
        <f t="shared" si="7"/>
        <v>1060.7015148790283</v>
      </c>
      <c r="M135" s="23">
        <v>35.0456</v>
      </c>
      <c r="N135" s="9">
        <v>25675</v>
      </c>
      <c r="O135" s="9">
        <v>5634.3068000000003</v>
      </c>
      <c r="P135" s="10">
        <v>1</v>
      </c>
      <c r="Q135" s="13">
        <f t="shared" si="8"/>
        <v>4.5569048529625684</v>
      </c>
      <c r="R135" s="24"/>
      <c r="S135" s="9">
        <v>34.449800000000003</v>
      </c>
      <c r="T135" s="9">
        <v>306355</v>
      </c>
      <c r="U135" s="9">
        <v>3474.6675</v>
      </c>
      <c r="V135" s="10">
        <v>53.984200000000001</v>
      </c>
      <c r="W135" s="13">
        <f t="shared" si="9"/>
        <v>4759.6869602631041</v>
      </c>
      <c r="Y135" s="3">
        <v>34.474600000000002</v>
      </c>
      <c r="Z135" s="3">
        <v>33873</v>
      </c>
      <c r="AA135" s="3">
        <v>6871.4701999999997</v>
      </c>
      <c r="AB135" s="4">
        <v>1</v>
      </c>
      <c r="AC135" s="3">
        <v>0</v>
      </c>
      <c r="AD135" s="11">
        <f t="shared" si="10"/>
        <v>4.9295127555090028</v>
      </c>
      <c r="AE135" s="17"/>
      <c r="AF135" s="3">
        <v>34.473799999999997</v>
      </c>
      <c r="AG135" s="3">
        <v>49280</v>
      </c>
      <c r="AH135" s="3">
        <v>5902.1623</v>
      </c>
      <c r="AI135" s="4">
        <v>1</v>
      </c>
      <c r="AJ135" s="11">
        <f t="shared" si="11"/>
        <v>8.3494823583553437</v>
      </c>
    </row>
    <row r="136" spans="1:36" x14ac:dyDescent="0.4">
      <c r="A136" s="33">
        <v>34.879399999999997</v>
      </c>
      <c r="B136" s="6">
        <v>49856</v>
      </c>
      <c r="C136" s="6">
        <v>4841.7048999999997</v>
      </c>
      <c r="D136" s="7">
        <v>53.984200000000001</v>
      </c>
      <c r="E136" s="12">
        <f t="shared" si="6"/>
        <v>555.88606302709616</v>
      </c>
      <c r="F136" s="34"/>
      <c r="G136" s="6">
        <v>35.184100000000001</v>
      </c>
      <c r="H136" s="6">
        <v>66390</v>
      </c>
      <c r="I136" s="6">
        <v>3984.4913000000001</v>
      </c>
      <c r="J136" s="7">
        <v>53.984200000000001</v>
      </c>
      <c r="K136" s="12">
        <f t="shared" si="7"/>
        <v>899.4902405734955</v>
      </c>
      <c r="M136" s="23">
        <v>35.046599999999998</v>
      </c>
      <c r="N136" s="9">
        <v>22270</v>
      </c>
      <c r="O136" s="9">
        <v>5634.0977999999996</v>
      </c>
      <c r="P136" s="10">
        <v>1</v>
      </c>
      <c r="Q136" s="13">
        <f t="shared" si="8"/>
        <v>3.9527180376599076</v>
      </c>
      <c r="R136" s="24"/>
      <c r="S136" s="9">
        <v>34.450800000000001</v>
      </c>
      <c r="T136" s="9">
        <v>223059</v>
      </c>
      <c r="U136" s="9">
        <v>3475.1286</v>
      </c>
      <c r="V136" s="10">
        <v>53.984200000000001</v>
      </c>
      <c r="W136" s="13">
        <f t="shared" si="9"/>
        <v>3465.0981456628688</v>
      </c>
      <c r="Y136" s="3">
        <v>34.4756</v>
      </c>
      <c r="Z136" s="3">
        <v>29443</v>
      </c>
      <c r="AA136" s="3">
        <v>6866.4245000000001</v>
      </c>
      <c r="AB136" s="4">
        <v>1</v>
      </c>
      <c r="AC136" s="3">
        <v>0</v>
      </c>
      <c r="AD136" s="11">
        <f t="shared" si="10"/>
        <v>4.2879667576625939</v>
      </c>
      <c r="AE136" s="17"/>
      <c r="AF136" s="3">
        <v>34.474800000000002</v>
      </c>
      <c r="AG136" s="3">
        <v>41441</v>
      </c>
      <c r="AH136" s="3">
        <v>5899.5740999999998</v>
      </c>
      <c r="AI136" s="4">
        <v>1</v>
      </c>
      <c r="AJ136" s="11">
        <f t="shared" si="11"/>
        <v>7.0244053719064228</v>
      </c>
    </row>
    <row r="137" spans="1:36" x14ac:dyDescent="0.4">
      <c r="A137" s="33">
        <v>34.880400000000002</v>
      </c>
      <c r="B137" s="6">
        <v>41860</v>
      </c>
      <c r="C137" s="6">
        <v>4841.6166999999996</v>
      </c>
      <c r="D137" s="7">
        <v>53.984200000000001</v>
      </c>
      <c r="E137" s="12">
        <f t="shared" si="6"/>
        <v>466.74050260938668</v>
      </c>
      <c r="F137" s="34"/>
      <c r="G137" s="6">
        <v>35.185099999999998</v>
      </c>
      <c r="H137" s="6">
        <v>57154</v>
      </c>
      <c r="I137" s="6">
        <v>4003.9605000000001</v>
      </c>
      <c r="J137" s="7">
        <v>53.984200000000001</v>
      </c>
      <c r="K137" s="12">
        <f t="shared" si="7"/>
        <v>770.59026101780978</v>
      </c>
      <c r="M137" s="23">
        <v>35.047600000000003</v>
      </c>
      <c r="N137" s="9">
        <v>19559</v>
      </c>
      <c r="O137" s="9">
        <v>5636.6280999999999</v>
      </c>
      <c r="P137" s="10">
        <v>1</v>
      </c>
      <c r="Q137" s="13">
        <f t="shared" si="8"/>
        <v>3.4699823463605841</v>
      </c>
      <c r="R137" s="24"/>
      <c r="S137" s="9">
        <v>34.451799999999999</v>
      </c>
      <c r="T137" s="9">
        <v>140588</v>
      </c>
      <c r="U137" s="9">
        <v>3473.998</v>
      </c>
      <c r="V137" s="10">
        <v>53.984200000000001</v>
      </c>
      <c r="W137" s="13">
        <f t="shared" si="9"/>
        <v>2184.6675529462018</v>
      </c>
      <c r="Y137" s="3">
        <v>34.476599999999998</v>
      </c>
      <c r="Z137" s="3">
        <v>25787</v>
      </c>
      <c r="AA137" s="3">
        <v>6863.7105000000001</v>
      </c>
      <c r="AB137" s="4">
        <v>1</v>
      </c>
      <c r="AC137" s="3">
        <v>0</v>
      </c>
      <c r="AD137" s="11">
        <f t="shared" si="10"/>
        <v>3.7570057769773362</v>
      </c>
      <c r="AE137" s="17"/>
      <c r="AF137" s="3">
        <v>34.4758</v>
      </c>
      <c r="AG137" s="3">
        <v>35115</v>
      </c>
      <c r="AH137" s="3">
        <v>5898.9179000000004</v>
      </c>
      <c r="AI137" s="4">
        <v>1</v>
      </c>
      <c r="AJ137" s="11">
        <f t="shared" si="11"/>
        <v>5.9527866966922858</v>
      </c>
    </row>
    <row r="138" spans="1:36" x14ac:dyDescent="0.4">
      <c r="A138" s="33">
        <v>34.881399999999999</v>
      </c>
      <c r="B138" s="6">
        <v>36182</v>
      </c>
      <c r="C138" s="6">
        <v>4844.3082999999997</v>
      </c>
      <c r="D138" s="7">
        <v>53.984200000000001</v>
      </c>
      <c r="E138" s="12">
        <f t="shared" si="6"/>
        <v>403.20644423064488</v>
      </c>
      <c r="F138" s="34"/>
      <c r="G138" s="6">
        <v>35.186100000000003</v>
      </c>
      <c r="H138" s="6">
        <v>49297</v>
      </c>
      <c r="I138" s="6">
        <v>4004.1716000000001</v>
      </c>
      <c r="J138" s="7">
        <v>53.984200000000001</v>
      </c>
      <c r="K138" s="12">
        <f t="shared" si="7"/>
        <v>664.62164293857938</v>
      </c>
      <c r="M138" s="23">
        <v>35.0486</v>
      </c>
      <c r="N138" s="9">
        <v>17460</v>
      </c>
      <c r="O138" s="9">
        <v>5635.1377000000002</v>
      </c>
      <c r="P138" s="10">
        <v>1</v>
      </c>
      <c r="Q138" s="13">
        <f t="shared" si="8"/>
        <v>3.0984158559248693</v>
      </c>
      <c r="R138" s="24"/>
      <c r="S138" s="9">
        <v>34.452800000000003</v>
      </c>
      <c r="T138" s="9">
        <v>72981</v>
      </c>
      <c r="U138" s="9">
        <v>3473.1064999999999</v>
      </c>
      <c r="V138" s="10">
        <v>53.984200000000001</v>
      </c>
      <c r="W138" s="13">
        <f t="shared" si="9"/>
        <v>1134.3795245553224</v>
      </c>
      <c r="Y138" s="3">
        <v>34.477600000000002</v>
      </c>
      <c r="Z138" s="3">
        <v>22738</v>
      </c>
      <c r="AA138" s="3">
        <v>6868.7115000000003</v>
      </c>
      <c r="AB138" s="4">
        <v>1</v>
      </c>
      <c r="AC138" s="3">
        <v>0</v>
      </c>
      <c r="AD138" s="11">
        <f t="shared" si="10"/>
        <v>3.3103734230211881</v>
      </c>
      <c r="AE138" s="17"/>
      <c r="AF138" s="3">
        <v>34.476799999999997</v>
      </c>
      <c r="AG138" s="3">
        <v>30539</v>
      </c>
      <c r="AH138" s="3">
        <v>5898.6767</v>
      </c>
      <c r="AI138" s="4">
        <v>1</v>
      </c>
      <c r="AJ138" s="11">
        <f t="shared" si="11"/>
        <v>5.1772628935571259</v>
      </c>
    </row>
    <row r="139" spans="1:36" x14ac:dyDescent="0.4">
      <c r="A139" s="33">
        <v>34.882399999999997</v>
      </c>
      <c r="B139" s="6">
        <v>30786</v>
      </c>
      <c r="C139" s="6">
        <v>4840.3317999999999</v>
      </c>
      <c r="D139" s="7">
        <v>53.984200000000001</v>
      </c>
      <c r="E139" s="12">
        <f t="shared" si="6"/>
        <v>343.35612719772644</v>
      </c>
      <c r="F139" s="34"/>
      <c r="G139" s="6">
        <v>35.187100000000001</v>
      </c>
      <c r="H139" s="6">
        <v>42992</v>
      </c>
      <c r="I139" s="6">
        <v>4003.8598999999999</v>
      </c>
      <c r="J139" s="7">
        <v>53.984200000000001</v>
      </c>
      <c r="K139" s="12">
        <f t="shared" si="7"/>
        <v>579.66282146885317</v>
      </c>
      <c r="M139" s="23">
        <v>35.049599999999998</v>
      </c>
      <c r="N139" s="9">
        <v>15428</v>
      </c>
      <c r="O139" s="9">
        <v>5635.9588000000003</v>
      </c>
      <c r="P139" s="10">
        <v>1</v>
      </c>
      <c r="Q139" s="13">
        <f t="shared" si="8"/>
        <v>2.7374224240248171</v>
      </c>
      <c r="R139" s="24"/>
      <c r="S139" s="9">
        <v>34.453800000000001</v>
      </c>
      <c r="T139" s="9">
        <v>29785</v>
      </c>
      <c r="U139" s="9">
        <v>3472.9924000000001</v>
      </c>
      <c r="V139" s="10">
        <v>53.984200000000001</v>
      </c>
      <c r="W139" s="13">
        <f t="shared" si="9"/>
        <v>462.97809260970456</v>
      </c>
      <c r="Y139" s="3">
        <v>34.4786</v>
      </c>
      <c r="Z139" s="3">
        <v>20210</v>
      </c>
      <c r="AA139" s="3">
        <v>6870.7208000000001</v>
      </c>
      <c r="AB139" s="4">
        <v>1</v>
      </c>
      <c r="AC139" s="3">
        <v>0</v>
      </c>
      <c r="AD139" s="11">
        <f t="shared" si="10"/>
        <v>2.9414672184030533</v>
      </c>
      <c r="AE139" s="17"/>
      <c r="AF139" s="3">
        <v>34.477800000000002</v>
      </c>
      <c r="AG139" s="3">
        <v>26298</v>
      </c>
      <c r="AH139" s="3">
        <v>5899.1769000000004</v>
      </c>
      <c r="AI139" s="4">
        <v>1</v>
      </c>
      <c r="AJ139" s="11">
        <f t="shared" si="11"/>
        <v>4.4579100518243484</v>
      </c>
    </row>
    <row r="140" spans="1:36" x14ac:dyDescent="0.4">
      <c r="A140" s="33">
        <v>34.883400000000002</v>
      </c>
      <c r="B140" s="6">
        <v>27056</v>
      </c>
      <c r="C140" s="6">
        <v>4841.2030000000004</v>
      </c>
      <c r="D140" s="7">
        <v>53.984200000000001</v>
      </c>
      <c r="E140" s="12">
        <f t="shared" si="6"/>
        <v>301.70115056113116</v>
      </c>
      <c r="F140" s="34"/>
      <c r="G140" s="6">
        <v>35.188099999999999</v>
      </c>
      <c r="H140" s="6">
        <v>38057</v>
      </c>
      <c r="I140" s="6">
        <v>4005.1970999999999</v>
      </c>
      <c r="J140" s="7">
        <v>53.984200000000001</v>
      </c>
      <c r="K140" s="12">
        <f t="shared" si="7"/>
        <v>512.95270822002749</v>
      </c>
      <c r="M140" s="23">
        <v>35.050600000000003</v>
      </c>
      <c r="N140" s="9">
        <v>13932</v>
      </c>
      <c r="O140" s="9">
        <v>5638.1770999999999</v>
      </c>
      <c r="P140" s="10">
        <v>1</v>
      </c>
      <c r="Q140" s="13">
        <f t="shared" si="8"/>
        <v>2.4710114196306461</v>
      </c>
      <c r="R140" s="24"/>
      <c r="S140" s="9">
        <v>34.454799999999999</v>
      </c>
      <c r="T140" s="9">
        <v>9788</v>
      </c>
      <c r="U140" s="9">
        <v>3475.5300999999999</v>
      </c>
      <c r="V140" s="10">
        <v>53.984200000000001</v>
      </c>
      <c r="W140" s="13">
        <f t="shared" si="9"/>
        <v>152.03359901846341</v>
      </c>
      <c r="Y140" s="3">
        <v>34.479599999999998</v>
      </c>
      <c r="Z140" s="3">
        <v>18149</v>
      </c>
      <c r="AA140" s="3">
        <v>6868.2434000000003</v>
      </c>
      <c r="AB140" s="4">
        <v>1</v>
      </c>
      <c r="AC140" s="3">
        <v>0</v>
      </c>
      <c r="AD140" s="11">
        <f t="shared" si="10"/>
        <v>2.6424514891245701</v>
      </c>
      <c r="AE140" s="17"/>
      <c r="AF140" s="3">
        <v>34.4788</v>
      </c>
      <c r="AG140" s="3">
        <v>23222</v>
      </c>
      <c r="AH140" s="3">
        <v>5898.2758999999996</v>
      </c>
      <c r="AI140" s="4">
        <v>1</v>
      </c>
      <c r="AJ140" s="11">
        <f t="shared" si="11"/>
        <v>3.9370826990307459</v>
      </c>
    </row>
    <row r="141" spans="1:36" x14ac:dyDescent="0.4">
      <c r="A141" s="33">
        <v>34.884399999999999</v>
      </c>
      <c r="B141" s="6">
        <v>1195553</v>
      </c>
      <c r="C141" s="6">
        <v>4836.5424000000003</v>
      </c>
      <c r="D141" s="7">
        <v>1</v>
      </c>
      <c r="E141" s="12">
        <f t="shared" si="6"/>
        <v>247.19167147175222</v>
      </c>
      <c r="F141" s="34"/>
      <c r="G141" s="6">
        <v>35.189100000000003</v>
      </c>
      <c r="H141" s="6">
        <v>33818</v>
      </c>
      <c r="I141" s="6">
        <v>4006.2426</v>
      </c>
      <c r="J141" s="7">
        <v>53.984200000000001</v>
      </c>
      <c r="K141" s="12">
        <f t="shared" si="7"/>
        <v>455.69823345196318</v>
      </c>
      <c r="M141" s="23">
        <v>35.051600000000001</v>
      </c>
      <c r="N141" s="9">
        <v>12663</v>
      </c>
      <c r="O141" s="9">
        <v>5636.1908999999996</v>
      </c>
      <c r="P141" s="10">
        <v>1</v>
      </c>
      <c r="Q141" s="13">
        <f t="shared" si="8"/>
        <v>2.2467301453540194</v>
      </c>
      <c r="R141" s="24"/>
      <c r="S141" s="9">
        <v>34.455800000000004</v>
      </c>
      <c r="T141" s="9">
        <v>3525</v>
      </c>
      <c r="U141" s="9">
        <v>3473.9382999999998</v>
      </c>
      <c r="V141" s="10">
        <v>53.984200000000001</v>
      </c>
      <c r="W141" s="13">
        <f t="shared" si="9"/>
        <v>54.777687041822254</v>
      </c>
      <c r="Y141" s="3">
        <v>34.480600000000003</v>
      </c>
      <c r="Z141" s="3">
        <v>16283</v>
      </c>
      <c r="AA141" s="3">
        <v>6868.9441999999999</v>
      </c>
      <c r="AB141" s="4">
        <v>1</v>
      </c>
      <c r="AC141" s="3">
        <v>0</v>
      </c>
      <c r="AD141" s="11">
        <f t="shared" si="10"/>
        <v>2.3705244249909616</v>
      </c>
      <c r="AE141" s="17"/>
      <c r="AF141" s="3">
        <v>34.479799999999997</v>
      </c>
      <c r="AG141" s="3">
        <v>20462</v>
      </c>
      <c r="AH141" s="3">
        <v>5894.1019999999999</v>
      </c>
      <c r="AI141" s="4">
        <v>1</v>
      </c>
      <c r="AJ141" s="11">
        <f t="shared" si="11"/>
        <v>3.4716060224271654</v>
      </c>
    </row>
    <row r="142" spans="1:36" x14ac:dyDescent="0.4">
      <c r="A142" s="33">
        <v>34.885399999999997</v>
      </c>
      <c r="B142" s="6">
        <v>1047726</v>
      </c>
      <c r="C142" s="6">
        <v>4836.0680000000002</v>
      </c>
      <c r="D142" s="7">
        <v>1</v>
      </c>
      <c r="E142" s="12">
        <f t="shared" si="6"/>
        <v>216.64831842728429</v>
      </c>
      <c r="F142" s="34"/>
      <c r="G142" s="6">
        <v>35.190100000000001</v>
      </c>
      <c r="H142" s="6">
        <v>29563</v>
      </c>
      <c r="I142" s="6">
        <v>4002.3056999999999</v>
      </c>
      <c r="J142" s="7">
        <v>53.984200000000001</v>
      </c>
      <c r="K142" s="12">
        <f t="shared" si="7"/>
        <v>398.75387444792136</v>
      </c>
      <c r="M142" s="23">
        <v>35.052599999999998</v>
      </c>
      <c r="N142" s="9">
        <v>11583</v>
      </c>
      <c r="O142" s="9">
        <v>5638.0861000000004</v>
      </c>
      <c r="P142" s="10">
        <v>1</v>
      </c>
      <c r="Q142" s="13">
        <f t="shared" si="8"/>
        <v>2.0544205594873763</v>
      </c>
      <c r="R142" s="24"/>
      <c r="S142" s="9">
        <v>34.456800000000001</v>
      </c>
      <c r="T142" s="9">
        <v>68780</v>
      </c>
      <c r="U142" s="9">
        <v>3474.6122999999998</v>
      </c>
      <c r="V142" s="10">
        <v>1</v>
      </c>
      <c r="W142" s="13">
        <f t="shared" si="9"/>
        <v>19.795014252381481</v>
      </c>
      <c r="Y142" s="3">
        <v>34.4816</v>
      </c>
      <c r="Z142" s="3">
        <v>14845</v>
      </c>
      <c r="AA142" s="3">
        <v>6873.1859999999997</v>
      </c>
      <c r="AB142" s="4">
        <v>1</v>
      </c>
      <c r="AC142" s="3">
        <v>0</v>
      </c>
      <c r="AD142" s="11">
        <f t="shared" si="10"/>
        <v>2.159842611563255</v>
      </c>
      <c r="AE142" s="17"/>
      <c r="AF142" s="3">
        <v>34.480800000000002</v>
      </c>
      <c r="AG142" s="3">
        <v>18148</v>
      </c>
      <c r="AH142" s="3">
        <v>5894.7115999999996</v>
      </c>
      <c r="AI142" s="4">
        <v>1</v>
      </c>
      <c r="AJ142" s="11">
        <f t="shared" si="11"/>
        <v>3.0786917548264787</v>
      </c>
    </row>
    <row r="143" spans="1:36" x14ac:dyDescent="0.4">
      <c r="A143" s="33">
        <v>34.886400000000002</v>
      </c>
      <c r="B143" s="6">
        <v>917495</v>
      </c>
      <c r="C143" s="6">
        <v>4837.0231000000003</v>
      </c>
      <c r="D143" s="7">
        <v>1</v>
      </c>
      <c r="E143" s="12">
        <f t="shared" si="6"/>
        <v>189.68174867719773</v>
      </c>
      <c r="F143" s="34"/>
      <c r="G143" s="6">
        <v>35.191099999999999</v>
      </c>
      <c r="H143" s="6">
        <v>26407</v>
      </c>
      <c r="I143" s="6">
        <v>4005.3953999999999</v>
      </c>
      <c r="J143" s="7">
        <v>53.984200000000001</v>
      </c>
      <c r="K143" s="12">
        <f t="shared" si="7"/>
        <v>355.91012298061759</v>
      </c>
      <c r="M143" s="23">
        <v>35.053600000000003</v>
      </c>
      <c r="N143" s="9">
        <v>10456</v>
      </c>
      <c r="O143" s="9">
        <v>5640.2</v>
      </c>
      <c r="P143" s="10">
        <v>1</v>
      </c>
      <c r="Q143" s="13">
        <f t="shared" si="8"/>
        <v>1.853834970391121</v>
      </c>
      <c r="R143" s="24"/>
      <c r="S143" s="9">
        <v>34.457799999999999</v>
      </c>
      <c r="T143" s="9">
        <v>40579</v>
      </c>
      <c r="U143" s="9">
        <v>3473.6088</v>
      </c>
      <c r="V143" s="10">
        <v>1</v>
      </c>
      <c r="W143" s="13">
        <f t="shared" si="9"/>
        <v>11.68208694082074</v>
      </c>
      <c r="Y143" s="3">
        <v>34.482599999999998</v>
      </c>
      <c r="Z143" s="3">
        <v>13542</v>
      </c>
      <c r="AA143" s="3">
        <v>6870.5317999999997</v>
      </c>
      <c r="AB143" s="4">
        <v>1</v>
      </c>
      <c r="AC143" s="3">
        <v>0</v>
      </c>
      <c r="AD143" s="11">
        <f t="shared" si="10"/>
        <v>1.9710264640649797</v>
      </c>
      <c r="AE143" s="17"/>
      <c r="AF143" s="3">
        <v>34.4818</v>
      </c>
      <c r="AG143" s="3">
        <v>16440</v>
      </c>
      <c r="AH143" s="3">
        <v>5894.1354000000001</v>
      </c>
      <c r="AI143" s="4">
        <v>1</v>
      </c>
      <c r="AJ143" s="11">
        <f t="shared" si="11"/>
        <v>2.7892131558430098</v>
      </c>
    </row>
    <row r="144" spans="1:36" x14ac:dyDescent="0.4">
      <c r="A144" s="33">
        <v>34.8874</v>
      </c>
      <c r="B144" s="6">
        <v>806264</v>
      </c>
      <c r="C144" s="6">
        <v>4835.7028</v>
      </c>
      <c r="D144" s="7">
        <v>1</v>
      </c>
      <c r="E144" s="12">
        <f t="shared" si="6"/>
        <v>166.73150384676245</v>
      </c>
      <c r="F144" s="34"/>
      <c r="G144" s="6">
        <v>35.192100000000003</v>
      </c>
      <c r="H144" s="6">
        <v>23583</v>
      </c>
      <c r="I144" s="6">
        <v>4004.3368999999998</v>
      </c>
      <c r="J144" s="7">
        <v>53.984200000000001</v>
      </c>
      <c r="K144" s="12">
        <f t="shared" si="7"/>
        <v>317.93263663704221</v>
      </c>
      <c r="M144" s="23">
        <v>35.054600000000001</v>
      </c>
      <c r="N144" s="9">
        <v>9473</v>
      </c>
      <c r="O144" s="9">
        <v>5646.5096999999996</v>
      </c>
      <c r="P144" s="10">
        <v>1</v>
      </c>
      <c r="Q144" s="13">
        <f t="shared" si="8"/>
        <v>1.677673554691671</v>
      </c>
      <c r="R144" s="24"/>
      <c r="S144" s="9">
        <v>34.458799999999997</v>
      </c>
      <c r="T144" s="9">
        <v>29157</v>
      </c>
      <c r="U144" s="9">
        <v>3473.6322</v>
      </c>
      <c r="V144" s="10">
        <v>1</v>
      </c>
      <c r="W144" s="13">
        <f t="shared" si="9"/>
        <v>8.3938074963722418</v>
      </c>
      <c r="Y144" s="3">
        <v>34.483600000000003</v>
      </c>
      <c r="Z144" s="3">
        <v>11981</v>
      </c>
      <c r="AA144" s="3">
        <v>6871.4694</v>
      </c>
      <c r="AB144" s="4">
        <v>1</v>
      </c>
      <c r="AC144" s="3">
        <v>0</v>
      </c>
      <c r="AD144" s="11">
        <f t="shared" si="10"/>
        <v>1.7435863135765401</v>
      </c>
      <c r="AE144" s="17"/>
      <c r="AF144" s="3">
        <v>34.482799999999997</v>
      </c>
      <c r="AG144" s="3">
        <v>14718</v>
      </c>
      <c r="AH144" s="3">
        <v>5894.4169000000002</v>
      </c>
      <c r="AI144" s="4">
        <v>1</v>
      </c>
      <c r="AJ144" s="11">
        <f t="shared" si="11"/>
        <v>2.496939095027364</v>
      </c>
    </row>
    <row r="145" spans="1:36" x14ac:dyDescent="0.4">
      <c r="A145" s="33">
        <v>34.888399999999997</v>
      </c>
      <c r="B145" s="6">
        <v>711395</v>
      </c>
      <c r="C145" s="6">
        <v>4832.9470000000001</v>
      </c>
      <c r="D145" s="7">
        <v>1</v>
      </c>
      <c r="E145" s="12">
        <f t="shared" si="6"/>
        <v>147.19693801732151</v>
      </c>
      <c r="F145" s="34"/>
      <c r="G145" s="6">
        <v>35.193100000000001</v>
      </c>
      <c r="H145" s="6">
        <v>21211</v>
      </c>
      <c r="I145" s="6">
        <v>4004.8018000000002</v>
      </c>
      <c r="J145" s="7">
        <v>53.984200000000001</v>
      </c>
      <c r="K145" s="12">
        <f t="shared" si="7"/>
        <v>285.92148210680489</v>
      </c>
      <c r="M145" s="23">
        <v>35.055599999999998</v>
      </c>
      <c r="N145" s="9">
        <v>8422</v>
      </c>
      <c r="O145" s="9">
        <v>5645.3064000000004</v>
      </c>
      <c r="P145" s="10">
        <v>1</v>
      </c>
      <c r="Q145" s="13">
        <f t="shared" si="8"/>
        <v>1.4918587944137096</v>
      </c>
      <c r="R145" s="24"/>
      <c r="S145" s="9">
        <v>34.459800000000001</v>
      </c>
      <c r="T145" s="9">
        <v>23022</v>
      </c>
      <c r="U145" s="9">
        <v>3473.7368000000001</v>
      </c>
      <c r="V145" s="10">
        <v>1</v>
      </c>
      <c r="W145" s="13">
        <f t="shared" si="9"/>
        <v>6.6274451190429851</v>
      </c>
      <c r="Y145" s="3">
        <v>34.4846</v>
      </c>
      <c r="Z145" s="3">
        <v>10607</v>
      </c>
      <c r="AA145" s="3">
        <v>6870.0931</v>
      </c>
      <c r="AB145" s="4">
        <v>1</v>
      </c>
      <c r="AC145" s="3">
        <v>0</v>
      </c>
      <c r="AD145" s="11">
        <f t="shared" si="10"/>
        <v>1.5439383201371755</v>
      </c>
      <c r="AE145" s="17"/>
      <c r="AF145" s="3">
        <v>34.483800000000002</v>
      </c>
      <c r="AG145" s="3">
        <v>13315</v>
      </c>
      <c r="AH145" s="3">
        <v>5892.1764000000003</v>
      </c>
      <c r="AI145" s="4">
        <v>1</v>
      </c>
      <c r="AJ145" s="11">
        <f t="shared" si="11"/>
        <v>2.2597762008618751</v>
      </c>
    </row>
    <row r="146" spans="1:36" x14ac:dyDescent="0.4">
      <c r="A146" s="33">
        <v>34.889400000000002</v>
      </c>
      <c r="B146" s="6">
        <v>630545</v>
      </c>
      <c r="C146" s="6">
        <v>4832.2825000000003</v>
      </c>
      <c r="D146" s="7">
        <v>1</v>
      </c>
      <c r="E146" s="12">
        <f t="shared" si="6"/>
        <v>130.4859556534619</v>
      </c>
      <c r="F146" s="34"/>
      <c r="G146" s="6">
        <v>35.194099999999999</v>
      </c>
      <c r="H146" s="6">
        <v>18936</v>
      </c>
      <c r="I146" s="6">
        <v>4004.2941000000001</v>
      </c>
      <c r="J146" s="7">
        <v>53.984200000000001</v>
      </c>
      <c r="K146" s="12">
        <f t="shared" si="7"/>
        <v>255.28714566694788</v>
      </c>
      <c r="M146" s="23">
        <v>35.056600000000003</v>
      </c>
      <c r="N146" s="9">
        <v>7282</v>
      </c>
      <c r="O146" s="9">
        <v>5647.72</v>
      </c>
      <c r="P146" s="10">
        <v>1</v>
      </c>
      <c r="Q146" s="13">
        <f t="shared" si="8"/>
        <v>1.2893698696110996</v>
      </c>
      <c r="R146" s="24"/>
      <c r="S146" s="9">
        <v>34.460799999999999</v>
      </c>
      <c r="T146" s="9">
        <v>18156</v>
      </c>
      <c r="U146" s="9">
        <v>3472.2147</v>
      </c>
      <c r="V146" s="10">
        <v>1</v>
      </c>
      <c r="W146" s="13">
        <f t="shared" si="9"/>
        <v>5.2289393279741603</v>
      </c>
      <c r="Y146" s="3">
        <v>34.485599999999998</v>
      </c>
      <c r="Z146" s="3">
        <v>9343</v>
      </c>
      <c r="AA146" s="3">
        <v>6873.7016999999996</v>
      </c>
      <c r="AB146" s="4">
        <v>1</v>
      </c>
      <c r="AC146" s="3">
        <v>0</v>
      </c>
      <c r="AD146" s="11">
        <f t="shared" si="10"/>
        <v>1.3592385017231692</v>
      </c>
      <c r="AE146" s="17"/>
      <c r="AF146" s="3">
        <v>34.4848</v>
      </c>
      <c r="AG146" s="3">
        <v>12186</v>
      </c>
      <c r="AH146" s="3">
        <v>5892.2287999999999</v>
      </c>
      <c r="AI146" s="4">
        <v>1</v>
      </c>
      <c r="AJ146" s="11">
        <f t="shared" si="11"/>
        <v>2.0681477949396672</v>
      </c>
    </row>
    <row r="147" spans="1:36" x14ac:dyDescent="0.4">
      <c r="A147" s="33">
        <v>34.8904</v>
      </c>
      <c r="B147" s="6">
        <v>559385</v>
      </c>
      <c r="C147" s="6">
        <v>4830.0457999999999</v>
      </c>
      <c r="D147" s="7">
        <v>1</v>
      </c>
      <c r="E147" s="12">
        <f t="shared" si="6"/>
        <v>115.81360160187302</v>
      </c>
      <c r="F147" s="34"/>
      <c r="G147" s="6">
        <v>35.195099999999996</v>
      </c>
      <c r="H147" s="6">
        <v>895965</v>
      </c>
      <c r="I147" s="6">
        <v>4003.0023000000001</v>
      </c>
      <c r="J147" s="7">
        <v>1</v>
      </c>
      <c r="K147" s="12">
        <f t="shared" si="7"/>
        <v>223.8232538612331</v>
      </c>
      <c r="M147" s="23">
        <v>35.057600000000001</v>
      </c>
      <c r="N147" s="9">
        <v>6416</v>
      </c>
      <c r="O147" s="9">
        <v>5647.1270999999997</v>
      </c>
      <c r="P147" s="10">
        <v>1</v>
      </c>
      <c r="Q147" s="13">
        <f t="shared" si="8"/>
        <v>1.1361529298676492</v>
      </c>
      <c r="R147" s="24"/>
      <c r="S147" s="9">
        <v>34.461799999999997</v>
      </c>
      <c r="T147" s="9">
        <v>13547</v>
      </c>
      <c r="U147" s="9">
        <v>3472.0835999999999</v>
      </c>
      <c r="V147" s="10">
        <v>1</v>
      </c>
      <c r="W147" s="13">
        <f t="shared" si="9"/>
        <v>3.9016917680207932</v>
      </c>
      <c r="Y147" s="3">
        <v>34.486600000000003</v>
      </c>
      <c r="Z147" s="3">
        <v>8093</v>
      </c>
      <c r="AA147" s="3">
        <v>6872.0146000000004</v>
      </c>
      <c r="AB147" s="4">
        <v>1</v>
      </c>
      <c r="AC147" s="3">
        <v>0</v>
      </c>
      <c r="AD147" s="11">
        <f t="shared" si="10"/>
        <v>1.1776750299686498</v>
      </c>
      <c r="AE147" s="17"/>
      <c r="AF147" s="3">
        <v>34.485799999999998</v>
      </c>
      <c r="AG147" s="3">
        <v>11029</v>
      </c>
      <c r="AH147" s="3">
        <v>5892.4358000000002</v>
      </c>
      <c r="AI147" s="4">
        <v>1</v>
      </c>
      <c r="AJ147" s="11">
        <f t="shared" si="11"/>
        <v>1.8717217080243793</v>
      </c>
    </row>
    <row r="148" spans="1:36" x14ac:dyDescent="0.4">
      <c r="A148" s="33">
        <v>34.891399999999997</v>
      </c>
      <c r="B148" s="6">
        <v>499830</v>
      </c>
      <c r="C148" s="6">
        <v>4829.5136000000002</v>
      </c>
      <c r="D148" s="7">
        <v>1</v>
      </c>
      <c r="E148" s="12">
        <f t="shared" si="6"/>
        <v>103.49489439267755</v>
      </c>
      <c r="F148" s="34"/>
      <c r="G148" s="6">
        <v>35.196100000000001</v>
      </c>
      <c r="H148" s="6">
        <v>810380</v>
      </c>
      <c r="I148" s="6">
        <v>4001.8056999999999</v>
      </c>
      <c r="J148" s="7">
        <v>1</v>
      </c>
      <c r="K148" s="12">
        <f t="shared" si="7"/>
        <v>202.50358481922299</v>
      </c>
      <c r="M148" s="23">
        <v>35.058599999999998</v>
      </c>
      <c r="N148" s="9">
        <v>5611</v>
      </c>
      <c r="O148" s="9">
        <v>5647.4497000000001</v>
      </c>
      <c r="P148" s="10">
        <v>1</v>
      </c>
      <c r="Q148" s="13">
        <f t="shared" si="8"/>
        <v>0.99354581236907691</v>
      </c>
      <c r="R148" s="24"/>
      <c r="S148" s="9">
        <v>34.462800000000001</v>
      </c>
      <c r="T148" s="9">
        <v>9544</v>
      </c>
      <c r="U148" s="9">
        <v>3470.4794000000002</v>
      </c>
      <c r="V148" s="10">
        <v>1</v>
      </c>
      <c r="W148" s="13">
        <f t="shared" si="9"/>
        <v>2.7500523414719016</v>
      </c>
      <c r="Y148" s="3">
        <v>34.4876</v>
      </c>
      <c r="Z148" s="3">
        <v>7041</v>
      </c>
      <c r="AA148" s="3">
        <v>6870.9565000000002</v>
      </c>
      <c r="AB148" s="4">
        <v>1</v>
      </c>
      <c r="AC148" s="3">
        <v>0</v>
      </c>
      <c r="AD148" s="11">
        <f t="shared" si="10"/>
        <v>1.0247481555151745</v>
      </c>
      <c r="AE148" s="17"/>
      <c r="AF148" s="3">
        <v>34.486800000000002</v>
      </c>
      <c r="AG148" s="3">
        <v>9957</v>
      </c>
      <c r="AH148" s="3">
        <v>5893.1116000000002</v>
      </c>
      <c r="AI148" s="4">
        <v>1</v>
      </c>
      <c r="AJ148" s="11">
        <f t="shared" si="11"/>
        <v>1.6895997693306877</v>
      </c>
    </row>
    <row r="149" spans="1:36" x14ac:dyDescent="0.4">
      <c r="A149" s="33">
        <v>34.892400000000002</v>
      </c>
      <c r="B149" s="6">
        <v>446355</v>
      </c>
      <c r="C149" s="6">
        <v>4827.2740999999996</v>
      </c>
      <c r="D149" s="7">
        <v>1</v>
      </c>
      <c r="E149" s="12">
        <f t="shared" ref="E149:E212" si="12">B149/C149*D149</f>
        <v>92.465227943033113</v>
      </c>
      <c r="F149" s="34"/>
      <c r="G149" s="6">
        <v>35.197099999999999</v>
      </c>
      <c r="H149" s="6">
        <v>735435</v>
      </c>
      <c r="I149" s="6">
        <v>4000.2959000000001</v>
      </c>
      <c r="J149" s="7">
        <v>1</v>
      </c>
      <c r="K149" s="12">
        <f t="shared" ref="K149:K212" si="13">H149/I149*J149</f>
        <v>183.84515005502467</v>
      </c>
      <c r="M149" s="23">
        <v>35.059600000000003</v>
      </c>
      <c r="N149" s="9">
        <v>4983</v>
      </c>
      <c r="O149" s="9">
        <v>5647.2308000000003</v>
      </c>
      <c r="P149" s="10">
        <v>1</v>
      </c>
      <c r="Q149" s="13">
        <f t="shared" ref="Q149:Q212" si="14">(N149/O149)*P149</f>
        <v>0.882379377871363</v>
      </c>
      <c r="R149" s="24"/>
      <c r="S149" s="9">
        <v>34.463799999999999</v>
      </c>
      <c r="T149" s="9">
        <v>6353</v>
      </c>
      <c r="U149" s="9">
        <v>3469.4074999999998</v>
      </c>
      <c r="V149" s="10">
        <v>1</v>
      </c>
      <c r="W149" s="13">
        <f t="shared" ref="W149:W212" si="15">T149/U149*V149</f>
        <v>1.8311484021407114</v>
      </c>
      <c r="Y149" s="3">
        <v>34.488599999999998</v>
      </c>
      <c r="Z149" s="3">
        <v>5920</v>
      </c>
      <c r="AA149" s="3">
        <v>6868.8280999999997</v>
      </c>
      <c r="AB149" s="4">
        <v>1</v>
      </c>
      <c r="AC149" s="3">
        <v>0</v>
      </c>
      <c r="AD149" s="11">
        <f t="shared" ref="AD149:AD212" si="16">Z149/AA149*AB149</f>
        <v>0.86186463161015781</v>
      </c>
      <c r="AE149" s="17"/>
      <c r="AF149" s="3">
        <v>34.4878</v>
      </c>
      <c r="AG149" s="3">
        <v>8738</v>
      </c>
      <c r="AH149" s="3">
        <v>5892.4431000000004</v>
      </c>
      <c r="AI149" s="4">
        <v>1</v>
      </c>
      <c r="AJ149" s="11">
        <f t="shared" ref="AJ149:AJ212" si="17">AG149/AH149*AI149</f>
        <v>1.4829163136085268</v>
      </c>
    </row>
    <row r="150" spans="1:36" x14ac:dyDescent="0.4">
      <c r="A150" s="33">
        <v>34.8934</v>
      </c>
      <c r="B150" s="6">
        <v>401289</v>
      </c>
      <c r="C150" s="6">
        <v>4826.8068999999996</v>
      </c>
      <c r="D150" s="7">
        <v>1</v>
      </c>
      <c r="E150" s="12">
        <f t="shared" si="12"/>
        <v>83.137570719889382</v>
      </c>
      <c r="F150" s="34"/>
      <c r="G150" s="6">
        <v>35.198099999999997</v>
      </c>
      <c r="H150" s="6">
        <v>669168</v>
      </c>
      <c r="I150" s="6">
        <v>3999.8692999999998</v>
      </c>
      <c r="J150" s="7">
        <v>1</v>
      </c>
      <c r="K150" s="12">
        <f t="shared" si="13"/>
        <v>167.29746644471609</v>
      </c>
      <c r="M150" s="23">
        <v>35.060600000000001</v>
      </c>
      <c r="N150" s="9">
        <v>4326</v>
      </c>
      <c r="O150" s="9">
        <v>5645.6358</v>
      </c>
      <c r="P150" s="10">
        <v>1</v>
      </c>
      <c r="Q150" s="13">
        <f t="shared" si="14"/>
        <v>0.76625559161999079</v>
      </c>
      <c r="R150" s="24"/>
      <c r="S150" s="9">
        <v>34.464799999999997</v>
      </c>
      <c r="T150" s="9">
        <v>3921</v>
      </c>
      <c r="U150" s="9">
        <v>3470.1086</v>
      </c>
      <c r="V150" s="10">
        <v>1</v>
      </c>
      <c r="W150" s="13">
        <f t="shared" si="15"/>
        <v>1.1299358181470172</v>
      </c>
      <c r="Y150" s="3">
        <v>34.489600000000003</v>
      </c>
      <c r="Z150" s="3">
        <v>5150</v>
      </c>
      <c r="AA150" s="3">
        <v>6865.9642000000003</v>
      </c>
      <c r="AB150" s="4">
        <v>1</v>
      </c>
      <c r="AC150" s="3">
        <v>0</v>
      </c>
      <c r="AD150" s="11">
        <f t="shared" si="16"/>
        <v>0.75007673357807481</v>
      </c>
      <c r="AE150" s="17"/>
      <c r="AF150" s="3">
        <v>34.488799999999998</v>
      </c>
      <c r="AG150" s="3">
        <v>7731</v>
      </c>
      <c r="AH150" s="3">
        <v>5894.0892999999996</v>
      </c>
      <c r="AI150" s="4">
        <v>1</v>
      </c>
      <c r="AJ150" s="11">
        <f t="shared" si="17"/>
        <v>1.311653014826226</v>
      </c>
    </row>
    <row r="151" spans="1:36" x14ac:dyDescent="0.4">
      <c r="A151" s="33">
        <v>34.894399999999997</v>
      </c>
      <c r="B151" s="6">
        <v>362158</v>
      </c>
      <c r="C151" s="6">
        <v>4823.8732</v>
      </c>
      <c r="D151" s="7">
        <v>1</v>
      </c>
      <c r="E151" s="12">
        <f t="shared" si="12"/>
        <v>75.076185667566889</v>
      </c>
      <c r="F151" s="34"/>
      <c r="G151" s="6">
        <v>35.199100000000001</v>
      </c>
      <c r="H151" s="6">
        <v>612020</v>
      </c>
      <c r="I151" s="6">
        <v>3999.5601000000001</v>
      </c>
      <c r="J151" s="7">
        <v>1</v>
      </c>
      <c r="K151" s="12">
        <f t="shared" si="13"/>
        <v>153.0218285755976</v>
      </c>
      <c r="M151" s="23">
        <v>35.061599999999999</v>
      </c>
      <c r="N151" s="9">
        <v>3689</v>
      </c>
      <c r="O151" s="9">
        <v>5643.0014000000001</v>
      </c>
      <c r="P151" s="10">
        <v>1</v>
      </c>
      <c r="Q151" s="13">
        <f t="shared" si="14"/>
        <v>0.65373012312206757</v>
      </c>
      <c r="R151" s="24"/>
      <c r="S151" s="9">
        <v>34.465800000000002</v>
      </c>
      <c r="T151" s="9">
        <v>2254</v>
      </c>
      <c r="U151" s="9">
        <v>3470.8804</v>
      </c>
      <c r="V151" s="10">
        <v>1</v>
      </c>
      <c r="W151" s="13">
        <f t="shared" si="15"/>
        <v>0.64940295839637685</v>
      </c>
      <c r="Y151" s="3">
        <v>34.490600000000001</v>
      </c>
      <c r="Z151" s="3">
        <v>4416</v>
      </c>
      <c r="AA151" s="3">
        <v>6866.5267000000003</v>
      </c>
      <c r="AB151" s="4">
        <v>1</v>
      </c>
      <c r="AC151" s="3">
        <v>0</v>
      </c>
      <c r="AD151" s="11">
        <f t="shared" si="16"/>
        <v>0.64311990514796946</v>
      </c>
      <c r="AE151" s="17"/>
      <c r="AF151" s="3">
        <v>34.489800000000002</v>
      </c>
      <c r="AG151" s="3">
        <v>6874</v>
      </c>
      <c r="AH151" s="3">
        <v>5893.7545</v>
      </c>
      <c r="AI151" s="4">
        <v>1</v>
      </c>
      <c r="AJ151" s="11">
        <f t="shared" si="17"/>
        <v>1.1663193639979406</v>
      </c>
    </row>
    <row r="152" spans="1:36" x14ac:dyDescent="0.4">
      <c r="A152" s="33">
        <v>34.895400000000002</v>
      </c>
      <c r="B152" s="6">
        <v>325251</v>
      </c>
      <c r="C152" s="6">
        <v>4824.2357000000002</v>
      </c>
      <c r="D152" s="7">
        <v>1</v>
      </c>
      <c r="E152" s="12">
        <f t="shared" si="12"/>
        <v>67.420213320008386</v>
      </c>
      <c r="F152" s="34"/>
      <c r="G152" s="6">
        <v>35.200099999999999</v>
      </c>
      <c r="H152" s="6">
        <v>560051</v>
      </c>
      <c r="I152" s="6">
        <v>3998.5219999999999</v>
      </c>
      <c r="J152" s="7">
        <v>1</v>
      </c>
      <c r="K152" s="12">
        <f t="shared" si="13"/>
        <v>140.06450383416671</v>
      </c>
      <c r="M152" s="23">
        <v>35.062600000000003</v>
      </c>
      <c r="N152" s="9">
        <v>3196</v>
      </c>
      <c r="O152" s="9">
        <v>5641.0254000000004</v>
      </c>
      <c r="P152" s="10">
        <v>1</v>
      </c>
      <c r="Q152" s="13">
        <f t="shared" si="14"/>
        <v>0.56656366057135632</v>
      </c>
      <c r="R152" s="24"/>
      <c r="S152" s="9">
        <v>34.466799999999999</v>
      </c>
      <c r="T152" s="9">
        <v>1442</v>
      </c>
      <c r="U152" s="9">
        <v>3470.0891000000001</v>
      </c>
      <c r="V152" s="10">
        <v>1</v>
      </c>
      <c r="W152" s="13">
        <f t="shared" si="15"/>
        <v>0.41555128944671765</v>
      </c>
      <c r="Y152" s="3">
        <v>34.491599999999998</v>
      </c>
      <c r="Z152" s="3">
        <v>3823</v>
      </c>
      <c r="AA152" s="3">
        <v>6866.5616</v>
      </c>
      <c r="AB152" s="4">
        <v>1</v>
      </c>
      <c r="AC152" s="3">
        <v>0</v>
      </c>
      <c r="AD152" s="11">
        <f t="shared" si="16"/>
        <v>0.5567560917242772</v>
      </c>
      <c r="AE152" s="17"/>
      <c r="AF152" s="3">
        <v>34.4908</v>
      </c>
      <c r="AG152" s="3">
        <v>6045</v>
      </c>
      <c r="AH152" s="3">
        <v>5896.9616999999998</v>
      </c>
      <c r="AI152" s="4">
        <v>1</v>
      </c>
      <c r="AJ152" s="11">
        <f t="shared" si="17"/>
        <v>1.0251041650821644</v>
      </c>
    </row>
    <row r="153" spans="1:36" x14ac:dyDescent="0.4">
      <c r="A153" s="33">
        <v>34.8964</v>
      </c>
      <c r="B153" s="6">
        <v>293375</v>
      </c>
      <c r="C153" s="6">
        <v>4823.0535</v>
      </c>
      <c r="D153" s="7">
        <v>1</v>
      </c>
      <c r="E153" s="12">
        <f t="shared" si="12"/>
        <v>60.827647879087387</v>
      </c>
      <c r="F153" s="34"/>
      <c r="G153" s="6">
        <v>35.201099999999997</v>
      </c>
      <c r="H153" s="6">
        <v>515179</v>
      </c>
      <c r="I153" s="6">
        <v>3996.1522</v>
      </c>
      <c r="J153" s="7">
        <v>1</v>
      </c>
      <c r="K153" s="12">
        <f t="shared" si="13"/>
        <v>128.91876340445691</v>
      </c>
      <c r="M153" s="23">
        <v>35.063600000000001</v>
      </c>
      <c r="N153" s="9">
        <v>2858</v>
      </c>
      <c r="O153" s="9">
        <v>5645.2323999999999</v>
      </c>
      <c r="P153" s="10">
        <v>1</v>
      </c>
      <c r="Q153" s="13">
        <f t="shared" si="14"/>
        <v>0.50626790847441461</v>
      </c>
      <c r="R153" s="24"/>
      <c r="S153" s="9">
        <v>34.467799999999997</v>
      </c>
      <c r="T153" s="9">
        <v>1036</v>
      </c>
      <c r="U153" s="9">
        <v>3471.0702999999999</v>
      </c>
      <c r="V153" s="10">
        <v>1</v>
      </c>
      <c r="W153" s="13">
        <f t="shared" si="15"/>
        <v>0.2984670175075394</v>
      </c>
      <c r="Y153" s="3">
        <v>34.492600000000003</v>
      </c>
      <c r="Z153" s="3">
        <v>3209</v>
      </c>
      <c r="AA153" s="3">
        <v>6861.9881999999998</v>
      </c>
      <c r="AB153" s="4">
        <v>1</v>
      </c>
      <c r="AC153" s="3">
        <v>0</v>
      </c>
      <c r="AD153" s="11">
        <f t="shared" si="16"/>
        <v>0.46764872023533938</v>
      </c>
      <c r="AE153" s="17"/>
      <c r="AF153" s="3">
        <v>34.491799999999998</v>
      </c>
      <c r="AG153" s="3">
        <v>5262</v>
      </c>
      <c r="AH153" s="3">
        <v>5895.4236000000001</v>
      </c>
      <c r="AI153" s="4">
        <v>1</v>
      </c>
      <c r="AJ153" s="11">
        <f t="shared" si="17"/>
        <v>0.89255672823917176</v>
      </c>
    </row>
    <row r="154" spans="1:36" x14ac:dyDescent="0.4">
      <c r="A154" s="33">
        <v>34.897399999999998</v>
      </c>
      <c r="B154" s="6">
        <v>265748</v>
      </c>
      <c r="C154" s="6">
        <v>4819.3078999999998</v>
      </c>
      <c r="D154" s="7">
        <v>1</v>
      </c>
      <c r="E154" s="12">
        <f t="shared" si="12"/>
        <v>55.142357681691188</v>
      </c>
      <c r="F154" s="34"/>
      <c r="G154" s="6">
        <v>35.202100000000002</v>
      </c>
      <c r="H154" s="6">
        <v>473618</v>
      </c>
      <c r="I154" s="6">
        <v>3995.1831000000002</v>
      </c>
      <c r="J154" s="7">
        <v>1</v>
      </c>
      <c r="K154" s="12">
        <f t="shared" si="13"/>
        <v>118.54725757124874</v>
      </c>
      <c r="M154" s="23">
        <v>35.064599999999999</v>
      </c>
      <c r="N154" s="9">
        <v>2323</v>
      </c>
      <c r="O154" s="9">
        <v>5642.5187999999998</v>
      </c>
      <c r="P154" s="10">
        <v>1</v>
      </c>
      <c r="Q154" s="13">
        <f t="shared" si="14"/>
        <v>0.41169557113394112</v>
      </c>
      <c r="R154" s="24"/>
      <c r="S154" s="9">
        <v>34.468800000000002</v>
      </c>
      <c r="T154" s="9">
        <v>866</v>
      </c>
      <c r="U154" s="9">
        <v>3468.2788999999998</v>
      </c>
      <c r="V154" s="10">
        <v>1</v>
      </c>
      <c r="W154" s="13">
        <f t="shared" si="15"/>
        <v>0.2496915689219803</v>
      </c>
      <c r="Y154" s="3">
        <v>34.493600000000001</v>
      </c>
      <c r="Z154" s="3">
        <v>2572</v>
      </c>
      <c r="AA154" s="3">
        <v>6859.5133999999998</v>
      </c>
      <c r="AB154" s="4">
        <v>1</v>
      </c>
      <c r="AC154" s="3">
        <v>0</v>
      </c>
      <c r="AD154" s="11">
        <f t="shared" si="16"/>
        <v>0.3749537102733847</v>
      </c>
      <c r="AE154" s="17"/>
      <c r="AF154" s="3">
        <v>34.492800000000003</v>
      </c>
      <c r="AG154" s="3">
        <v>4496</v>
      </c>
      <c r="AH154" s="3">
        <v>5897.0003999999999</v>
      </c>
      <c r="AI154" s="4">
        <v>1</v>
      </c>
      <c r="AJ154" s="11">
        <f t="shared" si="17"/>
        <v>0.76242151857408724</v>
      </c>
    </row>
    <row r="155" spans="1:36" x14ac:dyDescent="0.4">
      <c r="A155" s="33">
        <v>34.898400000000002</v>
      </c>
      <c r="B155" s="6">
        <v>240337</v>
      </c>
      <c r="C155" s="6">
        <v>4821.9189999999999</v>
      </c>
      <c r="D155" s="7">
        <v>1</v>
      </c>
      <c r="E155" s="12">
        <f t="shared" si="12"/>
        <v>49.842604158219999</v>
      </c>
      <c r="F155" s="34"/>
      <c r="G155" s="6">
        <v>35.203099999999999</v>
      </c>
      <c r="H155" s="6">
        <v>436227</v>
      </c>
      <c r="I155" s="6">
        <v>3996.6457999999998</v>
      </c>
      <c r="J155" s="7">
        <v>1</v>
      </c>
      <c r="K155" s="12">
        <f t="shared" si="13"/>
        <v>109.14827628708053</v>
      </c>
      <c r="M155" s="23">
        <v>35.065600000000003</v>
      </c>
      <c r="N155" s="9">
        <v>1990</v>
      </c>
      <c r="O155" s="9">
        <v>5644.5155000000004</v>
      </c>
      <c r="P155" s="10">
        <v>1</v>
      </c>
      <c r="Q155" s="13">
        <f t="shared" si="14"/>
        <v>0.35255461695516643</v>
      </c>
      <c r="R155" s="24"/>
      <c r="S155" s="9">
        <v>34.469799999999999</v>
      </c>
      <c r="T155" s="9">
        <v>807</v>
      </c>
      <c r="U155" s="9">
        <v>3469.7905000000001</v>
      </c>
      <c r="V155" s="10">
        <v>1</v>
      </c>
      <c r="W155" s="13">
        <f t="shared" si="15"/>
        <v>0.23257888336486021</v>
      </c>
      <c r="Y155" s="3">
        <v>34.494599999999998</v>
      </c>
      <c r="Z155" s="3">
        <v>2174</v>
      </c>
      <c r="AA155" s="3">
        <v>6859.9031999999997</v>
      </c>
      <c r="AB155" s="4">
        <v>1</v>
      </c>
      <c r="AC155" s="3">
        <v>0</v>
      </c>
      <c r="AD155" s="11">
        <f t="shared" si="16"/>
        <v>0.31691409289857037</v>
      </c>
      <c r="AE155" s="17"/>
      <c r="AF155" s="3">
        <v>34.4938</v>
      </c>
      <c r="AG155" s="3">
        <v>3850</v>
      </c>
      <c r="AH155" s="3">
        <v>5898.5634</v>
      </c>
      <c r="AI155" s="4">
        <v>1</v>
      </c>
      <c r="AJ155" s="11">
        <f t="shared" si="17"/>
        <v>0.65270130011656735</v>
      </c>
    </row>
    <row r="156" spans="1:36" x14ac:dyDescent="0.4">
      <c r="A156" s="33">
        <v>34.8994</v>
      </c>
      <c r="B156" s="6">
        <v>216990</v>
      </c>
      <c r="C156" s="6">
        <v>4821.1247999999996</v>
      </c>
      <c r="D156" s="7">
        <v>1</v>
      </c>
      <c r="E156" s="12">
        <f t="shared" si="12"/>
        <v>45.008169048019667</v>
      </c>
      <c r="F156" s="34"/>
      <c r="G156" s="6">
        <v>35.204099999999997</v>
      </c>
      <c r="H156" s="6">
        <v>403084</v>
      </c>
      <c r="I156" s="6">
        <v>3995.4243999999999</v>
      </c>
      <c r="J156" s="7">
        <v>1</v>
      </c>
      <c r="K156" s="12">
        <f t="shared" si="13"/>
        <v>100.88640395748698</v>
      </c>
      <c r="M156" s="23">
        <v>35.066600000000001</v>
      </c>
      <c r="N156" s="9">
        <v>1616</v>
      </c>
      <c r="O156" s="9">
        <v>5643.4924000000001</v>
      </c>
      <c r="P156" s="10">
        <v>1</v>
      </c>
      <c r="Q156" s="13">
        <f t="shared" si="14"/>
        <v>0.28634751063011976</v>
      </c>
      <c r="R156" s="24"/>
      <c r="S156" s="9">
        <v>34.470799999999997</v>
      </c>
      <c r="T156" s="9">
        <v>704</v>
      </c>
      <c r="U156" s="9">
        <v>3467.1349</v>
      </c>
      <c r="V156" s="10">
        <v>1</v>
      </c>
      <c r="W156" s="13">
        <f t="shared" si="15"/>
        <v>0.20304949772793668</v>
      </c>
      <c r="Y156" s="3">
        <v>34.495600000000003</v>
      </c>
      <c r="Z156" s="3">
        <v>1779</v>
      </c>
      <c r="AA156" s="3">
        <v>6858.1297999999997</v>
      </c>
      <c r="AB156" s="4">
        <v>1</v>
      </c>
      <c r="AC156" s="3">
        <v>0</v>
      </c>
      <c r="AD156" s="11">
        <f t="shared" si="16"/>
        <v>0.2594001647504543</v>
      </c>
      <c r="AE156" s="17"/>
      <c r="AF156" s="3">
        <v>34.494799999999998</v>
      </c>
      <c r="AG156" s="3">
        <v>3315</v>
      </c>
      <c r="AH156" s="3">
        <v>5897.6404000000002</v>
      </c>
      <c r="AI156" s="4">
        <v>1</v>
      </c>
      <c r="AJ156" s="11">
        <f t="shared" si="17"/>
        <v>0.56208920435365983</v>
      </c>
    </row>
    <row r="157" spans="1:36" x14ac:dyDescent="0.4">
      <c r="A157" s="33">
        <v>34.900399999999998</v>
      </c>
      <c r="B157" s="6">
        <v>197615</v>
      </c>
      <c r="C157" s="6">
        <v>4820.777</v>
      </c>
      <c r="D157" s="7">
        <v>1</v>
      </c>
      <c r="E157" s="12">
        <f t="shared" si="12"/>
        <v>40.992354551973676</v>
      </c>
      <c r="F157" s="34"/>
      <c r="G157" s="6">
        <v>35.205100000000002</v>
      </c>
      <c r="H157" s="6">
        <v>367862</v>
      </c>
      <c r="I157" s="6">
        <v>3993.3056999999999</v>
      </c>
      <c r="J157" s="7">
        <v>1</v>
      </c>
      <c r="K157" s="12">
        <f t="shared" si="13"/>
        <v>92.119669175340121</v>
      </c>
      <c r="M157" s="23">
        <v>35.067599999999999</v>
      </c>
      <c r="N157" s="9">
        <v>1445</v>
      </c>
      <c r="O157" s="9">
        <v>5636.8046999999997</v>
      </c>
      <c r="P157" s="10">
        <v>1</v>
      </c>
      <c r="Q157" s="13">
        <f t="shared" si="14"/>
        <v>0.25635090745648864</v>
      </c>
      <c r="R157" s="24"/>
      <c r="S157" s="9">
        <v>34.471800000000002</v>
      </c>
      <c r="T157" s="9">
        <v>717</v>
      </c>
      <c r="U157" s="9">
        <v>3469.4679000000001</v>
      </c>
      <c r="V157" s="10">
        <v>1</v>
      </c>
      <c r="W157" s="13">
        <f t="shared" si="15"/>
        <v>0.20665993191636101</v>
      </c>
      <c r="Y157" s="3">
        <v>34.496600000000001</v>
      </c>
      <c r="Z157" s="3">
        <v>1500</v>
      </c>
      <c r="AA157" s="3">
        <v>6856.2380999999996</v>
      </c>
      <c r="AB157" s="4">
        <v>1</v>
      </c>
      <c r="AC157" s="3">
        <v>0</v>
      </c>
      <c r="AD157" s="11">
        <f t="shared" si="16"/>
        <v>0.2187788665040673</v>
      </c>
      <c r="AE157" s="17"/>
      <c r="AF157" s="3">
        <v>34.495800000000003</v>
      </c>
      <c r="AG157" s="3">
        <v>2870</v>
      </c>
      <c r="AH157" s="3">
        <v>5898.6976999999997</v>
      </c>
      <c r="AI157" s="4">
        <v>1</v>
      </c>
      <c r="AJ157" s="11">
        <f t="shared" si="17"/>
        <v>0.48654807314502657</v>
      </c>
    </row>
    <row r="158" spans="1:36" x14ac:dyDescent="0.4">
      <c r="A158" s="33">
        <v>34.901400000000002</v>
      </c>
      <c r="B158" s="6">
        <v>180754</v>
      </c>
      <c r="C158" s="6">
        <v>4819.5356000000002</v>
      </c>
      <c r="D158" s="7">
        <v>1</v>
      </c>
      <c r="E158" s="12">
        <f t="shared" si="12"/>
        <v>37.504443374170741</v>
      </c>
      <c r="F158" s="34"/>
      <c r="G158" s="6">
        <v>35.206099999999999</v>
      </c>
      <c r="H158" s="6">
        <v>337718</v>
      </c>
      <c r="I158" s="6">
        <v>3992.1098000000002</v>
      </c>
      <c r="J158" s="7">
        <v>1</v>
      </c>
      <c r="K158" s="12">
        <f t="shared" si="13"/>
        <v>84.596370570769366</v>
      </c>
      <c r="M158" s="23">
        <v>35.068600000000004</v>
      </c>
      <c r="N158" s="9">
        <v>1185</v>
      </c>
      <c r="O158" s="9">
        <v>5628.9268000000002</v>
      </c>
      <c r="P158" s="10">
        <v>1</v>
      </c>
      <c r="Q158" s="13">
        <f t="shared" si="14"/>
        <v>0.21051970332959383</v>
      </c>
      <c r="R158" s="24"/>
      <c r="S158" s="9">
        <v>34.472799999999999</v>
      </c>
      <c r="T158" s="9">
        <v>630</v>
      </c>
      <c r="U158" s="9">
        <v>3467.7485000000001</v>
      </c>
      <c r="V158" s="10">
        <v>1</v>
      </c>
      <c r="W158" s="13">
        <f t="shared" si="15"/>
        <v>0.18167407469140279</v>
      </c>
      <c r="Y158" s="3">
        <v>34.497599999999998</v>
      </c>
      <c r="Z158" s="3">
        <v>1397</v>
      </c>
      <c r="AA158" s="3">
        <v>6858.0304999999998</v>
      </c>
      <c r="AB158" s="4">
        <v>1</v>
      </c>
      <c r="AC158" s="3">
        <v>0</v>
      </c>
      <c r="AD158" s="11">
        <f t="shared" si="16"/>
        <v>0.20370279776387695</v>
      </c>
      <c r="AE158" s="17"/>
      <c r="AF158" s="3">
        <v>34.4968</v>
      </c>
      <c r="AG158" s="3">
        <v>2498</v>
      </c>
      <c r="AH158" s="3">
        <v>5898.0083999999997</v>
      </c>
      <c r="AI158" s="4">
        <v>1</v>
      </c>
      <c r="AJ158" s="11">
        <f t="shared" si="17"/>
        <v>0.42353279795261062</v>
      </c>
    </row>
    <row r="159" spans="1:36" x14ac:dyDescent="0.4">
      <c r="A159" s="33">
        <v>34.9024</v>
      </c>
      <c r="B159" s="6">
        <v>166430</v>
      </c>
      <c r="C159" s="6">
        <v>4815.5531000000001</v>
      </c>
      <c r="D159" s="7">
        <v>1</v>
      </c>
      <c r="E159" s="12">
        <f t="shared" si="12"/>
        <v>34.560931328947447</v>
      </c>
      <c r="F159" s="34"/>
      <c r="G159" s="6">
        <v>35.207099999999997</v>
      </c>
      <c r="H159" s="6">
        <v>309958</v>
      </c>
      <c r="I159" s="6">
        <v>3992.5183000000002</v>
      </c>
      <c r="J159" s="7">
        <v>1</v>
      </c>
      <c r="K159" s="12">
        <f t="shared" si="13"/>
        <v>77.634709902268952</v>
      </c>
      <c r="M159" s="23">
        <v>35.069600000000001</v>
      </c>
      <c r="N159" s="9">
        <v>1018</v>
      </c>
      <c r="O159" s="9">
        <v>5625.2253000000001</v>
      </c>
      <c r="P159" s="10">
        <v>1</v>
      </c>
      <c r="Q159" s="13">
        <f t="shared" si="14"/>
        <v>0.18097052930484403</v>
      </c>
      <c r="R159" s="24"/>
      <c r="S159" s="9">
        <v>34.473799999999997</v>
      </c>
      <c r="T159" s="9">
        <v>608</v>
      </c>
      <c r="U159" s="9">
        <v>3467.4953</v>
      </c>
      <c r="V159" s="10">
        <v>1</v>
      </c>
      <c r="W159" s="13">
        <f t="shared" si="15"/>
        <v>0.17534270342053529</v>
      </c>
      <c r="Y159" s="3">
        <v>34.498600000000003</v>
      </c>
      <c r="Z159" s="3">
        <v>1162</v>
      </c>
      <c r="AA159" s="3">
        <v>6855.5757000000003</v>
      </c>
      <c r="AB159" s="4">
        <v>1</v>
      </c>
      <c r="AC159" s="3">
        <v>0</v>
      </c>
      <c r="AD159" s="11">
        <f t="shared" si="16"/>
        <v>0.16949707082951471</v>
      </c>
      <c r="AE159" s="17"/>
      <c r="AF159" s="3">
        <v>34.497799999999998</v>
      </c>
      <c r="AG159" s="3">
        <v>2051</v>
      </c>
      <c r="AH159" s="3">
        <v>5897.4778999999999</v>
      </c>
      <c r="AI159" s="4">
        <v>1</v>
      </c>
      <c r="AJ159" s="11">
        <f t="shared" si="17"/>
        <v>0.34777578394994918</v>
      </c>
    </row>
    <row r="160" spans="1:36" x14ac:dyDescent="0.4">
      <c r="A160" s="33">
        <v>34.903399999999998</v>
      </c>
      <c r="B160" s="6">
        <v>150812</v>
      </c>
      <c r="C160" s="6">
        <v>4817.3028999999997</v>
      </c>
      <c r="D160" s="7">
        <v>1</v>
      </c>
      <c r="E160" s="12">
        <f t="shared" si="12"/>
        <v>31.306314576980412</v>
      </c>
      <c r="F160" s="34"/>
      <c r="G160" s="6">
        <v>35.208100000000002</v>
      </c>
      <c r="H160" s="6">
        <v>283231</v>
      </c>
      <c r="I160" s="6">
        <v>3992.951</v>
      </c>
      <c r="J160" s="7">
        <v>1</v>
      </c>
      <c r="K160" s="12">
        <f t="shared" si="13"/>
        <v>70.932751240874225</v>
      </c>
      <c r="M160" s="23">
        <v>35.070599999999999</v>
      </c>
      <c r="N160" s="9">
        <v>916</v>
      </c>
      <c r="O160" s="9">
        <v>5623.4093000000003</v>
      </c>
      <c r="P160" s="10">
        <v>1</v>
      </c>
      <c r="Q160" s="13">
        <f t="shared" si="14"/>
        <v>0.16289050843231345</v>
      </c>
      <c r="R160" s="24"/>
      <c r="S160" s="9">
        <v>34.474800000000002</v>
      </c>
      <c r="T160" s="9">
        <v>583</v>
      </c>
      <c r="U160" s="9">
        <v>3468.7417</v>
      </c>
      <c r="V160" s="10">
        <v>1</v>
      </c>
      <c r="W160" s="13">
        <f t="shared" si="15"/>
        <v>0.16807247423467708</v>
      </c>
      <c r="Y160" s="3">
        <v>34.499600000000001</v>
      </c>
      <c r="Z160" s="3">
        <v>1003</v>
      </c>
      <c r="AA160" s="3">
        <v>6855.2314999999999</v>
      </c>
      <c r="AB160" s="4">
        <v>1</v>
      </c>
      <c r="AC160" s="3">
        <v>0</v>
      </c>
      <c r="AD160" s="11">
        <f t="shared" si="16"/>
        <v>0.14631161617226202</v>
      </c>
      <c r="AE160" s="17"/>
      <c r="AF160" s="3">
        <v>34.498800000000003</v>
      </c>
      <c r="AG160" s="3">
        <v>1586</v>
      </c>
      <c r="AH160" s="3">
        <v>5896.6615000000002</v>
      </c>
      <c r="AI160" s="4">
        <v>1</v>
      </c>
      <c r="AJ160" s="11">
        <f t="shared" si="17"/>
        <v>0.26896575290950647</v>
      </c>
    </row>
    <row r="161" spans="1:36" x14ac:dyDescent="0.4">
      <c r="A161" s="33">
        <v>34.904400000000003</v>
      </c>
      <c r="B161" s="6">
        <v>138962</v>
      </c>
      <c r="C161" s="6">
        <v>4817.8023999999996</v>
      </c>
      <c r="D161" s="7">
        <v>1</v>
      </c>
      <c r="E161" s="12">
        <f t="shared" si="12"/>
        <v>28.843441150678991</v>
      </c>
      <c r="F161" s="34"/>
      <c r="G161" s="6">
        <v>35.209099999999999</v>
      </c>
      <c r="H161" s="6">
        <v>261624</v>
      </c>
      <c r="I161" s="6">
        <v>3992.5531000000001</v>
      </c>
      <c r="J161" s="7">
        <v>1</v>
      </c>
      <c r="K161" s="12">
        <f t="shared" si="13"/>
        <v>65.52799510669</v>
      </c>
      <c r="M161" s="23">
        <v>35.071599999999997</v>
      </c>
      <c r="N161" s="9">
        <v>822</v>
      </c>
      <c r="O161" s="9">
        <v>5620.6412</v>
      </c>
      <c r="P161" s="10">
        <v>1</v>
      </c>
      <c r="Q161" s="13">
        <f t="shared" si="14"/>
        <v>0.14624665954482205</v>
      </c>
      <c r="R161" s="24"/>
      <c r="S161" s="9">
        <v>34.4758</v>
      </c>
      <c r="T161" s="9">
        <v>579</v>
      </c>
      <c r="U161" s="9">
        <v>3466.5390000000002</v>
      </c>
      <c r="V161" s="10">
        <v>1</v>
      </c>
      <c r="W161" s="13">
        <f t="shared" si="15"/>
        <v>0.16702538180011819</v>
      </c>
      <c r="Y161" s="3">
        <v>34.500599999999999</v>
      </c>
      <c r="Z161" s="3">
        <v>900</v>
      </c>
      <c r="AA161" s="3">
        <v>6852.1453000000001</v>
      </c>
      <c r="AB161" s="4">
        <v>1</v>
      </c>
      <c r="AC161" s="3">
        <v>0</v>
      </c>
      <c r="AD161" s="11">
        <f t="shared" si="16"/>
        <v>0.13134572613339066</v>
      </c>
      <c r="AE161" s="17"/>
      <c r="AF161" s="3">
        <v>34.4998</v>
      </c>
      <c r="AG161" s="3">
        <v>1334</v>
      </c>
      <c r="AH161" s="3">
        <v>5895.4948000000004</v>
      </c>
      <c r="AI161" s="4">
        <v>1</v>
      </c>
      <c r="AJ161" s="11">
        <f t="shared" si="17"/>
        <v>0.22627447657149996</v>
      </c>
    </row>
    <row r="162" spans="1:36" x14ac:dyDescent="0.4">
      <c r="A162" s="33">
        <v>34.9054</v>
      </c>
      <c r="B162" s="6">
        <v>128643</v>
      </c>
      <c r="C162" s="6">
        <v>4815.0901000000003</v>
      </c>
      <c r="D162" s="7">
        <v>1</v>
      </c>
      <c r="E162" s="12">
        <f t="shared" si="12"/>
        <v>26.716634025186774</v>
      </c>
      <c r="F162" s="34"/>
      <c r="G162" s="6">
        <v>35.210099999999997</v>
      </c>
      <c r="H162" s="6">
        <v>240470</v>
      </c>
      <c r="I162" s="6">
        <v>3991.5994000000001</v>
      </c>
      <c r="J162" s="7">
        <v>1</v>
      </c>
      <c r="K162" s="12">
        <f t="shared" si="13"/>
        <v>60.244021481714825</v>
      </c>
      <c r="M162" s="23">
        <v>35.072600000000001</v>
      </c>
      <c r="N162" s="9">
        <v>717</v>
      </c>
      <c r="O162" s="9">
        <v>5620.7565999999997</v>
      </c>
      <c r="P162" s="10">
        <v>1</v>
      </c>
      <c r="Q162" s="13">
        <f t="shared" si="14"/>
        <v>0.12756289784901911</v>
      </c>
      <c r="R162" s="24"/>
      <c r="S162" s="9">
        <v>34.476799999999997</v>
      </c>
      <c r="T162" s="9">
        <v>517</v>
      </c>
      <c r="U162" s="9">
        <v>3467.3240000000001</v>
      </c>
      <c r="V162" s="10">
        <v>1</v>
      </c>
      <c r="W162" s="13">
        <f t="shared" si="15"/>
        <v>0.14910634252812832</v>
      </c>
      <c r="Y162" s="3">
        <v>34.501600000000003</v>
      </c>
      <c r="Z162" s="3">
        <v>870</v>
      </c>
      <c r="AA162" s="3">
        <v>6850.1711999999998</v>
      </c>
      <c r="AB162" s="4">
        <v>1</v>
      </c>
      <c r="AC162" s="3">
        <v>0</v>
      </c>
      <c r="AD162" s="11">
        <f t="shared" si="16"/>
        <v>0.12700412509398307</v>
      </c>
      <c r="AE162" s="17"/>
      <c r="AF162" s="3">
        <v>34.500799999999998</v>
      </c>
      <c r="AG162" s="3">
        <v>1202</v>
      </c>
      <c r="AH162" s="3">
        <v>5895.1129000000001</v>
      </c>
      <c r="AI162" s="4">
        <v>1</v>
      </c>
      <c r="AJ162" s="11">
        <f t="shared" si="17"/>
        <v>0.20389770652229577</v>
      </c>
    </row>
    <row r="163" spans="1:36" x14ac:dyDescent="0.4">
      <c r="A163" s="33">
        <v>34.906399999999998</v>
      </c>
      <c r="B163" s="6">
        <v>118016</v>
      </c>
      <c r="C163" s="6">
        <v>4814.8222999999998</v>
      </c>
      <c r="D163" s="7">
        <v>1</v>
      </c>
      <c r="E163" s="12">
        <f t="shared" si="12"/>
        <v>24.510977279473014</v>
      </c>
      <c r="F163" s="34"/>
      <c r="G163" s="6">
        <v>35.211100000000002</v>
      </c>
      <c r="H163" s="6">
        <v>223457</v>
      </c>
      <c r="I163" s="6">
        <v>3989.924</v>
      </c>
      <c r="J163" s="7">
        <v>1</v>
      </c>
      <c r="K163" s="12">
        <f t="shared" si="13"/>
        <v>56.005327419770403</v>
      </c>
      <c r="M163" s="23">
        <v>35.073599999999999</v>
      </c>
      <c r="N163" s="9">
        <v>670</v>
      </c>
      <c r="O163" s="9">
        <v>5618.8594999999996</v>
      </c>
      <c r="P163" s="10">
        <v>1</v>
      </c>
      <c r="Q163" s="13">
        <f t="shared" si="14"/>
        <v>0.11924128019218136</v>
      </c>
      <c r="R163" s="24"/>
      <c r="S163" s="9">
        <v>34.477800000000002</v>
      </c>
      <c r="T163" s="9">
        <v>485</v>
      </c>
      <c r="U163" s="9">
        <v>3466.8036000000002</v>
      </c>
      <c r="V163" s="10">
        <v>1</v>
      </c>
      <c r="W163" s="13">
        <f t="shared" si="15"/>
        <v>0.13989832017019943</v>
      </c>
      <c r="Y163" s="3">
        <v>34.502600000000001</v>
      </c>
      <c r="Z163" s="3">
        <v>806</v>
      </c>
      <c r="AA163" s="3">
        <v>6849.5041000000001</v>
      </c>
      <c r="AB163" s="4">
        <v>1</v>
      </c>
      <c r="AC163" s="3">
        <v>0</v>
      </c>
      <c r="AD163" s="11">
        <f t="shared" si="16"/>
        <v>0.1176727523967757</v>
      </c>
      <c r="AE163" s="17"/>
      <c r="AF163" s="3">
        <v>34.501800000000003</v>
      </c>
      <c r="AG163" s="3">
        <v>1006</v>
      </c>
      <c r="AH163" s="3">
        <v>5893.9174000000003</v>
      </c>
      <c r="AI163" s="4">
        <v>1</v>
      </c>
      <c r="AJ163" s="11">
        <f t="shared" si="17"/>
        <v>0.17068444155664617</v>
      </c>
    </row>
    <row r="164" spans="1:36" x14ac:dyDescent="0.4">
      <c r="A164" s="33">
        <v>34.907400000000003</v>
      </c>
      <c r="B164" s="6">
        <v>109305</v>
      </c>
      <c r="C164" s="6">
        <v>4812.7619999999997</v>
      </c>
      <c r="D164" s="7">
        <v>1</v>
      </c>
      <c r="E164" s="12">
        <f t="shared" si="12"/>
        <v>22.711490823772298</v>
      </c>
      <c r="F164" s="34"/>
      <c r="G164" s="6">
        <v>35.2121</v>
      </c>
      <c r="H164" s="6">
        <v>205747</v>
      </c>
      <c r="I164" s="6">
        <v>3988.1390999999999</v>
      </c>
      <c r="J164" s="7">
        <v>1</v>
      </c>
      <c r="K164" s="12">
        <f t="shared" si="13"/>
        <v>51.58972514273637</v>
      </c>
      <c r="M164" s="23">
        <v>35.074599999999997</v>
      </c>
      <c r="N164" s="9">
        <v>602</v>
      </c>
      <c r="O164" s="9">
        <v>5614.5496000000003</v>
      </c>
      <c r="P164" s="10">
        <v>1</v>
      </c>
      <c r="Q164" s="13">
        <f t="shared" si="14"/>
        <v>0.10722142342459669</v>
      </c>
      <c r="R164" s="24"/>
      <c r="S164" s="9">
        <v>34.4788</v>
      </c>
      <c r="T164" s="9">
        <v>476</v>
      </c>
      <c r="U164" s="9">
        <v>3465.8886000000002</v>
      </c>
      <c r="V164" s="10">
        <v>1</v>
      </c>
      <c r="W164" s="13">
        <f t="shared" si="15"/>
        <v>0.13733851688135618</v>
      </c>
      <c r="Y164" s="3">
        <v>34.503599999999999</v>
      </c>
      <c r="Z164" s="3">
        <v>749</v>
      </c>
      <c r="AA164" s="3">
        <v>6852.1435000000001</v>
      </c>
      <c r="AB164" s="4">
        <v>1</v>
      </c>
      <c r="AC164" s="3">
        <v>0</v>
      </c>
      <c r="AD164" s="11">
        <f t="shared" si="16"/>
        <v>0.10930886079662518</v>
      </c>
      <c r="AE164" s="17"/>
      <c r="AF164" s="3">
        <v>34.502800000000001</v>
      </c>
      <c r="AG164" s="3">
        <v>895</v>
      </c>
      <c r="AH164" s="3">
        <v>5891.5919999999996</v>
      </c>
      <c r="AI164" s="4">
        <v>1</v>
      </c>
      <c r="AJ164" s="11">
        <f t="shared" si="17"/>
        <v>0.15191140187575786</v>
      </c>
    </row>
    <row r="165" spans="1:36" x14ac:dyDescent="0.4">
      <c r="A165" s="33">
        <v>34.9084</v>
      </c>
      <c r="B165" s="6">
        <v>102126</v>
      </c>
      <c r="C165" s="6">
        <v>4814.0240999999996</v>
      </c>
      <c r="D165" s="7">
        <v>1</v>
      </c>
      <c r="E165" s="12">
        <f t="shared" si="12"/>
        <v>21.214268536794407</v>
      </c>
      <c r="F165" s="34"/>
      <c r="G165" s="6">
        <v>35.213099999999997</v>
      </c>
      <c r="H165" s="6">
        <v>192372</v>
      </c>
      <c r="I165" s="6">
        <v>3989.4375</v>
      </c>
      <c r="J165" s="7">
        <v>1</v>
      </c>
      <c r="K165" s="12">
        <f t="shared" si="13"/>
        <v>48.220331813695537</v>
      </c>
      <c r="M165" s="23">
        <v>35.075600000000001</v>
      </c>
      <c r="N165" s="9">
        <v>593</v>
      </c>
      <c r="O165" s="9">
        <v>5613.393</v>
      </c>
      <c r="P165" s="10">
        <v>1</v>
      </c>
      <c r="Q165" s="13">
        <f t="shared" si="14"/>
        <v>0.1056402072685807</v>
      </c>
      <c r="R165" s="24"/>
      <c r="S165" s="9">
        <v>34.479799999999997</v>
      </c>
      <c r="T165" s="9">
        <v>500</v>
      </c>
      <c r="U165" s="9">
        <v>3463.6642999999999</v>
      </c>
      <c r="V165" s="10">
        <v>1</v>
      </c>
      <c r="W165" s="13">
        <f t="shared" si="15"/>
        <v>0.14435579106208415</v>
      </c>
      <c r="Y165" s="3">
        <v>34.504600000000003</v>
      </c>
      <c r="Z165" s="3">
        <v>691</v>
      </c>
      <c r="AA165" s="3">
        <v>6850.8532999999998</v>
      </c>
      <c r="AB165" s="4">
        <v>1</v>
      </c>
      <c r="AC165" s="3">
        <v>0</v>
      </c>
      <c r="AD165" s="11">
        <f t="shared" si="16"/>
        <v>0.10086334792776835</v>
      </c>
      <c r="AE165" s="17"/>
      <c r="AF165" s="3">
        <v>34.503799999999998</v>
      </c>
      <c r="AG165" s="3">
        <v>762</v>
      </c>
      <c r="AH165" s="3">
        <v>5891.8055000000004</v>
      </c>
      <c r="AI165" s="4">
        <v>1</v>
      </c>
      <c r="AJ165" s="11">
        <f t="shared" si="17"/>
        <v>0.12933217160681898</v>
      </c>
    </row>
    <row r="166" spans="1:36" x14ac:dyDescent="0.4">
      <c r="A166" s="33">
        <v>34.909399999999998</v>
      </c>
      <c r="B166" s="6">
        <v>94030</v>
      </c>
      <c r="C166" s="6">
        <v>4810.9141</v>
      </c>
      <c r="D166" s="7">
        <v>1</v>
      </c>
      <c r="E166" s="12">
        <f t="shared" si="12"/>
        <v>19.545142159158484</v>
      </c>
      <c r="F166" s="34"/>
      <c r="G166" s="6">
        <v>35.214100000000002</v>
      </c>
      <c r="H166" s="6">
        <v>178635</v>
      </c>
      <c r="I166" s="6">
        <v>3986.7982999999999</v>
      </c>
      <c r="J166" s="7">
        <v>1</v>
      </c>
      <c r="K166" s="12">
        <f t="shared" si="13"/>
        <v>44.806630924870213</v>
      </c>
      <c r="M166" s="23">
        <v>35.076599999999999</v>
      </c>
      <c r="N166" s="9">
        <v>538</v>
      </c>
      <c r="O166" s="9">
        <v>5614.0977000000003</v>
      </c>
      <c r="P166" s="10">
        <v>1</v>
      </c>
      <c r="Q166" s="13">
        <f t="shared" si="14"/>
        <v>9.5830181223956964E-2</v>
      </c>
      <c r="R166" s="24"/>
      <c r="S166" s="9">
        <v>34.480800000000002</v>
      </c>
      <c r="T166" s="9">
        <v>481</v>
      </c>
      <c r="U166" s="9">
        <v>3465.9540000000002</v>
      </c>
      <c r="V166" s="10">
        <v>1</v>
      </c>
      <c r="W166" s="13">
        <f t="shared" si="15"/>
        <v>0.13877852966311727</v>
      </c>
      <c r="Y166" s="3">
        <v>34.505600000000001</v>
      </c>
      <c r="Z166" s="3">
        <v>706</v>
      </c>
      <c r="AA166" s="3">
        <v>6848.7174999999997</v>
      </c>
      <c r="AB166" s="4">
        <v>1</v>
      </c>
      <c r="AC166" s="3">
        <v>0</v>
      </c>
      <c r="AD166" s="11">
        <f t="shared" si="16"/>
        <v>0.10308499365027102</v>
      </c>
      <c r="AE166" s="17"/>
      <c r="AF166" s="3">
        <v>34.504800000000003</v>
      </c>
      <c r="AG166" s="3">
        <v>698</v>
      </c>
      <c r="AH166" s="3">
        <v>5889.8972000000003</v>
      </c>
      <c r="AI166" s="4">
        <v>1</v>
      </c>
      <c r="AJ166" s="11">
        <f t="shared" si="17"/>
        <v>0.11850801063217198</v>
      </c>
    </row>
    <row r="167" spans="1:36" x14ac:dyDescent="0.4">
      <c r="A167" s="33">
        <v>34.910400000000003</v>
      </c>
      <c r="B167" s="6">
        <v>87633</v>
      </c>
      <c r="C167" s="6">
        <v>4809.8258999999998</v>
      </c>
      <c r="D167" s="7">
        <v>1</v>
      </c>
      <c r="E167" s="12">
        <f t="shared" si="12"/>
        <v>18.21957838432364</v>
      </c>
      <c r="F167" s="34"/>
      <c r="G167" s="6">
        <v>35.2151</v>
      </c>
      <c r="H167" s="6">
        <v>166584</v>
      </c>
      <c r="I167" s="6">
        <v>3989.6525000000001</v>
      </c>
      <c r="J167" s="7">
        <v>1</v>
      </c>
      <c r="K167" s="12">
        <f t="shared" si="13"/>
        <v>41.754012410855331</v>
      </c>
      <c r="M167" s="23">
        <v>35.077599999999997</v>
      </c>
      <c r="N167" s="9">
        <v>533</v>
      </c>
      <c r="O167" s="9">
        <v>5612.2920999999997</v>
      </c>
      <c r="P167" s="10">
        <v>1</v>
      </c>
      <c r="Q167" s="13">
        <f t="shared" si="14"/>
        <v>9.4970110340479252E-2</v>
      </c>
      <c r="R167" s="24"/>
      <c r="S167" s="9">
        <v>34.4818</v>
      </c>
      <c r="T167" s="9">
        <v>447</v>
      </c>
      <c r="U167" s="9">
        <v>3464.2671999999998</v>
      </c>
      <c r="V167" s="10">
        <v>1</v>
      </c>
      <c r="W167" s="13">
        <f t="shared" si="15"/>
        <v>0.12903161742258218</v>
      </c>
      <c r="Y167" s="3">
        <v>34.506599999999999</v>
      </c>
      <c r="Z167" s="3">
        <v>678</v>
      </c>
      <c r="AA167" s="3">
        <v>6850.7974999999997</v>
      </c>
      <c r="AB167" s="4">
        <v>1</v>
      </c>
      <c r="AC167" s="3">
        <v>0</v>
      </c>
      <c r="AD167" s="11">
        <f t="shared" si="16"/>
        <v>9.8966580168221296E-2</v>
      </c>
      <c r="AE167" s="17"/>
      <c r="AF167" s="3">
        <v>34.505800000000001</v>
      </c>
      <c r="AG167" s="3">
        <v>650</v>
      </c>
      <c r="AH167" s="3">
        <v>5888.7412000000004</v>
      </c>
      <c r="AI167" s="4">
        <v>1</v>
      </c>
      <c r="AJ167" s="11">
        <f t="shared" si="17"/>
        <v>0.11038012674083894</v>
      </c>
    </row>
    <row r="168" spans="1:36" x14ac:dyDescent="0.4">
      <c r="A168" s="33">
        <v>34.9114</v>
      </c>
      <c r="B168" s="6">
        <v>82050</v>
      </c>
      <c r="C168" s="6">
        <v>4812.8149999999996</v>
      </c>
      <c r="D168" s="7">
        <v>1</v>
      </c>
      <c r="E168" s="12">
        <f t="shared" si="12"/>
        <v>17.048234764893312</v>
      </c>
      <c r="F168" s="34"/>
      <c r="G168" s="6">
        <v>35.216099999999997</v>
      </c>
      <c r="H168" s="6">
        <v>154379</v>
      </c>
      <c r="I168" s="6">
        <v>3989.904</v>
      </c>
      <c r="J168" s="7">
        <v>1</v>
      </c>
      <c r="K168" s="12">
        <f t="shared" si="13"/>
        <v>38.692409641936244</v>
      </c>
      <c r="M168" s="23">
        <v>35.078600000000002</v>
      </c>
      <c r="N168" s="9">
        <v>511</v>
      </c>
      <c r="O168" s="9">
        <v>5611.3945999999996</v>
      </c>
      <c r="P168" s="10">
        <v>1</v>
      </c>
      <c r="Q168" s="13">
        <f t="shared" si="14"/>
        <v>9.1064706089284839E-2</v>
      </c>
      <c r="R168" s="24"/>
      <c r="S168" s="9">
        <v>34.482799999999997</v>
      </c>
      <c r="T168" s="9">
        <v>411</v>
      </c>
      <c r="U168" s="9">
        <v>3462.826</v>
      </c>
      <c r="V168" s="10">
        <v>1</v>
      </c>
      <c r="W168" s="13">
        <f t="shared" si="15"/>
        <v>0.1186891862311303</v>
      </c>
      <c r="Y168" s="3">
        <v>34.507599999999996</v>
      </c>
      <c r="Z168" s="3">
        <v>589</v>
      </c>
      <c r="AA168" s="3">
        <v>6850.3226000000004</v>
      </c>
      <c r="AB168" s="4">
        <v>1</v>
      </c>
      <c r="AC168" s="3">
        <v>0</v>
      </c>
      <c r="AD168" s="11">
        <f t="shared" si="16"/>
        <v>8.598135217748723E-2</v>
      </c>
      <c r="AE168" s="17"/>
      <c r="AF168" s="3">
        <v>34.506799999999998</v>
      </c>
      <c r="AG168" s="3">
        <v>627</v>
      </c>
      <c r="AH168" s="3">
        <v>5885.1016</v>
      </c>
      <c r="AI168" s="4">
        <v>1</v>
      </c>
      <c r="AJ168" s="11">
        <f t="shared" si="17"/>
        <v>0.10654021673984354</v>
      </c>
    </row>
    <row r="169" spans="1:36" x14ac:dyDescent="0.4">
      <c r="A169" s="33">
        <v>34.912399999999998</v>
      </c>
      <c r="B169" s="6">
        <v>76125</v>
      </c>
      <c r="C169" s="6">
        <v>4812.3959000000004</v>
      </c>
      <c r="D169" s="7">
        <v>1</v>
      </c>
      <c r="E169" s="12">
        <f t="shared" si="12"/>
        <v>15.818523991344934</v>
      </c>
      <c r="F169" s="34"/>
      <c r="G169" s="6">
        <v>35.217100000000002</v>
      </c>
      <c r="H169" s="6">
        <v>144238</v>
      </c>
      <c r="I169" s="6">
        <v>3990.8018999999999</v>
      </c>
      <c r="J169" s="7">
        <v>1</v>
      </c>
      <c r="K169" s="12">
        <f t="shared" si="13"/>
        <v>36.14261083718538</v>
      </c>
      <c r="M169" s="23">
        <v>35.079599999999999</v>
      </c>
      <c r="N169" s="9">
        <v>486</v>
      </c>
      <c r="O169" s="9">
        <v>5607.8518999999997</v>
      </c>
      <c r="P169" s="10">
        <v>1</v>
      </c>
      <c r="Q169" s="13">
        <f t="shared" si="14"/>
        <v>8.6664200243947248E-2</v>
      </c>
      <c r="R169" s="24"/>
      <c r="S169" s="9">
        <v>34.483800000000002</v>
      </c>
      <c r="T169" s="9">
        <v>399</v>
      </c>
      <c r="U169" s="9">
        <v>3466.4056</v>
      </c>
      <c r="V169" s="10">
        <v>1</v>
      </c>
      <c r="W169" s="13">
        <f t="shared" si="15"/>
        <v>0.11510482212468154</v>
      </c>
      <c r="Y169" s="3">
        <v>34.508600000000001</v>
      </c>
      <c r="Z169" s="3">
        <v>619</v>
      </c>
      <c r="AA169" s="3">
        <v>6848.0171</v>
      </c>
      <c r="AB169" s="4">
        <v>1</v>
      </c>
      <c r="AC169" s="3">
        <v>0</v>
      </c>
      <c r="AD169" s="11">
        <f t="shared" si="16"/>
        <v>9.0391129426356132E-2</v>
      </c>
      <c r="AE169" s="17"/>
      <c r="AF169" s="3">
        <v>34.507800000000003</v>
      </c>
      <c r="AG169" s="3">
        <v>582</v>
      </c>
      <c r="AH169" s="3">
        <v>5885.1265999999996</v>
      </c>
      <c r="AI169" s="4">
        <v>1</v>
      </c>
      <c r="AJ169" s="11">
        <f t="shared" si="17"/>
        <v>9.8893369600579206E-2</v>
      </c>
    </row>
    <row r="170" spans="1:36" x14ac:dyDescent="0.4">
      <c r="A170" s="33">
        <v>34.913400000000003</v>
      </c>
      <c r="B170" s="6">
        <v>71037</v>
      </c>
      <c r="C170" s="6">
        <v>4815.2471999999998</v>
      </c>
      <c r="D170" s="7">
        <v>1</v>
      </c>
      <c r="E170" s="12">
        <f t="shared" si="12"/>
        <v>14.752513640421203</v>
      </c>
      <c r="F170" s="34"/>
      <c r="G170" s="6">
        <v>35.2181</v>
      </c>
      <c r="H170" s="6">
        <v>134163</v>
      </c>
      <c r="I170" s="6">
        <v>3990.0650000000001</v>
      </c>
      <c r="J170" s="7">
        <v>1</v>
      </c>
      <c r="K170" s="12">
        <f t="shared" si="13"/>
        <v>33.624264266371597</v>
      </c>
      <c r="M170" s="23">
        <v>35.080599999999997</v>
      </c>
      <c r="N170" s="9">
        <v>459</v>
      </c>
      <c r="O170" s="9">
        <v>5608.3059999999996</v>
      </c>
      <c r="P170" s="10">
        <v>1</v>
      </c>
      <c r="Q170" s="13">
        <f t="shared" si="14"/>
        <v>8.1842895162995755E-2</v>
      </c>
      <c r="R170" s="24"/>
      <c r="S170" s="9">
        <v>34.4848</v>
      </c>
      <c r="T170" s="9">
        <v>346</v>
      </c>
      <c r="U170" s="9">
        <v>3464.6257000000001</v>
      </c>
      <c r="V170" s="10">
        <v>1</v>
      </c>
      <c r="W170" s="13">
        <f t="shared" si="15"/>
        <v>9.9866487742095778E-2</v>
      </c>
      <c r="Y170" s="3">
        <v>34.509599999999999</v>
      </c>
      <c r="Z170" s="3">
        <v>605</v>
      </c>
      <c r="AA170" s="3">
        <v>6847.5236999999997</v>
      </c>
      <c r="AB170" s="4">
        <v>1</v>
      </c>
      <c r="AC170" s="3">
        <v>0</v>
      </c>
      <c r="AD170" s="11">
        <f t="shared" si="16"/>
        <v>8.8353107854157564E-2</v>
      </c>
      <c r="AE170" s="17"/>
      <c r="AF170" s="3">
        <v>34.508800000000001</v>
      </c>
      <c r="AG170" s="3">
        <v>544</v>
      </c>
      <c r="AH170" s="3">
        <v>5886.7407000000003</v>
      </c>
      <c r="AI170" s="4">
        <v>1</v>
      </c>
      <c r="AJ170" s="11">
        <f t="shared" si="17"/>
        <v>9.2411068827950915E-2</v>
      </c>
    </row>
    <row r="171" spans="1:36" x14ac:dyDescent="0.4">
      <c r="A171" s="33">
        <v>34.914400000000001</v>
      </c>
      <c r="B171" s="6">
        <v>65318</v>
      </c>
      <c r="C171" s="6">
        <v>4821.1356999999998</v>
      </c>
      <c r="D171" s="7">
        <v>1</v>
      </c>
      <c r="E171" s="12">
        <f t="shared" si="12"/>
        <v>13.548260008528697</v>
      </c>
      <c r="F171" s="34"/>
      <c r="G171" s="6">
        <v>35.219099999999997</v>
      </c>
      <c r="H171" s="6">
        <v>124609</v>
      </c>
      <c r="I171" s="6">
        <v>3993.6603</v>
      </c>
      <c r="J171" s="7">
        <v>1</v>
      </c>
      <c r="K171" s="12">
        <f t="shared" si="13"/>
        <v>31.201702358109927</v>
      </c>
      <c r="M171" s="23">
        <v>35.081600000000002</v>
      </c>
      <c r="N171" s="9">
        <v>470</v>
      </c>
      <c r="O171" s="9">
        <v>5605.3624</v>
      </c>
      <c r="P171" s="10">
        <v>1</v>
      </c>
      <c r="Q171" s="13">
        <f t="shared" si="14"/>
        <v>8.3848280710628095E-2</v>
      </c>
      <c r="R171" s="24"/>
      <c r="S171" s="9">
        <v>34.485799999999998</v>
      </c>
      <c r="T171" s="9">
        <v>378</v>
      </c>
      <c r="U171" s="9">
        <v>3465.2049000000002</v>
      </c>
      <c r="V171" s="10">
        <v>1</v>
      </c>
      <c r="W171" s="13">
        <f t="shared" si="15"/>
        <v>0.10908445846881955</v>
      </c>
      <c r="Y171" s="3">
        <v>34.510599999999997</v>
      </c>
      <c r="Z171" s="3">
        <v>586</v>
      </c>
      <c r="AA171" s="3">
        <v>6847.3991999999998</v>
      </c>
      <c r="AB171" s="4">
        <v>1</v>
      </c>
      <c r="AC171" s="3">
        <v>0</v>
      </c>
      <c r="AD171" s="11">
        <f t="shared" si="16"/>
        <v>8.5579938146442519E-2</v>
      </c>
      <c r="AE171" s="17"/>
      <c r="AF171" s="3">
        <v>34.509799999999998</v>
      </c>
      <c r="AG171" s="3">
        <v>498</v>
      </c>
      <c r="AH171" s="3">
        <v>5886.0388000000003</v>
      </c>
      <c r="AI171" s="4">
        <v>1</v>
      </c>
      <c r="AJ171" s="11">
        <f t="shared" si="17"/>
        <v>8.4606985601250198E-2</v>
      </c>
    </row>
    <row r="172" spans="1:36" x14ac:dyDescent="0.4">
      <c r="A172" s="33">
        <v>34.915399999999998</v>
      </c>
      <c r="B172" s="6">
        <v>61373</v>
      </c>
      <c r="C172" s="6">
        <v>4824.3341</v>
      </c>
      <c r="D172" s="7">
        <v>1</v>
      </c>
      <c r="E172" s="12">
        <f t="shared" si="12"/>
        <v>12.721548451629832</v>
      </c>
      <c r="F172" s="34"/>
      <c r="G172" s="6">
        <v>35.220100000000002</v>
      </c>
      <c r="H172" s="6">
        <v>115799</v>
      </c>
      <c r="I172" s="6">
        <v>3993.2334999999998</v>
      </c>
      <c r="J172" s="7">
        <v>1</v>
      </c>
      <c r="K172" s="12">
        <f t="shared" si="13"/>
        <v>28.998805103683519</v>
      </c>
      <c r="M172" s="23">
        <v>35.082599999999999</v>
      </c>
      <c r="N172" s="9">
        <v>430</v>
      </c>
      <c r="O172" s="9">
        <v>5604.5011000000004</v>
      </c>
      <c r="P172" s="10">
        <v>1</v>
      </c>
      <c r="Q172" s="13">
        <f t="shared" si="14"/>
        <v>7.6724045963698709E-2</v>
      </c>
      <c r="R172" s="24"/>
      <c r="S172" s="9">
        <v>34.486800000000002</v>
      </c>
      <c r="T172" s="9">
        <v>365</v>
      </c>
      <c r="U172" s="9">
        <v>3463.9546</v>
      </c>
      <c r="V172" s="10">
        <v>1</v>
      </c>
      <c r="W172" s="13">
        <f t="shared" si="15"/>
        <v>0.10537089602733246</v>
      </c>
      <c r="Y172" s="3">
        <v>34.511600000000001</v>
      </c>
      <c r="Z172" s="3">
        <v>512</v>
      </c>
      <c r="AA172" s="3">
        <v>6845.6135999999997</v>
      </c>
      <c r="AB172" s="4">
        <v>1</v>
      </c>
      <c r="AC172" s="3">
        <v>0</v>
      </c>
      <c r="AD172" s="11">
        <f t="shared" si="16"/>
        <v>7.4792418900184496E-2</v>
      </c>
      <c r="AE172" s="17"/>
      <c r="AF172" s="3">
        <v>34.510800000000003</v>
      </c>
      <c r="AG172" s="3">
        <v>511</v>
      </c>
      <c r="AH172" s="3">
        <v>5883.1176999999998</v>
      </c>
      <c r="AI172" s="4">
        <v>1</v>
      </c>
      <c r="AJ172" s="11">
        <f t="shared" si="17"/>
        <v>8.6858707586285416E-2</v>
      </c>
    </row>
    <row r="173" spans="1:36" x14ac:dyDescent="0.4">
      <c r="A173" s="33">
        <v>34.916400000000003</v>
      </c>
      <c r="B173" s="6">
        <v>57410</v>
      </c>
      <c r="C173" s="6">
        <v>4828.4269999999997</v>
      </c>
      <c r="D173" s="7">
        <v>1</v>
      </c>
      <c r="E173" s="12">
        <f t="shared" si="12"/>
        <v>11.890000615107157</v>
      </c>
      <c r="F173" s="34"/>
      <c r="G173" s="6">
        <v>35.2211</v>
      </c>
      <c r="H173" s="6">
        <v>108158</v>
      </c>
      <c r="I173" s="6">
        <v>3994.3117000000002</v>
      </c>
      <c r="J173" s="7">
        <v>1</v>
      </c>
      <c r="K173" s="12">
        <f t="shared" si="13"/>
        <v>27.07800695674301</v>
      </c>
      <c r="M173" s="23">
        <v>35.083599999999997</v>
      </c>
      <c r="N173" s="9">
        <v>392</v>
      </c>
      <c r="O173" s="9">
        <v>5604.1855999999998</v>
      </c>
      <c r="P173" s="10">
        <v>1</v>
      </c>
      <c r="Q173" s="13">
        <f t="shared" si="14"/>
        <v>6.9947719076256146E-2</v>
      </c>
      <c r="R173" s="24"/>
      <c r="S173" s="9">
        <v>34.4878</v>
      </c>
      <c r="T173" s="9">
        <v>347</v>
      </c>
      <c r="U173" s="9">
        <v>3465.1790999999998</v>
      </c>
      <c r="V173" s="10">
        <v>1</v>
      </c>
      <c r="W173" s="13">
        <f t="shared" si="15"/>
        <v>0.10013912412204033</v>
      </c>
      <c r="Y173" s="3">
        <v>34.512599999999999</v>
      </c>
      <c r="Z173" s="3">
        <v>550</v>
      </c>
      <c r="AA173" s="3">
        <v>6842.5627000000004</v>
      </c>
      <c r="AB173" s="4">
        <v>1</v>
      </c>
      <c r="AC173" s="3">
        <v>0</v>
      </c>
      <c r="AD173" s="11">
        <f t="shared" si="16"/>
        <v>8.0379241537677101E-2</v>
      </c>
      <c r="AE173" s="17"/>
      <c r="AF173" s="3">
        <v>34.511800000000001</v>
      </c>
      <c r="AG173" s="3">
        <v>485</v>
      </c>
      <c r="AH173" s="3">
        <v>5879.62</v>
      </c>
      <c r="AI173" s="4">
        <v>1</v>
      </c>
      <c r="AJ173" s="11">
        <f t="shared" si="17"/>
        <v>8.248832407536541E-2</v>
      </c>
    </row>
    <row r="174" spans="1:36" x14ac:dyDescent="0.4">
      <c r="A174" s="33">
        <v>34.917400000000001</v>
      </c>
      <c r="B174" s="6">
        <v>53589</v>
      </c>
      <c r="C174" s="6">
        <v>4831.9696000000004</v>
      </c>
      <c r="D174" s="7">
        <v>1</v>
      </c>
      <c r="E174" s="12">
        <f t="shared" si="12"/>
        <v>11.090508516444308</v>
      </c>
      <c r="F174" s="34"/>
      <c r="G174" s="6">
        <v>35.222099999999998</v>
      </c>
      <c r="H174" s="6">
        <v>101240</v>
      </c>
      <c r="I174" s="6">
        <v>3993.8332999999998</v>
      </c>
      <c r="J174" s="7">
        <v>1</v>
      </c>
      <c r="K174" s="12">
        <f t="shared" si="13"/>
        <v>25.349080042975256</v>
      </c>
      <c r="M174" s="23">
        <v>35.084600000000002</v>
      </c>
      <c r="N174" s="9">
        <v>449</v>
      </c>
      <c r="O174" s="9">
        <v>5604.3757999999998</v>
      </c>
      <c r="P174" s="10">
        <v>1</v>
      </c>
      <c r="Q174" s="13">
        <f t="shared" si="14"/>
        <v>8.0115969382352992E-2</v>
      </c>
      <c r="R174" s="24"/>
      <c r="S174" s="9">
        <v>34.488799999999998</v>
      </c>
      <c r="T174" s="9">
        <v>334</v>
      </c>
      <c r="U174" s="9">
        <v>3465.7211000000002</v>
      </c>
      <c r="V174" s="10">
        <v>1</v>
      </c>
      <c r="W174" s="13">
        <f t="shared" si="15"/>
        <v>9.6372440355918992E-2</v>
      </c>
      <c r="Y174" s="3">
        <v>34.513599999999997</v>
      </c>
      <c r="Z174" s="3">
        <v>462</v>
      </c>
      <c r="AA174" s="3">
        <v>6843.9078</v>
      </c>
      <c r="AB174" s="4">
        <v>1</v>
      </c>
      <c r="AC174" s="3">
        <v>0</v>
      </c>
      <c r="AD174" s="11">
        <f t="shared" si="16"/>
        <v>6.750529280946771E-2</v>
      </c>
      <c r="AE174" s="17"/>
      <c r="AF174" s="3">
        <v>34.512799999999999</v>
      </c>
      <c r="AG174" s="3">
        <v>508</v>
      </c>
      <c r="AH174" s="3">
        <v>5882.1527999999998</v>
      </c>
      <c r="AI174" s="4">
        <v>1</v>
      </c>
      <c r="AJ174" s="11">
        <f t="shared" si="17"/>
        <v>8.6362938412616552E-2</v>
      </c>
    </row>
    <row r="175" spans="1:36" x14ac:dyDescent="0.4">
      <c r="A175" s="33">
        <v>34.918399999999998</v>
      </c>
      <c r="B175" s="6">
        <v>49938</v>
      </c>
      <c r="C175" s="6">
        <v>4833.4745999999996</v>
      </c>
      <c r="D175" s="7">
        <v>1</v>
      </c>
      <c r="E175" s="12">
        <f t="shared" si="12"/>
        <v>10.331698029405183</v>
      </c>
      <c r="F175" s="34"/>
      <c r="G175" s="6">
        <v>35.223100000000002</v>
      </c>
      <c r="H175" s="6">
        <v>94552</v>
      </c>
      <c r="I175" s="6">
        <v>3993.9974999999999</v>
      </c>
      <c r="J175" s="7">
        <v>1</v>
      </c>
      <c r="K175" s="12">
        <f t="shared" si="13"/>
        <v>23.673525083578546</v>
      </c>
      <c r="M175" s="23">
        <v>35.085599999999999</v>
      </c>
      <c r="N175" s="9">
        <v>411</v>
      </c>
      <c r="O175" s="9">
        <v>5604.0748000000003</v>
      </c>
      <c r="P175" s="10">
        <v>1</v>
      </c>
      <c r="Q175" s="13">
        <f t="shared" si="14"/>
        <v>7.333949218522208E-2</v>
      </c>
      <c r="R175" s="24"/>
      <c r="S175" s="9">
        <v>34.489800000000002</v>
      </c>
      <c r="T175" s="9">
        <v>311</v>
      </c>
      <c r="U175" s="9">
        <v>3464.2453999999998</v>
      </c>
      <c r="V175" s="10">
        <v>1</v>
      </c>
      <c r="W175" s="13">
        <f t="shared" si="15"/>
        <v>8.9774240589306983E-2</v>
      </c>
      <c r="Y175" s="3">
        <v>34.514600000000002</v>
      </c>
      <c r="Z175" s="3">
        <v>440</v>
      </c>
      <c r="AA175" s="3">
        <v>6840.4488000000001</v>
      </c>
      <c r="AB175" s="4">
        <v>1</v>
      </c>
      <c r="AC175" s="3">
        <v>0</v>
      </c>
      <c r="AD175" s="11">
        <f t="shared" si="16"/>
        <v>6.4323264871158747E-2</v>
      </c>
      <c r="AE175" s="17"/>
      <c r="AF175" s="3">
        <v>34.513800000000003</v>
      </c>
      <c r="AG175" s="3">
        <v>452</v>
      </c>
      <c r="AH175" s="3">
        <v>5880.6957000000002</v>
      </c>
      <c r="AI175" s="4">
        <v>1</v>
      </c>
      <c r="AJ175" s="11">
        <f t="shared" si="17"/>
        <v>7.6861654310730609E-2</v>
      </c>
    </row>
    <row r="176" spans="1:36" x14ac:dyDescent="0.4">
      <c r="A176" s="33">
        <v>34.919400000000003</v>
      </c>
      <c r="B176" s="6">
        <v>47252</v>
      </c>
      <c r="C176" s="6">
        <v>4833.0316999999995</v>
      </c>
      <c r="D176" s="7">
        <v>1</v>
      </c>
      <c r="E176" s="12">
        <f t="shared" si="12"/>
        <v>9.7768860071826147</v>
      </c>
      <c r="F176" s="34"/>
      <c r="G176" s="6">
        <v>35.2241</v>
      </c>
      <c r="H176" s="6">
        <v>88398</v>
      </c>
      <c r="I176" s="6">
        <v>3994.0392999999999</v>
      </c>
      <c r="J176" s="7">
        <v>1</v>
      </c>
      <c r="K176" s="12">
        <f t="shared" si="13"/>
        <v>22.132481270276937</v>
      </c>
      <c r="M176" s="23">
        <v>35.086599999999997</v>
      </c>
      <c r="N176" s="9">
        <v>368</v>
      </c>
      <c r="O176" s="9">
        <v>5606.0934999999999</v>
      </c>
      <c r="P176" s="10">
        <v>1</v>
      </c>
      <c r="Q176" s="13">
        <f t="shared" si="14"/>
        <v>6.5642858079338132E-2</v>
      </c>
      <c r="R176" s="24"/>
      <c r="S176" s="9">
        <v>34.4908</v>
      </c>
      <c r="T176" s="9">
        <v>291</v>
      </c>
      <c r="U176" s="9">
        <v>3464.4358999999999</v>
      </c>
      <c r="V176" s="10">
        <v>1</v>
      </c>
      <c r="W176" s="13">
        <f t="shared" si="15"/>
        <v>8.3996358541371774E-2</v>
      </c>
      <c r="Y176" s="3">
        <v>34.515599999999999</v>
      </c>
      <c r="Z176" s="3">
        <v>475</v>
      </c>
      <c r="AA176" s="3">
        <v>6842.0925999999999</v>
      </c>
      <c r="AB176" s="4">
        <v>1</v>
      </c>
      <c r="AC176" s="3">
        <v>0</v>
      </c>
      <c r="AD176" s="11">
        <f t="shared" si="16"/>
        <v>6.9423205409409397E-2</v>
      </c>
      <c r="AE176" s="17"/>
      <c r="AF176" s="3">
        <v>34.514800000000001</v>
      </c>
      <c r="AG176" s="3">
        <v>468</v>
      </c>
      <c r="AH176" s="3">
        <v>5881.3986000000004</v>
      </c>
      <c r="AI176" s="4">
        <v>1</v>
      </c>
      <c r="AJ176" s="11">
        <f t="shared" si="17"/>
        <v>7.9572909749731968E-2</v>
      </c>
    </row>
    <row r="177" spans="1:36" x14ac:dyDescent="0.4">
      <c r="A177" s="33">
        <v>34.920400000000001</v>
      </c>
      <c r="B177" s="6">
        <v>43980</v>
      </c>
      <c r="C177" s="6">
        <v>4834.6259</v>
      </c>
      <c r="D177" s="7">
        <v>1</v>
      </c>
      <c r="E177" s="12">
        <f t="shared" si="12"/>
        <v>9.0968775888119904</v>
      </c>
      <c r="F177" s="34"/>
      <c r="G177" s="6">
        <v>35.225099999999998</v>
      </c>
      <c r="H177" s="6">
        <v>82258</v>
      </c>
      <c r="I177" s="6">
        <v>3993.4164999999998</v>
      </c>
      <c r="J177" s="7">
        <v>1</v>
      </c>
      <c r="K177" s="12">
        <f t="shared" si="13"/>
        <v>20.598402395542767</v>
      </c>
      <c r="M177" s="23">
        <v>35.087600000000002</v>
      </c>
      <c r="N177" s="9">
        <v>379</v>
      </c>
      <c r="O177" s="9">
        <v>5605.6813000000002</v>
      </c>
      <c r="P177" s="10">
        <v>1</v>
      </c>
      <c r="Q177" s="13">
        <f t="shared" si="14"/>
        <v>6.7609979896645217E-2</v>
      </c>
      <c r="R177" s="24"/>
      <c r="S177" s="9">
        <v>34.491799999999998</v>
      </c>
      <c r="T177" s="9">
        <v>299</v>
      </c>
      <c r="U177" s="9">
        <v>3465.6005</v>
      </c>
      <c r="V177" s="10">
        <v>1</v>
      </c>
      <c r="W177" s="13">
        <f t="shared" si="15"/>
        <v>8.6276534182171308E-2</v>
      </c>
      <c r="Y177" s="3">
        <v>34.516599999999997</v>
      </c>
      <c r="Z177" s="3">
        <v>432</v>
      </c>
      <c r="AA177" s="3">
        <v>6839.6930000000002</v>
      </c>
      <c r="AB177" s="4">
        <v>1</v>
      </c>
      <c r="AC177" s="3">
        <v>0</v>
      </c>
      <c r="AD177" s="11">
        <f t="shared" si="16"/>
        <v>6.3160729582453473E-2</v>
      </c>
      <c r="AE177" s="17"/>
      <c r="AF177" s="3">
        <v>34.515799999999999</v>
      </c>
      <c r="AG177" s="3">
        <v>386</v>
      </c>
      <c r="AH177" s="3">
        <v>5881.7727999999997</v>
      </c>
      <c r="AI177" s="4">
        <v>1</v>
      </c>
      <c r="AJ177" s="11">
        <f t="shared" si="17"/>
        <v>6.5626472345208575E-2</v>
      </c>
    </row>
    <row r="178" spans="1:36" x14ac:dyDescent="0.4">
      <c r="A178" s="33">
        <v>34.921399999999998</v>
      </c>
      <c r="B178" s="6">
        <v>41509</v>
      </c>
      <c r="C178" s="6">
        <v>4834.0649999999996</v>
      </c>
      <c r="D178" s="7">
        <v>1</v>
      </c>
      <c r="E178" s="12">
        <f t="shared" si="12"/>
        <v>8.5867691063318361</v>
      </c>
      <c r="F178" s="34"/>
      <c r="G178" s="6">
        <v>35.226100000000002</v>
      </c>
      <c r="H178" s="6">
        <v>77221</v>
      </c>
      <c r="I178" s="6">
        <v>3992.1734999999999</v>
      </c>
      <c r="J178" s="7">
        <v>1</v>
      </c>
      <c r="K178" s="12">
        <f t="shared" si="13"/>
        <v>19.343097187534561</v>
      </c>
      <c r="M178" s="23">
        <v>35.0886</v>
      </c>
      <c r="N178" s="9">
        <v>394</v>
      </c>
      <c r="O178" s="9">
        <v>5604.9811</v>
      </c>
      <c r="P178" s="10">
        <v>1</v>
      </c>
      <c r="Q178" s="13">
        <f t="shared" si="14"/>
        <v>7.0294617050537425E-2</v>
      </c>
      <c r="R178" s="24"/>
      <c r="S178" s="9">
        <v>34.492800000000003</v>
      </c>
      <c r="T178" s="9">
        <v>279</v>
      </c>
      <c r="U178" s="9">
        <v>3463.1412999999998</v>
      </c>
      <c r="V178" s="10">
        <v>1</v>
      </c>
      <c r="W178" s="13">
        <f t="shared" si="15"/>
        <v>8.0562696070183459E-2</v>
      </c>
      <c r="Y178" s="3">
        <v>34.517600000000002</v>
      </c>
      <c r="Z178" s="3">
        <v>412</v>
      </c>
      <c r="AA178" s="3">
        <v>6840.3756000000003</v>
      </c>
      <c r="AB178" s="4">
        <v>1</v>
      </c>
      <c r="AC178" s="3">
        <v>0</v>
      </c>
      <c r="AD178" s="11">
        <f t="shared" si="16"/>
        <v>6.023061072845181E-2</v>
      </c>
      <c r="AE178" s="17"/>
      <c r="AF178" s="3">
        <v>34.516800000000003</v>
      </c>
      <c r="AG178" s="3">
        <v>419</v>
      </c>
      <c r="AH178" s="3">
        <v>5881.3122999999996</v>
      </c>
      <c r="AI178" s="4">
        <v>1</v>
      </c>
      <c r="AJ178" s="11">
        <f t="shared" si="17"/>
        <v>7.1242603457735115E-2</v>
      </c>
    </row>
    <row r="179" spans="1:36" x14ac:dyDescent="0.4">
      <c r="A179" s="33">
        <v>34.922400000000003</v>
      </c>
      <c r="B179" s="6">
        <v>39100</v>
      </c>
      <c r="C179" s="6">
        <v>4835.5690999999997</v>
      </c>
      <c r="D179" s="7">
        <v>1</v>
      </c>
      <c r="E179" s="12">
        <f t="shared" si="12"/>
        <v>8.0859148512633201</v>
      </c>
      <c r="F179" s="34"/>
      <c r="G179" s="6">
        <v>35.2271</v>
      </c>
      <c r="H179" s="6">
        <v>71751</v>
      </c>
      <c r="I179" s="6">
        <v>3992.2673</v>
      </c>
      <c r="J179" s="7">
        <v>1</v>
      </c>
      <c r="K179" s="12">
        <f t="shared" si="13"/>
        <v>17.972493976042134</v>
      </c>
      <c r="M179" s="23">
        <v>35.089599999999997</v>
      </c>
      <c r="N179" s="9">
        <v>323</v>
      </c>
      <c r="O179" s="9">
        <v>5607.9111999999996</v>
      </c>
      <c r="P179" s="10">
        <v>1</v>
      </c>
      <c r="Q179" s="13">
        <f t="shared" si="14"/>
        <v>5.7597203037023842E-2</v>
      </c>
      <c r="R179" s="24"/>
      <c r="S179" s="9">
        <v>34.4938</v>
      </c>
      <c r="T179" s="9">
        <v>272</v>
      </c>
      <c r="U179" s="9">
        <v>3462.9996000000001</v>
      </c>
      <c r="V179" s="10">
        <v>1</v>
      </c>
      <c r="W179" s="13">
        <f t="shared" si="15"/>
        <v>7.8544623568538668E-2</v>
      </c>
      <c r="Y179" s="3">
        <v>34.518599999999999</v>
      </c>
      <c r="Z179" s="3">
        <v>375</v>
      </c>
      <c r="AA179" s="3">
        <v>6839.8924999999999</v>
      </c>
      <c r="AB179" s="4">
        <v>1</v>
      </c>
      <c r="AC179" s="3">
        <v>0</v>
      </c>
      <c r="AD179" s="11">
        <f t="shared" si="16"/>
        <v>5.4825423060377049E-2</v>
      </c>
      <c r="AE179" s="17"/>
      <c r="AF179" s="3">
        <v>34.517800000000001</v>
      </c>
      <c r="AG179" s="3">
        <v>371</v>
      </c>
      <c r="AH179" s="3">
        <v>5882.4799000000003</v>
      </c>
      <c r="AI179" s="4">
        <v>1</v>
      </c>
      <c r="AJ179" s="11">
        <f t="shared" si="17"/>
        <v>6.3068638789569004E-2</v>
      </c>
    </row>
    <row r="180" spans="1:36" x14ac:dyDescent="0.4">
      <c r="A180" s="33">
        <v>34.923400000000001</v>
      </c>
      <c r="B180" s="6">
        <v>36486</v>
      </c>
      <c r="C180" s="6">
        <v>4834.5628999999999</v>
      </c>
      <c r="D180" s="7">
        <v>1</v>
      </c>
      <c r="E180" s="12">
        <f t="shared" si="12"/>
        <v>7.5469077049344007</v>
      </c>
      <c r="F180" s="34"/>
      <c r="G180" s="6">
        <v>35.228099999999998</v>
      </c>
      <c r="H180" s="6">
        <v>68124</v>
      </c>
      <c r="I180" s="6">
        <v>3990.3616000000002</v>
      </c>
      <c r="J180" s="7">
        <v>1</v>
      </c>
      <c r="K180" s="12">
        <f t="shared" si="13"/>
        <v>17.072137021366686</v>
      </c>
      <c r="M180" s="23">
        <v>35.090600000000002</v>
      </c>
      <c r="N180" s="9">
        <v>332</v>
      </c>
      <c r="O180" s="9">
        <v>5607.3702000000003</v>
      </c>
      <c r="P180" s="10">
        <v>1</v>
      </c>
      <c r="Q180" s="13">
        <f t="shared" si="14"/>
        <v>5.9207790489737948E-2</v>
      </c>
      <c r="R180" s="24"/>
      <c r="S180" s="9">
        <v>34.494799999999998</v>
      </c>
      <c r="T180" s="9">
        <v>292</v>
      </c>
      <c r="U180" s="9">
        <v>3461.7278000000001</v>
      </c>
      <c r="V180" s="10">
        <v>1</v>
      </c>
      <c r="W180" s="13">
        <f t="shared" si="15"/>
        <v>8.435094174648855E-2</v>
      </c>
      <c r="Y180" s="3">
        <v>34.519599999999997</v>
      </c>
      <c r="Z180" s="3">
        <v>397</v>
      </c>
      <c r="AA180" s="3">
        <v>6837.5312999999996</v>
      </c>
      <c r="AB180" s="4">
        <v>1</v>
      </c>
      <c r="AC180" s="3">
        <v>0</v>
      </c>
      <c r="AD180" s="11">
        <f t="shared" si="16"/>
        <v>5.8061891431487857E-2</v>
      </c>
      <c r="AE180" s="17"/>
      <c r="AF180" s="3">
        <v>34.518799999999999</v>
      </c>
      <c r="AG180" s="3">
        <v>389</v>
      </c>
      <c r="AH180" s="3">
        <v>5882.8962000000001</v>
      </c>
      <c r="AI180" s="4">
        <v>1</v>
      </c>
      <c r="AJ180" s="11">
        <f t="shared" si="17"/>
        <v>6.6123893193967956E-2</v>
      </c>
    </row>
    <row r="181" spans="1:36" x14ac:dyDescent="0.4">
      <c r="A181" s="33">
        <v>34.924399999999999</v>
      </c>
      <c r="B181" s="6">
        <v>34860</v>
      </c>
      <c r="C181" s="6">
        <v>4834.1965</v>
      </c>
      <c r="D181" s="7">
        <v>1</v>
      </c>
      <c r="E181" s="12">
        <f t="shared" si="12"/>
        <v>7.2111259854662508</v>
      </c>
      <c r="F181" s="34"/>
      <c r="G181" s="6">
        <v>35.229100000000003</v>
      </c>
      <c r="H181" s="6">
        <v>63679</v>
      </c>
      <c r="I181" s="6">
        <v>3989.1943999999999</v>
      </c>
      <c r="J181" s="7">
        <v>1</v>
      </c>
      <c r="K181" s="12">
        <f t="shared" si="13"/>
        <v>15.962872102698229</v>
      </c>
      <c r="M181" s="23">
        <v>35.0916</v>
      </c>
      <c r="N181" s="9">
        <v>341</v>
      </c>
      <c r="O181" s="9">
        <v>5607.5702000000001</v>
      </c>
      <c r="P181" s="10">
        <v>1</v>
      </c>
      <c r="Q181" s="13">
        <f t="shared" si="14"/>
        <v>6.0810652000397605E-2</v>
      </c>
      <c r="R181" s="24"/>
      <c r="S181" s="9">
        <v>34.495800000000003</v>
      </c>
      <c r="T181" s="9">
        <v>270</v>
      </c>
      <c r="U181" s="9">
        <v>3462.4726000000001</v>
      </c>
      <c r="V181" s="10">
        <v>1</v>
      </c>
      <c r="W181" s="13">
        <f t="shared" si="15"/>
        <v>7.7978956425532431E-2</v>
      </c>
      <c r="Y181" s="3">
        <v>34.520600000000002</v>
      </c>
      <c r="Z181" s="3">
        <v>396</v>
      </c>
      <c r="AA181" s="3">
        <v>6830.2498999999998</v>
      </c>
      <c r="AB181" s="4">
        <v>1</v>
      </c>
      <c r="AC181" s="3">
        <v>0</v>
      </c>
      <c r="AD181" s="11">
        <f t="shared" si="16"/>
        <v>5.7977380886166406E-2</v>
      </c>
      <c r="AE181" s="17"/>
      <c r="AF181" s="3">
        <v>34.519799999999996</v>
      </c>
      <c r="AG181" s="3">
        <v>382</v>
      </c>
      <c r="AH181" s="3">
        <v>5880.9116999999997</v>
      </c>
      <c r="AI181" s="4">
        <v>1</v>
      </c>
      <c r="AJ181" s="11">
        <f t="shared" si="17"/>
        <v>6.4955914913668922E-2</v>
      </c>
    </row>
    <row r="182" spans="1:36" x14ac:dyDescent="0.4">
      <c r="A182" s="33">
        <v>34.925400000000003</v>
      </c>
      <c r="B182" s="6">
        <v>32299</v>
      </c>
      <c r="C182" s="6">
        <v>4833.5767999999998</v>
      </c>
      <c r="D182" s="7">
        <v>1</v>
      </c>
      <c r="E182" s="12">
        <f t="shared" si="12"/>
        <v>6.6822151248326085</v>
      </c>
      <c r="F182" s="34"/>
      <c r="G182" s="6">
        <v>35.2301</v>
      </c>
      <c r="H182" s="6">
        <v>59275</v>
      </c>
      <c r="I182" s="6">
        <v>3991.0065</v>
      </c>
      <c r="J182" s="7">
        <v>1</v>
      </c>
      <c r="K182" s="12">
        <f t="shared" si="13"/>
        <v>14.852143187439058</v>
      </c>
      <c r="M182" s="23">
        <v>35.092599999999997</v>
      </c>
      <c r="N182" s="9">
        <v>304</v>
      </c>
      <c r="O182" s="9">
        <v>5606.8324000000002</v>
      </c>
      <c r="P182" s="10">
        <v>1</v>
      </c>
      <c r="Q182" s="13">
        <f t="shared" si="14"/>
        <v>5.4219562546581557E-2</v>
      </c>
      <c r="R182" s="24"/>
      <c r="S182" s="9">
        <v>34.4968</v>
      </c>
      <c r="T182" s="9">
        <v>235</v>
      </c>
      <c r="U182" s="9">
        <v>3462.2370999999998</v>
      </c>
      <c r="V182" s="10">
        <v>1</v>
      </c>
      <c r="W182" s="13">
        <f t="shared" si="15"/>
        <v>6.7875189714765638E-2</v>
      </c>
      <c r="Y182" s="3">
        <v>34.521599999999999</v>
      </c>
      <c r="Z182" s="3">
        <v>399</v>
      </c>
      <c r="AA182" s="3">
        <v>6832.6759000000002</v>
      </c>
      <c r="AB182" s="4">
        <v>1</v>
      </c>
      <c r="AC182" s="3">
        <v>0</v>
      </c>
      <c r="AD182" s="11">
        <f t="shared" si="16"/>
        <v>5.8395862154093973E-2</v>
      </c>
      <c r="AE182" s="17"/>
      <c r="AF182" s="3">
        <v>34.520800000000001</v>
      </c>
      <c r="AG182" s="3">
        <v>363</v>
      </c>
      <c r="AH182" s="3">
        <v>5883.7740000000003</v>
      </c>
      <c r="AI182" s="4">
        <v>1</v>
      </c>
      <c r="AJ182" s="11">
        <f t="shared" si="17"/>
        <v>6.1695095698781087E-2</v>
      </c>
    </row>
    <row r="183" spans="1:36" x14ac:dyDescent="0.4">
      <c r="A183" s="33">
        <v>34.926400000000001</v>
      </c>
      <c r="B183" s="6">
        <v>30802</v>
      </c>
      <c r="C183" s="6">
        <v>4831.7857999999997</v>
      </c>
      <c r="D183" s="7">
        <v>1</v>
      </c>
      <c r="E183" s="12">
        <f t="shared" si="12"/>
        <v>6.3748686872667246</v>
      </c>
      <c r="F183" s="34"/>
      <c r="G183" s="6">
        <v>35.231099999999998</v>
      </c>
      <c r="H183" s="6">
        <v>56172</v>
      </c>
      <c r="I183" s="6">
        <v>3987.2071999999998</v>
      </c>
      <c r="J183" s="7">
        <v>1</v>
      </c>
      <c r="K183" s="12">
        <f t="shared" si="13"/>
        <v>14.088056422048998</v>
      </c>
      <c r="M183" s="23">
        <v>35.093600000000002</v>
      </c>
      <c r="N183" s="9">
        <v>308</v>
      </c>
      <c r="O183" s="9">
        <v>5606.9305999999997</v>
      </c>
      <c r="P183" s="10">
        <v>1</v>
      </c>
      <c r="Q183" s="13">
        <f t="shared" si="14"/>
        <v>5.4932015744942518E-2</v>
      </c>
      <c r="R183" s="24"/>
      <c r="S183" s="9">
        <v>34.497799999999998</v>
      </c>
      <c r="T183" s="9">
        <v>258</v>
      </c>
      <c r="U183" s="9">
        <v>3461.4218999999998</v>
      </c>
      <c r="V183" s="10">
        <v>1</v>
      </c>
      <c r="W183" s="13">
        <f t="shared" si="15"/>
        <v>7.4535843203626814E-2</v>
      </c>
      <c r="Y183" s="3">
        <v>34.522599999999997</v>
      </c>
      <c r="Z183" s="3">
        <v>367</v>
      </c>
      <c r="AA183" s="3">
        <v>6833.0564999999997</v>
      </c>
      <c r="AB183" s="4">
        <v>1</v>
      </c>
      <c r="AC183" s="3">
        <v>0</v>
      </c>
      <c r="AD183" s="11">
        <f t="shared" si="16"/>
        <v>5.3709492962629536E-2</v>
      </c>
      <c r="AE183" s="17"/>
      <c r="AF183" s="3">
        <v>34.521799999999999</v>
      </c>
      <c r="AG183" s="3">
        <v>335</v>
      </c>
      <c r="AH183" s="3">
        <v>5883.2456000000002</v>
      </c>
      <c r="AI183" s="4">
        <v>1</v>
      </c>
      <c r="AJ183" s="11">
        <f t="shared" si="17"/>
        <v>5.6941359034883739E-2</v>
      </c>
    </row>
    <row r="184" spans="1:36" x14ac:dyDescent="0.4">
      <c r="A184" s="33">
        <v>34.927399999999999</v>
      </c>
      <c r="B184" s="6">
        <v>28932</v>
      </c>
      <c r="C184" s="6">
        <v>4831.5838000000003</v>
      </c>
      <c r="D184" s="7">
        <v>1</v>
      </c>
      <c r="E184" s="12">
        <f t="shared" si="12"/>
        <v>5.9880985609729045</v>
      </c>
      <c r="F184" s="34"/>
      <c r="G184" s="6">
        <v>35.232100000000003</v>
      </c>
      <c r="H184" s="6">
        <v>52588</v>
      </c>
      <c r="I184" s="6">
        <v>3989.6143999999999</v>
      </c>
      <c r="J184" s="7">
        <v>1</v>
      </c>
      <c r="K184" s="12">
        <f t="shared" si="13"/>
        <v>13.18122372929073</v>
      </c>
      <c r="M184" s="23">
        <v>35.0946</v>
      </c>
      <c r="N184" s="9">
        <v>311</v>
      </c>
      <c r="O184" s="9">
        <v>5600.8307999999997</v>
      </c>
      <c r="P184" s="10">
        <v>1</v>
      </c>
      <c r="Q184" s="13">
        <f t="shared" si="14"/>
        <v>5.5527476387967303E-2</v>
      </c>
      <c r="R184" s="24"/>
      <c r="S184" s="9">
        <v>34.498800000000003</v>
      </c>
      <c r="T184" s="9">
        <v>226</v>
      </c>
      <c r="U184" s="9">
        <v>3461.2228</v>
      </c>
      <c r="V184" s="10">
        <v>1</v>
      </c>
      <c r="W184" s="13">
        <f t="shared" si="15"/>
        <v>6.5294843198189956E-2</v>
      </c>
      <c r="Y184" s="3">
        <v>34.523600000000002</v>
      </c>
      <c r="Z184" s="3">
        <v>378</v>
      </c>
      <c r="AA184" s="3">
        <v>6830.7300999999998</v>
      </c>
      <c r="AB184" s="4">
        <v>1</v>
      </c>
      <c r="AC184" s="3">
        <v>0</v>
      </c>
      <c r="AD184" s="11">
        <f t="shared" si="16"/>
        <v>5.5338154848191122E-2</v>
      </c>
      <c r="AE184" s="17"/>
      <c r="AF184" s="3">
        <v>34.522799999999997</v>
      </c>
      <c r="AG184" s="3">
        <v>314</v>
      </c>
      <c r="AH184" s="3">
        <v>5881.9978000000001</v>
      </c>
      <c r="AI184" s="4">
        <v>1</v>
      </c>
      <c r="AJ184" s="11">
        <f t="shared" si="17"/>
        <v>5.338322295870291E-2</v>
      </c>
    </row>
    <row r="185" spans="1:36" x14ac:dyDescent="0.4">
      <c r="A185" s="33">
        <v>34.928400000000003</v>
      </c>
      <c r="B185" s="6">
        <v>27558</v>
      </c>
      <c r="C185" s="6">
        <v>4834.1602999999996</v>
      </c>
      <c r="D185" s="7">
        <v>1</v>
      </c>
      <c r="E185" s="12">
        <f t="shared" si="12"/>
        <v>5.7006798057565451</v>
      </c>
      <c r="F185" s="34"/>
      <c r="G185" s="6">
        <v>35.2331</v>
      </c>
      <c r="H185" s="6">
        <v>49610</v>
      </c>
      <c r="I185" s="6">
        <v>3987.6678999999999</v>
      </c>
      <c r="J185" s="7">
        <v>1</v>
      </c>
      <c r="K185" s="12">
        <f t="shared" si="13"/>
        <v>12.440855468430559</v>
      </c>
      <c r="M185" s="23">
        <v>35.095599999999997</v>
      </c>
      <c r="N185" s="9">
        <v>310</v>
      </c>
      <c r="O185" s="9">
        <v>5598.2408999999998</v>
      </c>
      <c r="P185" s="10">
        <v>1</v>
      </c>
      <c r="Q185" s="13">
        <f t="shared" si="14"/>
        <v>5.5374537383698512E-2</v>
      </c>
      <c r="R185" s="24"/>
      <c r="S185" s="9">
        <v>34.4998</v>
      </c>
      <c r="T185" s="9">
        <v>231</v>
      </c>
      <c r="U185" s="9">
        <v>3460.3991999999998</v>
      </c>
      <c r="V185" s="10">
        <v>1</v>
      </c>
      <c r="W185" s="13">
        <f t="shared" si="15"/>
        <v>6.67553038389328E-2</v>
      </c>
      <c r="Y185" s="3">
        <v>34.5246</v>
      </c>
      <c r="Z185" s="3">
        <v>329</v>
      </c>
      <c r="AA185" s="3">
        <v>6834.4836999999998</v>
      </c>
      <c r="AB185" s="4">
        <v>1</v>
      </c>
      <c r="AC185" s="3">
        <v>0</v>
      </c>
      <c r="AD185" s="11">
        <f t="shared" si="16"/>
        <v>4.8138237567235696E-2</v>
      </c>
      <c r="AE185" s="17"/>
      <c r="AF185" s="3">
        <v>34.523800000000001</v>
      </c>
      <c r="AG185" s="3">
        <v>305</v>
      </c>
      <c r="AH185" s="3">
        <v>5879.5828000000001</v>
      </c>
      <c r="AI185" s="4">
        <v>1</v>
      </c>
      <c r="AJ185" s="11">
        <f t="shared" si="17"/>
        <v>5.1874428913561692E-2</v>
      </c>
    </row>
    <row r="186" spans="1:36" x14ac:dyDescent="0.4">
      <c r="A186" s="33">
        <v>34.929400000000001</v>
      </c>
      <c r="B186" s="6">
        <v>26029</v>
      </c>
      <c r="C186" s="6">
        <v>4832.951</v>
      </c>
      <c r="D186" s="7">
        <v>1</v>
      </c>
      <c r="E186" s="12">
        <f t="shared" si="12"/>
        <v>5.3857363751463652</v>
      </c>
      <c r="F186" s="34"/>
      <c r="G186" s="6">
        <v>35.234099999999998</v>
      </c>
      <c r="H186" s="6">
        <v>46489</v>
      </c>
      <c r="I186" s="6">
        <v>3989.6813000000002</v>
      </c>
      <c r="J186" s="7">
        <v>1</v>
      </c>
      <c r="K186" s="12">
        <f t="shared" si="13"/>
        <v>11.652309170659821</v>
      </c>
      <c r="M186" s="23">
        <v>35.096600000000002</v>
      </c>
      <c r="N186" s="9">
        <v>324</v>
      </c>
      <c r="O186" s="9">
        <v>5596.1064999999999</v>
      </c>
      <c r="P186" s="10">
        <v>1</v>
      </c>
      <c r="Q186" s="13">
        <f t="shared" si="14"/>
        <v>5.7897397056328362E-2</v>
      </c>
      <c r="R186" s="24"/>
      <c r="S186" s="9">
        <v>34.500799999999998</v>
      </c>
      <c r="T186" s="9">
        <v>211</v>
      </c>
      <c r="U186" s="9">
        <v>3460.3267000000001</v>
      </c>
      <c r="V186" s="10">
        <v>1</v>
      </c>
      <c r="W186" s="13">
        <f t="shared" si="15"/>
        <v>6.0976901400668325E-2</v>
      </c>
      <c r="Y186" s="3">
        <v>34.525599999999997</v>
      </c>
      <c r="Z186" s="3">
        <v>368</v>
      </c>
      <c r="AA186" s="3">
        <v>6835.9438</v>
      </c>
      <c r="AB186" s="4">
        <v>1</v>
      </c>
      <c r="AC186" s="3">
        <v>0</v>
      </c>
      <c r="AD186" s="11">
        <f t="shared" si="16"/>
        <v>5.3833093244564124E-2</v>
      </c>
      <c r="AE186" s="17"/>
      <c r="AF186" s="3">
        <v>34.524799999999999</v>
      </c>
      <c r="AG186" s="3">
        <v>327</v>
      </c>
      <c r="AH186" s="3">
        <v>5876.8091999999997</v>
      </c>
      <c r="AI186" s="4">
        <v>1</v>
      </c>
      <c r="AJ186" s="11">
        <f t="shared" si="17"/>
        <v>5.5642439438054248E-2</v>
      </c>
    </row>
    <row r="187" spans="1:36" x14ac:dyDescent="0.4">
      <c r="A187" s="33">
        <v>34.930399999999999</v>
      </c>
      <c r="B187" s="6">
        <v>24704</v>
      </c>
      <c r="C187" s="6">
        <v>4834.9096</v>
      </c>
      <c r="D187" s="7">
        <v>1</v>
      </c>
      <c r="E187" s="12">
        <f t="shared" si="12"/>
        <v>5.1095060805273382</v>
      </c>
      <c r="F187" s="34"/>
      <c r="G187" s="6">
        <v>35.235100000000003</v>
      </c>
      <c r="H187" s="6">
        <v>44191</v>
      </c>
      <c r="I187" s="6">
        <v>3986.7716</v>
      </c>
      <c r="J187" s="7">
        <v>1</v>
      </c>
      <c r="K187" s="12">
        <f t="shared" si="13"/>
        <v>11.084407243193967</v>
      </c>
      <c r="M187" s="23">
        <v>35.0976</v>
      </c>
      <c r="N187" s="9">
        <v>283</v>
      </c>
      <c r="O187" s="9">
        <v>5592.7285000000002</v>
      </c>
      <c r="P187" s="10">
        <v>1</v>
      </c>
      <c r="Q187" s="13">
        <f t="shared" si="14"/>
        <v>5.0601419325111169E-2</v>
      </c>
      <c r="R187" s="24"/>
      <c r="S187" s="9">
        <v>34.501800000000003</v>
      </c>
      <c r="T187" s="9">
        <v>217</v>
      </c>
      <c r="U187" s="9">
        <v>3457.9902000000002</v>
      </c>
      <c r="V187" s="10">
        <v>1</v>
      </c>
      <c r="W187" s="13">
        <f t="shared" si="15"/>
        <v>6.2753214280364358E-2</v>
      </c>
      <c r="Y187" s="3">
        <v>34.526600000000002</v>
      </c>
      <c r="Z187" s="3">
        <v>318</v>
      </c>
      <c r="AA187" s="3">
        <v>6832.7184999999999</v>
      </c>
      <c r="AB187" s="4">
        <v>1</v>
      </c>
      <c r="AC187" s="3">
        <v>0</v>
      </c>
      <c r="AD187" s="11">
        <f t="shared" si="16"/>
        <v>4.6540772900273884E-2</v>
      </c>
      <c r="AE187" s="17"/>
      <c r="AF187" s="3">
        <v>34.525799999999997</v>
      </c>
      <c r="AG187" s="3">
        <v>313</v>
      </c>
      <c r="AH187" s="3">
        <v>5873.9306999999999</v>
      </c>
      <c r="AI187" s="4">
        <v>1</v>
      </c>
      <c r="AJ187" s="11">
        <f t="shared" si="17"/>
        <v>5.3286294303744514E-2</v>
      </c>
    </row>
    <row r="188" spans="1:36" x14ac:dyDescent="0.4">
      <c r="A188" s="33">
        <v>34.931399999999996</v>
      </c>
      <c r="B188" s="6">
        <v>22847</v>
      </c>
      <c r="C188" s="6">
        <v>4833.8575000000001</v>
      </c>
      <c r="D188" s="7">
        <v>1</v>
      </c>
      <c r="E188" s="12">
        <f t="shared" si="12"/>
        <v>4.7264529415689225</v>
      </c>
      <c r="F188" s="34"/>
      <c r="G188" s="6">
        <v>35.2361</v>
      </c>
      <c r="H188" s="6">
        <v>42440</v>
      </c>
      <c r="I188" s="6">
        <v>3987.3523</v>
      </c>
      <c r="J188" s="7">
        <v>1</v>
      </c>
      <c r="K188" s="12">
        <f t="shared" si="13"/>
        <v>10.643654437055888</v>
      </c>
      <c r="M188" s="23">
        <v>35.098599999999998</v>
      </c>
      <c r="N188" s="9">
        <v>243</v>
      </c>
      <c r="O188" s="9">
        <v>5589.6813000000002</v>
      </c>
      <c r="P188" s="10">
        <v>1</v>
      </c>
      <c r="Q188" s="13">
        <f t="shared" si="14"/>
        <v>4.3472961508556847E-2</v>
      </c>
      <c r="R188" s="24"/>
      <c r="S188" s="9">
        <v>34.502800000000001</v>
      </c>
      <c r="T188" s="9">
        <v>222</v>
      </c>
      <c r="U188" s="9">
        <v>3459.4793</v>
      </c>
      <c r="V188" s="10">
        <v>1</v>
      </c>
      <c r="W188" s="13">
        <f t="shared" si="15"/>
        <v>6.4171506966380756E-2</v>
      </c>
      <c r="Y188" s="3">
        <v>34.5276</v>
      </c>
      <c r="Z188" s="3">
        <v>309</v>
      </c>
      <c r="AA188" s="3">
        <v>6832.1751999999997</v>
      </c>
      <c r="AB188" s="4">
        <v>1</v>
      </c>
      <c r="AC188" s="3">
        <v>0</v>
      </c>
      <c r="AD188" s="11">
        <f t="shared" si="16"/>
        <v>4.5227177429524937E-2</v>
      </c>
      <c r="AE188" s="17"/>
      <c r="AF188" s="3">
        <v>34.526800000000001</v>
      </c>
      <c r="AG188" s="3">
        <v>328</v>
      </c>
      <c r="AH188" s="3">
        <v>5873.0901999999996</v>
      </c>
      <c r="AI188" s="4">
        <v>1</v>
      </c>
      <c r="AJ188" s="11">
        <f t="shared" si="17"/>
        <v>5.5847941855209381E-2</v>
      </c>
    </row>
    <row r="189" spans="1:36" x14ac:dyDescent="0.4">
      <c r="A189" s="33">
        <v>34.932400000000001</v>
      </c>
      <c r="B189" s="6">
        <v>22086</v>
      </c>
      <c r="C189" s="6">
        <v>4831.9790999999996</v>
      </c>
      <c r="D189" s="7">
        <v>1</v>
      </c>
      <c r="E189" s="12">
        <f t="shared" si="12"/>
        <v>4.5707979159098606</v>
      </c>
      <c r="F189" s="34"/>
      <c r="G189" s="6">
        <v>35.237099999999998</v>
      </c>
      <c r="H189" s="6">
        <v>39705</v>
      </c>
      <c r="I189" s="6">
        <v>3990.5019000000002</v>
      </c>
      <c r="J189" s="7">
        <v>1</v>
      </c>
      <c r="K189" s="12">
        <f t="shared" si="13"/>
        <v>9.949876229854695</v>
      </c>
      <c r="M189" s="23">
        <v>35.099600000000002</v>
      </c>
      <c r="N189" s="9">
        <v>238</v>
      </c>
      <c r="O189" s="9">
        <v>5585.7614000000003</v>
      </c>
      <c r="P189" s="10">
        <v>1</v>
      </c>
      <c r="Q189" s="13">
        <f t="shared" si="14"/>
        <v>4.2608336260120241E-2</v>
      </c>
      <c r="R189" s="24"/>
      <c r="S189" s="9">
        <v>34.503799999999998</v>
      </c>
      <c r="T189" s="9">
        <v>192</v>
      </c>
      <c r="U189" s="9">
        <v>3459.2438999999999</v>
      </c>
      <c r="V189" s="10">
        <v>1</v>
      </c>
      <c r="W189" s="13">
        <f t="shared" si="15"/>
        <v>5.5503458429167138E-2</v>
      </c>
      <c r="Y189" s="3">
        <v>34.528599999999997</v>
      </c>
      <c r="Z189" s="3">
        <v>336</v>
      </c>
      <c r="AA189" s="3">
        <v>6831.0078999999996</v>
      </c>
      <c r="AB189" s="4">
        <v>1</v>
      </c>
      <c r="AC189" s="3">
        <v>0</v>
      </c>
      <c r="AD189" s="11">
        <f t="shared" si="16"/>
        <v>4.9187470563458145E-2</v>
      </c>
      <c r="AE189" s="17"/>
      <c r="AF189" s="3">
        <v>34.527799999999999</v>
      </c>
      <c r="AG189" s="3">
        <v>315</v>
      </c>
      <c r="AH189" s="3">
        <v>5872.0069999999996</v>
      </c>
      <c r="AI189" s="4">
        <v>1</v>
      </c>
      <c r="AJ189" s="11">
        <f t="shared" si="17"/>
        <v>5.3644350219609754E-2</v>
      </c>
    </row>
    <row r="190" spans="1:36" x14ac:dyDescent="0.4">
      <c r="A190" s="33">
        <v>34.933399999999999</v>
      </c>
      <c r="B190" s="6">
        <v>20912</v>
      </c>
      <c r="C190" s="6">
        <v>4831.9582</v>
      </c>
      <c r="D190" s="7">
        <v>1</v>
      </c>
      <c r="E190" s="12">
        <f t="shared" si="12"/>
        <v>4.3278520083224228</v>
      </c>
      <c r="F190" s="34"/>
      <c r="G190" s="6">
        <v>35.238100000000003</v>
      </c>
      <c r="H190" s="6">
        <v>37556</v>
      </c>
      <c r="I190" s="6">
        <v>3990.3712</v>
      </c>
      <c r="J190" s="7">
        <v>1</v>
      </c>
      <c r="K190" s="12">
        <f t="shared" si="13"/>
        <v>9.4116557376917722</v>
      </c>
      <c r="M190" s="23">
        <v>35.1006</v>
      </c>
      <c r="N190" s="9">
        <v>250</v>
      </c>
      <c r="O190" s="9">
        <v>5583.8166000000001</v>
      </c>
      <c r="P190" s="10">
        <v>1</v>
      </c>
      <c r="Q190" s="13">
        <f t="shared" si="14"/>
        <v>4.4772244131370646E-2</v>
      </c>
      <c r="R190" s="24"/>
      <c r="S190" s="9">
        <v>34.504800000000003</v>
      </c>
      <c r="T190" s="9">
        <v>206</v>
      </c>
      <c r="U190" s="9">
        <v>3458.9279999999999</v>
      </c>
      <c r="V190" s="10">
        <v>1</v>
      </c>
      <c r="W190" s="13">
        <f t="shared" si="15"/>
        <v>5.95560242942322E-2</v>
      </c>
      <c r="Y190" s="3">
        <v>34.529600000000002</v>
      </c>
      <c r="Z190" s="3">
        <v>302</v>
      </c>
      <c r="AA190" s="3">
        <v>6827.7984999999999</v>
      </c>
      <c r="AB190" s="4">
        <v>1</v>
      </c>
      <c r="AC190" s="3">
        <v>0</v>
      </c>
      <c r="AD190" s="11">
        <f t="shared" si="16"/>
        <v>4.4230947940247504E-2</v>
      </c>
      <c r="AE190" s="17"/>
      <c r="AF190" s="3">
        <v>34.528799999999997</v>
      </c>
      <c r="AG190" s="3">
        <v>311</v>
      </c>
      <c r="AH190" s="3">
        <v>5872.2052999999996</v>
      </c>
      <c r="AI190" s="4">
        <v>1</v>
      </c>
      <c r="AJ190" s="11">
        <f t="shared" si="17"/>
        <v>5.2961363595377023E-2</v>
      </c>
    </row>
    <row r="191" spans="1:36" x14ac:dyDescent="0.4">
      <c r="A191" s="33">
        <v>34.934399999999997</v>
      </c>
      <c r="B191" s="6">
        <v>19827</v>
      </c>
      <c r="C191" s="6">
        <v>4827.7624999999998</v>
      </c>
      <c r="D191" s="7">
        <v>1</v>
      </c>
      <c r="E191" s="12">
        <f t="shared" si="12"/>
        <v>4.1068714544263516</v>
      </c>
      <c r="F191" s="34"/>
      <c r="G191" s="6">
        <v>35.239100000000001</v>
      </c>
      <c r="H191" s="6">
        <v>35392</v>
      </c>
      <c r="I191" s="6">
        <v>3992.4101999999998</v>
      </c>
      <c r="J191" s="7">
        <v>1</v>
      </c>
      <c r="K191" s="12">
        <f t="shared" si="13"/>
        <v>8.8648205537597313</v>
      </c>
      <c r="M191" s="23">
        <v>35.101599999999998</v>
      </c>
      <c r="N191" s="9">
        <v>228</v>
      </c>
      <c r="O191" s="9">
        <v>5581.9712</v>
      </c>
      <c r="P191" s="10">
        <v>1</v>
      </c>
      <c r="Q191" s="13">
        <f t="shared" si="14"/>
        <v>4.084578580412597E-2</v>
      </c>
      <c r="R191" s="24"/>
      <c r="S191" s="9">
        <v>34.505800000000001</v>
      </c>
      <c r="T191" s="9">
        <v>161</v>
      </c>
      <c r="U191" s="9">
        <v>3457.8697999999999</v>
      </c>
      <c r="V191" s="10">
        <v>1</v>
      </c>
      <c r="W191" s="13">
        <f t="shared" si="15"/>
        <v>4.65604575394944E-2</v>
      </c>
      <c r="Y191" s="3">
        <v>34.5306</v>
      </c>
      <c r="Z191" s="3">
        <v>269</v>
      </c>
      <c r="AA191" s="3">
        <v>6826.9585999999999</v>
      </c>
      <c r="AB191" s="4">
        <v>1</v>
      </c>
      <c r="AC191" s="3">
        <v>0</v>
      </c>
      <c r="AD191" s="11">
        <f t="shared" si="16"/>
        <v>3.9402611874634778E-2</v>
      </c>
      <c r="AE191" s="17"/>
      <c r="AF191" s="3">
        <v>34.529800000000002</v>
      </c>
      <c r="AG191" s="3">
        <v>266</v>
      </c>
      <c r="AH191" s="3">
        <v>5873.8715000000002</v>
      </c>
      <c r="AI191" s="4">
        <v>1</v>
      </c>
      <c r="AJ191" s="11">
        <f t="shared" si="17"/>
        <v>4.5285294375268507E-2</v>
      </c>
    </row>
    <row r="192" spans="1:36" x14ac:dyDescent="0.4">
      <c r="A192" s="33">
        <v>34.935400000000001</v>
      </c>
      <c r="B192" s="6">
        <v>19203</v>
      </c>
      <c r="C192" s="6">
        <v>4830.7174000000005</v>
      </c>
      <c r="D192" s="7">
        <v>1</v>
      </c>
      <c r="E192" s="12">
        <f t="shared" si="12"/>
        <v>3.975185963062132</v>
      </c>
      <c r="F192" s="34"/>
      <c r="G192" s="6">
        <v>35.240099999999998</v>
      </c>
      <c r="H192" s="6">
        <v>33491</v>
      </c>
      <c r="I192" s="6">
        <v>3990.9077000000002</v>
      </c>
      <c r="J192" s="7">
        <v>1</v>
      </c>
      <c r="K192" s="12">
        <f t="shared" si="13"/>
        <v>8.3918252481759978</v>
      </c>
      <c r="M192" s="23">
        <v>35.102600000000002</v>
      </c>
      <c r="N192" s="9">
        <v>234</v>
      </c>
      <c r="O192" s="9">
        <v>5582.3487999999998</v>
      </c>
      <c r="P192" s="10">
        <v>1</v>
      </c>
      <c r="Q192" s="13">
        <f t="shared" si="14"/>
        <v>4.1917839315235912E-2</v>
      </c>
      <c r="R192" s="24"/>
      <c r="S192" s="9">
        <v>34.506799999999998</v>
      </c>
      <c r="T192" s="9">
        <v>164</v>
      </c>
      <c r="U192" s="9">
        <v>3457.5104999999999</v>
      </c>
      <c r="V192" s="10">
        <v>1</v>
      </c>
      <c r="W192" s="13">
        <f t="shared" si="15"/>
        <v>4.7432972365521381E-2</v>
      </c>
      <c r="Y192" s="3">
        <v>34.531599999999997</v>
      </c>
      <c r="Z192" s="3">
        <v>305</v>
      </c>
      <c r="AA192" s="3">
        <v>6824.2991000000002</v>
      </c>
      <c r="AB192" s="4">
        <v>1</v>
      </c>
      <c r="AC192" s="3">
        <v>0</v>
      </c>
      <c r="AD192" s="11">
        <f t="shared" si="16"/>
        <v>4.4693234503745592E-2</v>
      </c>
      <c r="AE192" s="17"/>
      <c r="AF192" s="3">
        <v>34.530799999999999</v>
      </c>
      <c r="AG192" s="3">
        <v>296</v>
      </c>
      <c r="AH192" s="3">
        <v>5873.0622000000003</v>
      </c>
      <c r="AI192" s="4">
        <v>1</v>
      </c>
      <c r="AJ192" s="11">
        <f t="shared" si="17"/>
        <v>5.0399602442487326E-2</v>
      </c>
    </row>
    <row r="193" spans="1:36" x14ac:dyDescent="0.4">
      <c r="A193" s="33">
        <v>34.936399999999999</v>
      </c>
      <c r="B193" s="6">
        <v>18165</v>
      </c>
      <c r="C193" s="6">
        <v>4832.2965999999997</v>
      </c>
      <c r="D193" s="7">
        <v>1</v>
      </c>
      <c r="E193" s="12">
        <f t="shared" si="12"/>
        <v>3.7590821722325574</v>
      </c>
      <c r="F193" s="34"/>
      <c r="G193" s="6">
        <v>35.241100000000003</v>
      </c>
      <c r="H193" s="6">
        <v>31659</v>
      </c>
      <c r="I193" s="6">
        <v>3993.8298</v>
      </c>
      <c r="J193" s="7">
        <v>1</v>
      </c>
      <c r="K193" s="12">
        <f t="shared" si="13"/>
        <v>7.9269777595429831</v>
      </c>
      <c r="M193" s="23">
        <v>35.1036</v>
      </c>
      <c r="N193" s="9">
        <v>243</v>
      </c>
      <c r="O193" s="9">
        <v>5579.2366000000002</v>
      </c>
      <c r="P193" s="10">
        <v>1</v>
      </c>
      <c r="Q193" s="13">
        <f t="shared" si="14"/>
        <v>4.3554345768379854E-2</v>
      </c>
      <c r="R193" s="24"/>
      <c r="S193" s="9">
        <v>34.507800000000003</v>
      </c>
      <c r="T193" s="9">
        <v>179</v>
      </c>
      <c r="U193" s="9">
        <v>3457.5228999999999</v>
      </c>
      <c r="V193" s="10">
        <v>1</v>
      </c>
      <c r="W193" s="13">
        <f t="shared" si="15"/>
        <v>5.1771168312435473E-2</v>
      </c>
      <c r="Y193" s="3">
        <v>34.532600000000002</v>
      </c>
      <c r="Z193" s="3">
        <v>280</v>
      </c>
      <c r="AA193" s="3">
        <v>6824.4865</v>
      </c>
      <c r="AB193" s="4">
        <v>1</v>
      </c>
      <c r="AC193" s="3">
        <v>0</v>
      </c>
      <c r="AD193" s="11">
        <f t="shared" si="16"/>
        <v>4.102872794898195E-2</v>
      </c>
      <c r="AE193" s="17"/>
      <c r="AF193" s="3">
        <v>34.531799999999997</v>
      </c>
      <c r="AG193" s="3">
        <v>297</v>
      </c>
      <c r="AH193" s="3">
        <v>5874.2755999999999</v>
      </c>
      <c r="AI193" s="4">
        <v>1</v>
      </c>
      <c r="AJ193" s="11">
        <f t="shared" si="17"/>
        <v>5.0559425574108238E-2</v>
      </c>
    </row>
    <row r="194" spans="1:36" x14ac:dyDescent="0.4">
      <c r="A194" s="33">
        <v>34.937399999999997</v>
      </c>
      <c r="B194" s="6">
        <v>17292</v>
      </c>
      <c r="C194" s="6">
        <v>4836.9288999999999</v>
      </c>
      <c r="D194" s="7">
        <v>1</v>
      </c>
      <c r="E194" s="12">
        <f t="shared" si="12"/>
        <v>3.5749956961327261</v>
      </c>
      <c r="F194" s="34"/>
      <c r="G194" s="6">
        <v>35.242100000000001</v>
      </c>
      <c r="H194" s="6">
        <v>29929</v>
      </c>
      <c r="I194" s="6">
        <v>3992.1959999999999</v>
      </c>
      <c r="J194" s="7">
        <v>1</v>
      </c>
      <c r="K194" s="12">
        <f t="shared" si="13"/>
        <v>7.4968764058678481</v>
      </c>
      <c r="M194" s="23">
        <v>35.104599999999998</v>
      </c>
      <c r="N194" s="9">
        <v>237</v>
      </c>
      <c r="O194" s="9">
        <v>5575.4296999999997</v>
      </c>
      <c r="P194" s="10">
        <v>1</v>
      </c>
      <c r="Q194" s="13">
        <f t="shared" si="14"/>
        <v>4.2507934410867025E-2</v>
      </c>
      <c r="R194" s="24"/>
      <c r="S194" s="9">
        <v>34.508800000000001</v>
      </c>
      <c r="T194" s="9">
        <v>167</v>
      </c>
      <c r="U194" s="9">
        <v>3458.5747999999999</v>
      </c>
      <c r="V194" s="10">
        <v>1</v>
      </c>
      <c r="W194" s="13">
        <f t="shared" si="15"/>
        <v>4.8285785231535254E-2</v>
      </c>
      <c r="Y194" s="3">
        <v>34.5336</v>
      </c>
      <c r="Z194" s="3">
        <v>272</v>
      </c>
      <c r="AA194" s="3">
        <v>6820.2178999999996</v>
      </c>
      <c r="AB194" s="4">
        <v>1</v>
      </c>
      <c r="AC194" s="3">
        <v>0</v>
      </c>
      <c r="AD194" s="11">
        <f t="shared" si="16"/>
        <v>3.9881423729878192E-2</v>
      </c>
      <c r="AE194" s="17"/>
      <c r="AF194" s="3">
        <v>34.532800000000002</v>
      </c>
      <c r="AG194" s="3">
        <v>234</v>
      </c>
      <c r="AH194" s="3">
        <v>5871.9862999999996</v>
      </c>
      <c r="AI194" s="4">
        <v>1</v>
      </c>
      <c r="AJ194" s="11">
        <f t="shared" si="17"/>
        <v>3.9850229214601546E-2</v>
      </c>
    </row>
    <row r="195" spans="1:36" x14ac:dyDescent="0.4">
      <c r="A195" s="33">
        <v>34.938400000000001</v>
      </c>
      <c r="B195" s="6">
        <v>16784</v>
      </c>
      <c r="C195" s="6">
        <v>4837.6352999999999</v>
      </c>
      <c r="D195" s="7">
        <v>1</v>
      </c>
      <c r="E195" s="12">
        <f t="shared" si="12"/>
        <v>3.4694636861112702</v>
      </c>
      <c r="F195" s="34"/>
      <c r="G195" s="6">
        <v>35.243099999999998</v>
      </c>
      <c r="H195" s="6">
        <v>28222</v>
      </c>
      <c r="I195" s="6">
        <v>3992.8706999999999</v>
      </c>
      <c r="J195" s="7">
        <v>1</v>
      </c>
      <c r="K195" s="12">
        <f t="shared" si="13"/>
        <v>7.068097647138937</v>
      </c>
      <c r="M195" s="23">
        <v>35.105600000000003</v>
      </c>
      <c r="N195" s="9">
        <v>219</v>
      </c>
      <c r="O195" s="9">
        <v>5573.1117999999997</v>
      </c>
      <c r="P195" s="10">
        <v>1</v>
      </c>
      <c r="Q195" s="13">
        <f t="shared" si="14"/>
        <v>3.9295820335059496E-2</v>
      </c>
      <c r="R195" s="24"/>
      <c r="S195" s="9">
        <v>34.509799999999998</v>
      </c>
      <c r="T195" s="9">
        <v>141</v>
      </c>
      <c r="U195" s="9">
        <v>3456.6824999999999</v>
      </c>
      <c r="V195" s="10">
        <v>1</v>
      </c>
      <c r="W195" s="13">
        <f t="shared" si="15"/>
        <v>4.0790555684532784E-2</v>
      </c>
      <c r="Y195" s="3">
        <v>34.534599999999998</v>
      </c>
      <c r="Z195" s="3">
        <v>253</v>
      </c>
      <c r="AA195" s="3">
        <v>6820.3006999999998</v>
      </c>
      <c r="AB195" s="4">
        <v>1</v>
      </c>
      <c r="AC195" s="3">
        <v>0</v>
      </c>
      <c r="AD195" s="11">
        <f t="shared" si="16"/>
        <v>3.7095138635163109E-2</v>
      </c>
      <c r="AE195" s="17"/>
      <c r="AF195" s="3">
        <v>34.533799999999999</v>
      </c>
      <c r="AG195" s="3">
        <v>229</v>
      </c>
      <c r="AH195" s="3">
        <v>5871.174</v>
      </c>
      <c r="AI195" s="4">
        <v>1</v>
      </c>
      <c r="AJ195" s="11">
        <f t="shared" si="17"/>
        <v>3.9004124217745892E-2</v>
      </c>
    </row>
    <row r="196" spans="1:36" x14ac:dyDescent="0.4">
      <c r="A196" s="33">
        <v>34.939399999999999</v>
      </c>
      <c r="B196" s="6">
        <v>16050</v>
      </c>
      <c r="C196" s="6">
        <v>4837.0725000000002</v>
      </c>
      <c r="D196" s="7">
        <v>1</v>
      </c>
      <c r="E196" s="12">
        <f t="shared" si="12"/>
        <v>3.3181226868110825</v>
      </c>
      <c r="F196" s="34"/>
      <c r="G196" s="6">
        <v>35.244100000000003</v>
      </c>
      <c r="H196" s="6">
        <v>26759</v>
      </c>
      <c r="I196" s="6">
        <v>3993.0254</v>
      </c>
      <c r="J196" s="7">
        <v>1</v>
      </c>
      <c r="K196" s="12">
        <f t="shared" si="13"/>
        <v>6.7014349570628831</v>
      </c>
      <c r="M196" s="23">
        <v>35.1066</v>
      </c>
      <c r="N196" s="9">
        <v>187</v>
      </c>
      <c r="O196" s="9">
        <v>5572.8671999999997</v>
      </c>
      <c r="P196" s="10">
        <v>1</v>
      </c>
      <c r="Q196" s="13">
        <f t="shared" si="14"/>
        <v>3.3555438033764741E-2</v>
      </c>
      <c r="R196" s="24"/>
      <c r="S196" s="9">
        <v>34.510800000000003</v>
      </c>
      <c r="T196" s="9">
        <v>168</v>
      </c>
      <c r="U196" s="9">
        <v>3458.7575000000002</v>
      </c>
      <c r="V196" s="10">
        <v>1</v>
      </c>
      <c r="W196" s="13">
        <f t="shared" si="15"/>
        <v>4.8572355824309736E-2</v>
      </c>
      <c r="Y196" s="3">
        <v>34.535600000000002</v>
      </c>
      <c r="Z196" s="3">
        <v>289</v>
      </c>
      <c r="AA196" s="3">
        <v>6818.8604999999998</v>
      </c>
      <c r="AB196" s="4">
        <v>1</v>
      </c>
      <c r="AC196" s="3">
        <v>0</v>
      </c>
      <c r="AD196" s="11">
        <f t="shared" si="16"/>
        <v>4.2382447917800929E-2</v>
      </c>
      <c r="AE196" s="17"/>
      <c r="AF196" s="3">
        <v>34.534799999999997</v>
      </c>
      <c r="AG196" s="3">
        <v>224</v>
      </c>
      <c r="AH196" s="3">
        <v>5870.9096</v>
      </c>
      <c r="AI196" s="4">
        <v>1</v>
      </c>
      <c r="AJ196" s="11">
        <f t="shared" si="17"/>
        <v>3.8154224006446975E-2</v>
      </c>
    </row>
    <row r="197" spans="1:36" x14ac:dyDescent="0.4">
      <c r="A197" s="33">
        <v>34.940399999999997</v>
      </c>
      <c r="B197" s="6">
        <v>15320</v>
      </c>
      <c r="C197" s="6">
        <v>4835.3054000000002</v>
      </c>
      <c r="D197" s="7">
        <v>1</v>
      </c>
      <c r="E197" s="12">
        <f t="shared" si="12"/>
        <v>3.1683624368380121</v>
      </c>
      <c r="F197" s="34"/>
      <c r="G197" s="6">
        <v>35.245100000000001</v>
      </c>
      <c r="H197" s="6">
        <v>25547</v>
      </c>
      <c r="I197" s="6">
        <v>3992.7627000000002</v>
      </c>
      <c r="J197" s="7">
        <v>1</v>
      </c>
      <c r="K197" s="12">
        <f t="shared" si="13"/>
        <v>6.3983266523703</v>
      </c>
      <c r="M197" s="23">
        <v>35.107599999999998</v>
      </c>
      <c r="N197" s="9">
        <v>212</v>
      </c>
      <c r="O197" s="9">
        <v>5572.8972000000003</v>
      </c>
      <c r="P197" s="10">
        <v>1</v>
      </c>
      <c r="Q197" s="13">
        <f t="shared" si="14"/>
        <v>3.8041254376628371E-2</v>
      </c>
      <c r="R197" s="24"/>
      <c r="S197" s="9">
        <v>34.511800000000001</v>
      </c>
      <c r="T197" s="9">
        <v>118</v>
      </c>
      <c r="U197" s="9">
        <v>3457.2763</v>
      </c>
      <c r="V197" s="10">
        <v>1</v>
      </c>
      <c r="W197" s="13">
        <f t="shared" si="15"/>
        <v>3.4130913979886421E-2</v>
      </c>
      <c r="Y197" s="3">
        <v>34.5366</v>
      </c>
      <c r="Z197" s="3">
        <v>252</v>
      </c>
      <c r="AA197" s="3">
        <v>6817.8477999999996</v>
      </c>
      <c r="AB197" s="4">
        <v>1</v>
      </c>
      <c r="AC197" s="3">
        <v>0</v>
      </c>
      <c r="AD197" s="11">
        <f t="shared" si="16"/>
        <v>3.696181073446668E-2</v>
      </c>
      <c r="AE197" s="17"/>
      <c r="AF197" s="3">
        <v>34.535800000000002</v>
      </c>
      <c r="AG197" s="3">
        <v>251</v>
      </c>
      <c r="AH197" s="3">
        <v>5871.0464000000002</v>
      </c>
      <c r="AI197" s="4">
        <v>1</v>
      </c>
      <c r="AJ197" s="11">
        <f t="shared" si="17"/>
        <v>4.2752174467570209E-2</v>
      </c>
    </row>
    <row r="198" spans="1:36" x14ac:dyDescent="0.4">
      <c r="A198" s="33">
        <v>34.941400000000002</v>
      </c>
      <c r="B198" s="6">
        <v>14545</v>
      </c>
      <c r="C198" s="6">
        <v>4836.4049000000005</v>
      </c>
      <c r="D198" s="7">
        <v>1</v>
      </c>
      <c r="E198" s="12">
        <f t="shared" si="12"/>
        <v>3.0073991530361734</v>
      </c>
      <c r="F198" s="34"/>
      <c r="G198" s="6">
        <v>35.246099999999998</v>
      </c>
      <c r="H198" s="6">
        <v>24406</v>
      </c>
      <c r="I198" s="6">
        <v>3992.4944999999998</v>
      </c>
      <c r="J198" s="7">
        <v>1</v>
      </c>
      <c r="K198" s="12">
        <f t="shared" si="13"/>
        <v>6.1129702245050055</v>
      </c>
      <c r="M198" s="23">
        <v>35.108600000000003</v>
      </c>
      <c r="N198" s="9">
        <v>213</v>
      </c>
      <c r="O198" s="9">
        <v>5570.2897000000003</v>
      </c>
      <c r="P198" s="10">
        <v>1</v>
      </c>
      <c r="Q198" s="13">
        <f t="shared" si="14"/>
        <v>3.8238585687922121E-2</v>
      </c>
      <c r="R198" s="24"/>
      <c r="S198" s="9">
        <v>34.512799999999999</v>
      </c>
      <c r="T198" s="9">
        <v>149</v>
      </c>
      <c r="U198" s="9">
        <v>3456.8083000000001</v>
      </c>
      <c r="V198" s="10">
        <v>1</v>
      </c>
      <c r="W198" s="13">
        <f t="shared" si="15"/>
        <v>4.3103344781948133E-2</v>
      </c>
      <c r="Y198" s="3">
        <v>34.537599999999998</v>
      </c>
      <c r="Z198" s="3">
        <v>274</v>
      </c>
      <c r="AA198" s="3">
        <v>6816.2031999999999</v>
      </c>
      <c r="AB198" s="4">
        <v>1</v>
      </c>
      <c r="AC198" s="3">
        <v>0</v>
      </c>
      <c r="AD198" s="11">
        <f t="shared" si="16"/>
        <v>4.019833211545102E-2</v>
      </c>
      <c r="AE198" s="17"/>
      <c r="AF198" s="3">
        <v>34.536799999999999</v>
      </c>
      <c r="AG198" s="3">
        <v>242</v>
      </c>
      <c r="AH198" s="3">
        <v>5870.3522000000003</v>
      </c>
      <c r="AI198" s="4">
        <v>1</v>
      </c>
      <c r="AJ198" s="11">
        <f t="shared" si="17"/>
        <v>4.1224102363057534E-2</v>
      </c>
    </row>
    <row r="199" spans="1:36" x14ac:dyDescent="0.4">
      <c r="A199" s="33">
        <v>34.942399999999999</v>
      </c>
      <c r="B199" s="6">
        <v>13923</v>
      </c>
      <c r="C199" s="6">
        <v>4832.7529999999997</v>
      </c>
      <c r="D199" s="7">
        <v>1</v>
      </c>
      <c r="E199" s="12">
        <f t="shared" si="12"/>
        <v>2.880966604335045</v>
      </c>
      <c r="F199" s="34"/>
      <c r="G199" s="6">
        <v>35.247100000000003</v>
      </c>
      <c r="H199" s="6">
        <v>22934</v>
      </c>
      <c r="I199" s="6">
        <v>3993.1862000000001</v>
      </c>
      <c r="J199" s="7">
        <v>1</v>
      </c>
      <c r="K199" s="12">
        <f t="shared" si="13"/>
        <v>5.7432833961010878</v>
      </c>
      <c r="M199" s="23">
        <v>35.1096</v>
      </c>
      <c r="N199" s="9">
        <v>225</v>
      </c>
      <c r="O199" s="9">
        <v>5573.4014999999999</v>
      </c>
      <c r="P199" s="10">
        <v>1</v>
      </c>
      <c r="Q199" s="13">
        <f t="shared" si="14"/>
        <v>4.0370319633351373E-2</v>
      </c>
      <c r="R199" s="24"/>
      <c r="S199" s="9">
        <v>34.513800000000003</v>
      </c>
      <c r="T199" s="9">
        <v>150</v>
      </c>
      <c r="U199" s="9">
        <v>3455.7800999999999</v>
      </c>
      <c r="V199" s="10">
        <v>1</v>
      </c>
      <c r="W199" s="13">
        <f t="shared" si="15"/>
        <v>4.3405539605948888E-2</v>
      </c>
      <c r="Y199" s="3">
        <v>34.538600000000002</v>
      </c>
      <c r="Z199" s="3">
        <v>252</v>
      </c>
      <c r="AA199" s="3">
        <v>6817.1722</v>
      </c>
      <c r="AB199" s="4">
        <v>1</v>
      </c>
      <c r="AC199" s="3">
        <v>0</v>
      </c>
      <c r="AD199" s="11">
        <f t="shared" si="16"/>
        <v>3.6965473748778122E-2</v>
      </c>
      <c r="AE199" s="17"/>
      <c r="AF199" s="3">
        <v>34.537799999999997</v>
      </c>
      <c r="AG199" s="3">
        <v>216</v>
      </c>
      <c r="AH199" s="3">
        <v>5869.0724</v>
      </c>
      <c r="AI199" s="4">
        <v>1</v>
      </c>
      <c r="AJ199" s="11">
        <f t="shared" si="17"/>
        <v>3.680309004196302E-2</v>
      </c>
    </row>
    <row r="200" spans="1:36" x14ac:dyDescent="0.4">
      <c r="A200" s="33">
        <v>34.943399999999997</v>
      </c>
      <c r="B200" s="6">
        <v>13338</v>
      </c>
      <c r="C200" s="6">
        <v>4832.5303000000004</v>
      </c>
      <c r="D200" s="7">
        <v>1</v>
      </c>
      <c r="E200" s="12">
        <f t="shared" si="12"/>
        <v>2.7600447740596681</v>
      </c>
      <c r="F200" s="34"/>
      <c r="G200" s="6">
        <v>35.248100000000001</v>
      </c>
      <c r="H200" s="6">
        <v>21760</v>
      </c>
      <c r="I200" s="6">
        <v>3992.3863000000001</v>
      </c>
      <c r="J200" s="7">
        <v>1</v>
      </c>
      <c r="K200" s="12">
        <f t="shared" si="13"/>
        <v>5.4503743788520662</v>
      </c>
      <c r="M200" s="23">
        <v>35.110599999999998</v>
      </c>
      <c r="N200" s="9">
        <v>206</v>
      </c>
      <c r="O200" s="9">
        <v>5573.4533000000001</v>
      </c>
      <c r="P200" s="10">
        <v>1</v>
      </c>
      <c r="Q200" s="13">
        <f t="shared" si="14"/>
        <v>3.6960926899665597E-2</v>
      </c>
      <c r="R200" s="24"/>
      <c r="S200" s="9">
        <v>34.514800000000001</v>
      </c>
      <c r="T200" s="9">
        <v>134</v>
      </c>
      <c r="U200" s="9">
        <v>3456.4850999999999</v>
      </c>
      <c r="V200" s="10">
        <v>1</v>
      </c>
      <c r="W200" s="13">
        <f t="shared" si="15"/>
        <v>3.876770653517355E-2</v>
      </c>
      <c r="Y200" s="3">
        <v>34.5396</v>
      </c>
      <c r="Z200" s="3">
        <v>240</v>
      </c>
      <c r="AA200" s="3">
        <v>6813.3401000000003</v>
      </c>
      <c r="AB200" s="4">
        <v>1</v>
      </c>
      <c r="AC200" s="3">
        <v>0</v>
      </c>
      <c r="AD200" s="11">
        <f t="shared" si="16"/>
        <v>3.522501393993234E-2</v>
      </c>
      <c r="AE200" s="17"/>
      <c r="AF200" s="3">
        <v>34.538800000000002</v>
      </c>
      <c r="AG200" s="3">
        <v>186</v>
      </c>
      <c r="AH200" s="3">
        <v>5871.2551000000003</v>
      </c>
      <c r="AI200" s="4">
        <v>1</v>
      </c>
      <c r="AJ200" s="11">
        <f t="shared" si="17"/>
        <v>3.1679768095922115E-2</v>
      </c>
    </row>
    <row r="201" spans="1:36" x14ac:dyDescent="0.4">
      <c r="A201" s="33">
        <v>34.944400000000002</v>
      </c>
      <c r="B201" s="6">
        <v>12801</v>
      </c>
      <c r="C201" s="6">
        <v>4826.0461999999998</v>
      </c>
      <c r="D201" s="7">
        <v>1</v>
      </c>
      <c r="E201" s="12">
        <f t="shared" si="12"/>
        <v>2.6524818597882467</v>
      </c>
      <c r="F201" s="34"/>
      <c r="G201" s="6">
        <v>35.249099999999999</v>
      </c>
      <c r="H201" s="6">
        <v>20902</v>
      </c>
      <c r="I201" s="6">
        <v>3990.2919000000002</v>
      </c>
      <c r="J201" s="7">
        <v>1</v>
      </c>
      <c r="K201" s="12">
        <f t="shared" si="13"/>
        <v>5.2382132745727192</v>
      </c>
      <c r="M201" s="23">
        <v>35.111600000000003</v>
      </c>
      <c r="N201" s="9">
        <v>197</v>
      </c>
      <c r="O201" s="9">
        <v>5569.7165999999997</v>
      </c>
      <c r="P201" s="10">
        <v>1</v>
      </c>
      <c r="Q201" s="13">
        <f t="shared" si="14"/>
        <v>3.5369842695407522E-2</v>
      </c>
      <c r="R201" s="24"/>
      <c r="S201" s="9">
        <v>34.515799999999999</v>
      </c>
      <c r="T201" s="9">
        <v>122</v>
      </c>
      <c r="U201" s="9">
        <v>3454.3235</v>
      </c>
      <c r="V201" s="10">
        <v>1</v>
      </c>
      <c r="W201" s="13">
        <f t="shared" si="15"/>
        <v>3.5318058658953051E-2</v>
      </c>
      <c r="Y201" s="3">
        <v>34.540599999999998</v>
      </c>
      <c r="Z201" s="3">
        <v>233</v>
      </c>
      <c r="AA201" s="3">
        <v>6814.5155000000004</v>
      </c>
      <c r="AB201" s="4">
        <v>1</v>
      </c>
      <c r="AC201" s="3">
        <v>0</v>
      </c>
      <c r="AD201" s="11">
        <f t="shared" si="16"/>
        <v>3.4191719132490049E-2</v>
      </c>
      <c r="AE201" s="17"/>
      <c r="AF201" s="3">
        <v>34.5398</v>
      </c>
      <c r="AG201" s="3">
        <v>204</v>
      </c>
      <c r="AH201" s="3">
        <v>5867.8912</v>
      </c>
      <c r="AI201" s="4">
        <v>1</v>
      </c>
      <c r="AJ201" s="11">
        <f t="shared" si="17"/>
        <v>3.47654707708282E-2</v>
      </c>
    </row>
    <row r="202" spans="1:36" x14ac:dyDescent="0.4">
      <c r="A202" s="33">
        <v>34.945399999999999</v>
      </c>
      <c r="B202" s="6">
        <v>12291</v>
      </c>
      <c r="C202" s="6">
        <v>4825.6273000000001</v>
      </c>
      <c r="D202" s="7">
        <v>1</v>
      </c>
      <c r="E202" s="12">
        <f t="shared" si="12"/>
        <v>2.5470263731308052</v>
      </c>
      <c r="F202" s="34"/>
      <c r="G202" s="6">
        <v>35.250100000000003</v>
      </c>
      <c r="H202" s="6">
        <v>20078</v>
      </c>
      <c r="I202" s="6">
        <v>3988.6113999999998</v>
      </c>
      <c r="J202" s="7">
        <v>1</v>
      </c>
      <c r="K202" s="12">
        <f t="shared" si="13"/>
        <v>5.0338320749923149</v>
      </c>
      <c r="M202" s="23">
        <v>35.1126</v>
      </c>
      <c r="N202" s="9">
        <v>202</v>
      </c>
      <c r="O202" s="9">
        <v>5573.2161999999998</v>
      </c>
      <c r="P202" s="10">
        <v>1</v>
      </c>
      <c r="Q202" s="13">
        <f t="shared" si="14"/>
        <v>3.6244780886124608E-2</v>
      </c>
      <c r="R202" s="24"/>
      <c r="S202" s="9">
        <v>34.516800000000003</v>
      </c>
      <c r="T202" s="9">
        <v>142</v>
      </c>
      <c r="U202" s="9">
        <v>3456.7597000000001</v>
      </c>
      <c r="V202" s="10">
        <v>1</v>
      </c>
      <c r="W202" s="13">
        <f t="shared" si="15"/>
        <v>4.1078932967194684E-2</v>
      </c>
      <c r="Y202" s="3">
        <v>34.541600000000003</v>
      </c>
      <c r="Z202" s="3">
        <v>234</v>
      </c>
      <c r="AA202" s="3">
        <v>6815.6737000000003</v>
      </c>
      <c r="AB202" s="4">
        <v>1</v>
      </c>
      <c r="AC202" s="3">
        <v>0</v>
      </c>
      <c r="AD202" s="11">
        <f t="shared" si="16"/>
        <v>3.43326295095377E-2</v>
      </c>
      <c r="AE202" s="17"/>
      <c r="AF202" s="3">
        <v>34.540799999999997</v>
      </c>
      <c r="AG202" s="3">
        <v>191</v>
      </c>
      <c r="AH202" s="3">
        <v>5869.8815999999997</v>
      </c>
      <c r="AI202" s="4">
        <v>1</v>
      </c>
      <c r="AJ202" s="11">
        <f t="shared" si="17"/>
        <v>3.2538986817042446E-2</v>
      </c>
    </row>
    <row r="203" spans="1:36" x14ac:dyDescent="0.4">
      <c r="A203" s="33">
        <v>34.946399999999997</v>
      </c>
      <c r="B203" s="6">
        <v>11831</v>
      </c>
      <c r="C203" s="6">
        <v>4819.1485000000002</v>
      </c>
      <c r="D203" s="7">
        <v>1</v>
      </c>
      <c r="E203" s="12">
        <f t="shared" si="12"/>
        <v>2.4549980146907693</v>
      </c>
      <c r="F203" s="34"/>
      <c r="G203" s="6">
        <v>35.251100000000001</v>
      </c>
      <c r="H203" s="6">
        <v>18672</v>
      </c>
      <c r="I203" s="6">
        <v>3988.4458</v>
      </c>
      <c r="J203" s="7">
        <v>1</v>
      </c>
      <c r="K203" s="12">
        <f t="shared" si="13"/>
        <v>4.6815228127206847</v>
      </c>
      <c r="M203" s="23">
        <v>35.113599999999998</v>
      </c>
      <c r="N203" s="9">
        <v>180</v>
      </c>
      <c r="O203" s="9">
        <v>5573.2112999999999</v>
      </c>
      <c r="P203" s="10">
        <v>1</v>
      </c>
      <c r="Q203" s="13">
        <f t="shared" si="14"/>
        <v>3.2297357898488435E-2</v>
      </c>
      <c r="R203" s="24"/>
      <c r="S203" s="9">
        <v>34.517800000000001</v>
      </c>
      <c r="T203" s="9">
        <v>137</v>
      </c>
      <c r="U203" s="9">
        <v>3456.1833999999999</v>
      </c>
      <c r="V203" s="10">
        <v>1</v>
      </c>
      <c r="W203" s="13">
        <f t="shared" si="15"/>
        <v>3.9639100170436557E-2</v>
      </c>
      <c r="Y203" s="3">
        <v>34.5426</v>
      </c>
      <c r="Z203" s="3">
        <v>215</v>
      </c>
      <c r="AA203" s="3">
        <v>6814.9057000000003</v>
      </c>
      <c r="AB203" s="4">
        <v>1</v>
      </c>
      <c r="AC203" s="3">
        <v>0</v>
      </c>
      <c r="AD203" s="11">
        <f t="shared" si="16"/>
        <v>3.1548492299754052E-2</v>
      </c>
      <c r="AE203" s="17"/>
      <c r="AF203" s="3">
        <v>34.541800000000002</v>
      </c>
      <c r="AG203" s="3">
        <v>201</v>
      </c>
      <c r="AH203" s="3">
        <v>5868.0910000000003</v>
      </c>
      <c r="AI203" s="4">
        <v>1</v>
      </c>
      <c r="AJ203" s="11">
        <f t="shared" si="17"/>
        <v>3.4253047541355441E-2</v>
      </c>
    </row>
    <row r="204" spans="1:36" x14ac:dyDescent="0.4">
      <c r="A204" s="33">
        <v>34.947400000000002</v>
      </c>
      <c r="B204" s="6">
        <v>11176</v>
      </c>
      <c r="C204" s="6">
        <v>4812.9853999999996</v>
      </c>
      <c r="D204" s="7">
        <v>1</v>
      </c>
      <c r="E204" s="12">
        <f t="shared" si="12"/>
        <v>2.322051506742572</v>
      </c>
      <c r="F204" s="34"/>
      <c r="G204" s="6">
        <v>35.252099999999999</v>
      </c>
      <c r="H204" s="6">
        <v>17730</v>
      </c>
      <c r="I204" s="6">
        <v>3986.2802000000001</v>
      </c>
      <c r="J204" s="7">
        <v>1</v>
      </c>
      <c r="K204" s="12">
        <f t="shared" si="13"/>
        <v>4.4477555792490451</v>
      </c>
      <c r="M204" s="23">
        <v>35.114600000000003</v>
      </c>
      <c r="N204" s="9">
        <v>207</v>
      </c>
      <c r="O204" s="9">
        <v>5570.2620999999999</v>
      </c>
      <c r="P204" s="10">
        <v>1</v>
      </c>
      <c r="Q204" s="13">
        <f t="shared" si="14"/>
        <v>3.7161626559726879E-2</v>
      </c>
      <c r="R204" s="24"/>
      <c r="S204" s="9">
        <v>34.518799999999999</v>
      </c>
      <c r="T204" s="9">
        <v>133</v>
      </c>
      <c r="U204" s="9">
        <v>3456.2525999999998</v>
      </c>
      <c r="V204" s="10">
        <v>1</v>
      </c>
      <c r="W204" s="13">
        <f t="shared" si="15"/>
        <v>3.8480983710507732E-2</v>
      </c>
      <c r="Y204" s="3">
        <v>34.543599999999998</v>
      </c>
      <c r="Z204" s="3">
        <v>212</v>
      </c>
      <c r="AA204" s="3">
        <v>6811.7165000000005</v>
      </c>
      <c r="AB204" s="4">
        <v>1</v>
      </c>
      <c r="AC204" s="3">
        <v>0</v>
      </c>
      <c r="AD204" s="11">
        <f t="shared" si="16"/>
        <v>3.112284546780536E-2</v>
      </c>
      <c r="AE204" s="17"/>
      <c r="AF204" s="3">
        <v>34.5428</v>
      </c>
      <c r="AG204" s="3">
        <v>209</v>
      </c>
      <c r="AH204" s="3">
        <v>5867.3986999999997</v>
      </c>
      <c r="AI204" s="4">
        <v>1</v>
      </c>
      <c r="AJ204" s="11">
        <f t="shared" si="17"/>
        <v>3.5620555323775768E-2</v>
      </c>
    </row>
    <row r="205" spans="1:36" x14ac:dyDescent="0.4">
      <c r="A205" s="33">
        <v>34.948399999999999</v>
      </c>
      <c r="B205" s="6">
        <v>10892</v>
      </c>
      <c r="C205" s="6">
        <v>4812.4652999999998</v>
      </c>
      <c r="D205" s="7">
        <v>1</v>
      </c>
      <c r="E205" s="12">
        <f t="shared" si="12"/>
        <v>2.2632890464685533</v>
      </c>
      <c r="F205" s="34"/>
      <c r="G205" s="6">
        <v>35.253100000000003</v>
      </c>
      <c r="H205" s="6">
        <v>16958</v>
      </c>
      <c r="I205" s="6">
        <v>3985.9124999999999</v>
      </c>
      <c r="J205" s="7">
        <v>1</v>
      </c>
      <c r="K205" s="12">
        <f t="shared" si="13"/>
        <v>4.2544837599922225</v>
      </c>
      <c r="M205" s="23">
        <v>35.115600000000001</v>
      </c>
      <c r="N205" s="9">
        <v>180</v>
      </c>
      <c r="O205" s="9">
        <v>5575.8248000000003</v>
      </c>
      <c r="P205" s="10">
        <v>1</v>
      </c>
      <c r="Q205" s="13">
        <f t="shared" si="14"/>
        <v>3.2282219484371169E-2</v>
      </c>
      <c r="R205" s="24"/>
      <c r="S205" s="9">
        <v>34.519799999999996</v>
      </c>
      <c r="T205" s="9">
        <v>129</v>
      </c>
      <c r="U205" s="9">
        <v>3455.0479</v>
      </c>
      <c r="V205" s="10">
        <v>1</v>
      </c>
      <c r="W205" s="13">
        <f t="shared" si="15"/>
        <v>3.7336674840311189E-2</v>
      </c>
      <c r="Y205" s="3">
        <v>34.544600000000003</v>
      </c>
      <c r="Z205" s="3">
        <v>216</v>
      </c>
      <c r="AA205" s="3">
        <v>6811.2862999999998</v>
      </c>
      <c r="AB205" s="4">
        <v>1</v>
      </c>
      <c r="AC205" s="3">
        <v>0</v>
      </c>
      <c r="AD205" s="11">
        <f t="shared" si="16"/>
        <v>3.1712071771230643E-2</v>
      </c>
      <c r="AE205" s="17"/>
      <c r="AF205" s="3">
        <v>34.543799999999997</v>
      </c>
      <c r="AG205" s="3">
        <v>231</v>
      </c>
      <c r="AH205" s="3">
        <v>5864.0604000000003</v>
      </c>
      <c r="AI205" s="4">
        <v>1</v>
      </c>
      <c r="AJ205" s="11">
        <f t="shared" si="17"/>
        <v>3.9392500118177499E-2</v>
      </c>
    </row>
    <row r="206" spans="1:36" x14ac:dyDescent="0.4">
      <c r="A206" s="33">
        <v>34.949399999999997</v>
      </c>
      <c r="B206" s="6">
        <v>10374</v>
      </c>
      <c r="C206" s="6">
        <v>4808.3545999999997</v>
      </c>
      <c r="D206" s="7">
        <v>1</v>
      </c>
      <c r="E206" s="12">
        <f t="shared" si="12"/>
        <v>2.157494790421655</v>
      </c>
      <c r="F206" s="34"/>
      <c r="G206" s="6">
        <v>35.254100000000001</v>
      </c>
      <c r="H206" s="6">
        <v>16237</v>
      </c>
      <c r="I206" s="6">
        <v>3984.9722999999999</v>
      </c>
      <c r="J206" s="7">
        <v>1</v>
      </c>
      <c r="K206" s="12">
        <f t="shared" si="13"/>
        <v>4.0745578080931706</v>
      </c>
      <c r="M206" s="23">
        <v>35.116599999999998</v>
      </c>
      <c r="N206" s="9">
        <v>166</v>
      </c>
      <c r="O206" s="9">
        <v>5578.0056000000004</v>
      </c>
      <c r="P206" s="10">
        <v>1</v>
      </c>
      <c r="Q206" s="13">
        <f t="shared" si="14"/>
        <v>2.9759740649955603E-2</v>
      </c>
      <c r="R206" s="24"/>
      <c r="S206" s="9">
        <v>34.520800000000001</v>
      </c>
      <c r="T206" s="9">
        <v>121</v>
      </c>
      <c r="U206" s="9">
        <v>3454.9517999999998</v>
      </c>
      <c r="V206" s="10">
        <v>1</v>
      </c>
      <c r="W206" s="13">
        <f t="shared" si="15"/>
        <v>3.5022196257557051E-2</v>
      </c>
      <c r="Y206" s="3">
        <v>34.5456</v>
      </c>
      <c r="Z206" s="3">
        <v>218</v>
      </c>
      <c r="AA206" s="3">
        <v>6810.1000999999997</v>
      </c>
      <c r="AB206" s="4">
        <v>1</v>
      </c>
      <c r="AC206" s="3">
        <v>0</v>
      </c>
      <c r="AD206" s="11">
        <f t="shared" si="16"/>
        <v>3.2011276897383638E-2</v>
      </c>
      <c r="AE206" s="17"/>
      <c r="AF206" s="3">
        <v>34.544800000000002</v>
      </c>
      <c r="AG206" s="3">
        <v>154</v>
      </c>
      <c r="AH206" s="3">
        <v>5864.2654000000002</v>
      </c>
      <c r="AI206" s="4">
        <v>1</v>
      </c>
      <c r="AJ206" s="11">
        <f t="shared" si="17"/>
        <v>2.6260748703494898E-2</v>
      </c>
    </row>
    <row r="207" spans="1:36" x14ac:dyDescent="0.4">
      <c r="A207" s="33">
        <v>34.950400000000002</v>
      </c>
      <c r="B207" s="6">
        <v>9888</v>
      </c>
      <c r="C207" s="6">
        <v>4802.9850999999999</v>
      </c>
      <c r="D207" s="7">
        <v>1</v>
      </c>
      <c r="E207" s="12">
        <f t="shared" si="12"/>
        <v>2.0587196908022887</v>
      </c>
      <c r="F207" s="34"/>
      <c r="G207" s="6">
        <v>35.255099999999999</v>
      </c>
      <c r="H207" s="6">
        <v>15367</v>
      </c>
      <c r="I207" s="6">
        <v>3984.9733000000001</v>
      </c>
      <c r="J207" s="7">
        <v>1</v>
      </c>
      <c r="K207" s="12">
        <f t="shared" si="13"/>
        <v>3.8562366277334905</v>
      </c>
      <c r="M207" s="23">
        <v>35.117600000000003</v>
      </c>
      <c r="N207" s="9">
        <v>183</v>
      </c>
      <c r="O207" s="9">
        <v>5577.2515999999996</v>
      </c>
      <c r="P207" s="10">
        <v>1</v>
      </c>
      <c r="Q207" s="13">
        <f t="shared" si="14"/>
        <v>3.2811860235962817E-2</v>
      </c>
      <c r="R207" s="24"/>
      <c r="S207" s="9">
        <v>34.521799999999999</v>
      </c>
      <c r="T207" s="9">
        <v>110</v>
      </c>
      <c r="U207" s="9">
        <v>3455.5981999999999</v>
      </c>
      <c r="V207" s="10">
        <v>1</v>
      </c>
      <c r="W207" s="13">
        <f t="shared" si="15"/>
        <v>3.1832404589167806E-2</v>
      </c>
      <c r="Y207" s="3">
        <v>34.546599999999998</v>
      </c>
      <c r="Z207" s="3">
        <v>198</v>
      </c>
      <c r="AA207" s="3">
        <v>6813.3306000000002</v>
      </c>
      <c r="AB207" s="4">
        <v>1</v>
      </c>
      <c r="AC207" s="3">
        <v>0</v>
      </c>
      <c r="AD207" s="11">
        <f t="shared" si="16"/>
        <v>2.9060677020428159E-2</v>
      </c>
      <c r="AE207" s="17"/>
      <c r="AF207" s="3">
        <v>34.5458</v>
      </c>
      <c r="AG207" s="3">
        <v>192</v>
      </c>
      <c r="AH207" s="3">
        <v>5864.2021999999997</v>
      </c>
      <c r="AI207" s="4">
        <v>1</v>
      </c>
      <c r="AJ207" s="11">
        <f t="shared" si="17"/>
        <v>3.2741026562828957E-2</v>
      </c>
    </row>
    <row r="208" spans="1:36" x14ac:dyDescent="0.4">
      <c r="A208" s="33">
        <v>34.9514</v>
      </c>
      <c r="B208" s="6">
        <v>9496</v>
      </c>
      <c r="C208" s="6">
        <v>4800.2800999999999</v>
      </c>
      <c r="D208" s="7">
        <v>1</v>
      </c>
      <c r="E208" s="12">
        <f t="shared" si="12"/>
        <v>1.9782178960765227</v>
      </c>
      <c r="F208" s="34"/>
      <c r="G208" s="6">
        <v>35.256100000000004</v>
      </c>
      <c r="H208" s="6">
        <v>14898</v>
      </c>
      <c r="I208" s="6">
        <v>3984.6731</v>
      </c>
      <c r="J208" s="7">
        <v>1</v>
      </c>
      <c r="K208" s="12">
        <f t="shared" si="13"/>
        <v>3.7388261536435698</v>
      </c>
      <c r="M208" s="23">
        <v>35.118600000000001</v>
      </c>
      <c r="N208" s="9">
        <v>131</v>
      </c>
      <c r="O208" s="9">
        <v>5576.7828</v>
      </c>
      <c r="P208" s="10">
        <v>1</v>
      </c>
      <c r="Q208" s="13">
        <f t="shared" si="14"/>
        <v>2.3490246025002087E-2</v>
      </c>
      <c r="R208" s="24"/>
      <c r="S208" s="9">
        <v>34.522799999999997</v>
      </c>
      <c r="T208" s="9">
        <v>119</v>
      </c>
      <c r="U208" s="9">
        <v>3454.2442999999998</v>
      </c>
      <c r="V208" s="10">
        <v>1</v>
      </c>
      <c r="W208" s="13">
        <f t="shared" si="15"/>
        <v>3.4450371677533058E-2</v>
      </c>
      <c r="Y208" s="3">
        <v>34.547600000000003</v>
      </c>
      <c r="Z208" s="3">
        <v>217</v>
      </c>
      <c r="AA208" s="3">
        <v>6814.4760999999999</v>
      </c>
      <c r="AB208" s="4">
        <v>1</v>
      </c>
      <c r="AC208" s="3">
        <v>0</v>
      </c>
      <c r="AD208" s="11">
        <f t="shared" si="16"/>
        <v>3.1843974036389971E-2</v>
      </c>
      <c r="AE208" s="17"/>
      <c r="AF208" s="3">
        <v>34.546799999999998</v>
      </c>
      <c r="AG208" s="3">
        <v>195</v>
      </c>
      <c r="AH208" s="3">
        <v>5862.8910999999998</v>
      </c>
      <c r="AI208" s="4">
        <v>1</v>
      </c>
      <c r="AJ208" s="11">
        <f t="shared" si="17"/>
        <v>3.3260041278951949E-2</v>
      </c>
    </row>
    <row r="209" spans="1:36" x14ac:dyDescent="0.4">
      <c r="A209" s="33">
        <v>34.952399999999997</v>
      </c>
      <c r="B209" s="6">
        <v>8981</v>
      </c>
      <c r="C209" s="6">
        <v>4796.9871999999996</v>
      </c>
      <c r="D209" s="7">
        <v>1</v>
      </c>
      <c r="E209" s="12">
        <f t="shared" si="12"/>
        <v>1.8722167947414996</v>
      </c>
      <c r="F209" s="34"/>
      <c r="G209" s="6">
        <v>35.257100000000001</v>
      </c>
      <c r="H209" s="6">
        <v>14066</v>
      </c>
      <c r="I209" s="6">
        <v>3982.6266000000001</v>
      </c>
      <c r="J209" s="7">
        <v>1</v>
      </c>
      <c r="K209" s="12">
        <f t="shared" si="13"/>
        <v>3.5318400173393107</v>
      </c>
      <c r="M209" s="23">
        <v>35.119599999999998</v>
      </c>
      <c r="N209" s="9">
        <v>152</v>
      </c>
      <c r="O209" s="9">
        <v>5577.9865</v>
      </c>
      <c r="P209" s="10">
        <v>1</v>
      </c>
      <c r="Q209" s="13">
        <f t="shared" si="14"/>
        <v>2.7249976313137365E-2</v>
      </c>
      <c r="R209" s="24"/>
      <c r="S209" s="9">
        <v>34.523800000000001</v>
      </c>
      <c r="T209" s="9">
        <v>110</v>
      </c>
      <c r="U209" s="9">
        <v>3453.0052000000001</v>
      </c>
      <c r="V209" s="10">
        <v>1</v>
      </c>
      <c r="W209" s="13">
        <f t="shared" si="15"/>
        <v>3.1856308817606184E-2</v>
      </c>
      <c r="Y209" s="3">
        <v>34.5486</v>
      </c>
      <c r="Z209" s="3">
        <v>211</v>
      </c>
      <c r="AA209" s="3">
        <v>6814.1589000000004</v>
      </c>
      <c r="AB209" s="4">
        <v>1</v>
      </c>
      <c r="AC209" s="3">
        <v>0</v>
      </c>
      <c r="AD209" s="11">
        <f t="shared" si="16"/>
        <v>3.0964936846424287E-2</v>
      </c>
      <c r="AE209" s="17"/>
      <c r="AF209" s="3">
        <v>34.547800000000002</v>
      </c>
      <c r="AG209" s="3">
        <v>161</v>
      </c>
      <c r="AH209" s="3">
        <v>5862.3936999999996</v>
      </c>
      <c r="AI209" s="4">
        <v>1</v>
      </c>
      <c r="AJ209" s="11">
        <f t="shared" si="17"/>
        <v>2.7463184535013403E-2</v>
      </c>
    </row>
    <row r="210" spans="1:36" x14ac:dyDescent="0.4">
      <c r="A210" s="33">
        <v>34.953400000000002</v>
      </c>
      <c r="B210" s="6">
        <v>8766</v>
      </c>
      <c r="C210" s="6">
        <v>4793.8694999999998</v>
      </c>
      <c r="D210" s="7">
        <v>1</v>
      </c>
      <c r="E210" s="12">
        <f t="shared" si="12"/>
        <v>1.8285854464749198</v>
      </c>
      <c r="F210" s="34"/>
      <c r="G210" s="6">
        <v>35.258099999999999</v>
      </c>
      <c r="H210" s="6">
        <v>13600</v>
      </c>
      <c r="I210" s="6">
        <v>3983.7188000000001</v>
      </c>
      <c r="J210" s="7">
        <v>1</v>
      </c>
      <c r="K210" s="12">
        <f t="shared" si="13"/>
        <v>3.4138955791759198</v>
      </c>
      <c r="M210" s="23">
        <v>35.120600000000003</v>
      </c>
      <c r="N210" s="9">
        <v>141</v>
      </c>
      <c r="O210" s="9">
        <v>5577.4513999999999</v>
      </c>
      <c r="P210" s="10">
        <v>1</v>
      </c>
      <c r="Q210" s="13">
        <f t="shared" si="14"/>
        <v>2.5280363715943808E-2</v>
      </c>
      <c r="R210" s="24"/>
      <c r="S210" s="9">
        <v>34.524799999999999</v>
      </c>
      <c r="T210" s="9">
        <v>119</v>
      </c>
      <c r="U210" s="9">
        <v>3452.9935</v>
      </c>
      <c r="V210" s="10">
        <v>1</v>
      </c>
      <c r="W210" s="13">
        <f t="shared" si="15"/>
        <v>3.4462850856800051E-2</v>
      </c>
      <c r="Y210" s="3">
        <v>34.549599999999998</v>
      </c>
      <c r="Z210" s="3">
        <v>178</v>
      </c>
      <c r="AA210" s="3">
        <v>6814.7240000000002</v>
      </c>
      <c r="AB210" s="4">
        <v>1</v>
      </c>
      <c r="AC210" s="3">
        <v>0</v>
      </c>
      <c r="AD210" s="11">
        <f t="shared" si="16"/>
        <v>2.6119913293627152E-2</v>
      </c>
      <c r="AE210" s="17"/>
      <c r="AF210" s="3">
        <v>34.5488</v>
      </c>
      <c r="AG210" s="3">
        <v>176</v>
      </c>
      <c r="AH210" s="3">
        <v>5863.0945000000002</v>
      </c>
      <c r="AI210" s="4">
        <v>1</v>
      </c>
      <c r="AJ210" s="11">
        <f t="shared" si="17"/>
        <v>3.0018277890625847E-2</v>
      </c>
    </row>
    <row r="211" spans="1:36" x14ac:dyDescent="0.4">
      <c r="A211" s="33">
        <v>34.9544</v>
      </c>
      <c r="B211" s="6">
        <v>8548</v>
      </c>
      <c r="C211" s="6">
        <v>4795.0331999999999</v>
      </c>
      <c r="D211" s="7">
        <v>1</v>
      </c>
      <c r="E211" s="12">
        <f t="shared" si="12"/>
        <v>1.7826779593517725</v>
      </c>
      <c r="F211" s="34"/>
      <c r="G211" s="6">
        <v>35.259099999999997</v>
      </c>
      <c r="H211" s="6">
        <v>12730</v>
      </c>
      <c r="I211" s="6">
        <v>3982.8040999999998</v>
      </c>
      <c r="J211" s="7">
        <v>1</v>
      </c>
      <c r="K211" s="12">
        <f t="shared" si="13"/>
        <v>3.19624055825392</v>
      </c>
      <c r="M211" s="23">
        <v>35.121600000000001</v>
      </c>
      <c r="N211" s="9">
        <v>137</v>
      </c>
      <c r="O211" s="9">
        <v>5579.3940000000002</v>
      </c>
      <c r="P211" s="10">
        <v>1</v>
      </c>
      <c r="Q211" s="13">
        <f t="shared" si="14"/>
        <v>2.4554638012658721E-2</v>
      </c>
      <c r="R211" s="24"/>
      <c r="S211" s="9">
        <v>34.525799999999997</v>
      </c>
      <c r="T211" s="9">
        <v>112</v>
      </c>
      <c r="U211" s="9">
        <v>3454.7316000000001</v>
      </c>
      <c r="V211" s="10">
        <v>1</v>
      </c>
      <c r="W211" s="13">
        <f t="shared" si="15"/>
        <v>3.2419305742883181E-2</v>
      </c>
      <c r="Y211" s="3">
        <v>34.550600000000003</v>
      </c>
      <c r="Z211" s="3">
        <v>168</v>
      </c>
      <c r="AA211" s="3">
        <v>6814.5</v>
      </c>
      <c r="AB211" s="4">
        <v>1</v>
      </c>
      <c r="AC211" s="3">
        <v>0</v>
      </c>
      <c r="AD211" s="11">
        <f t="shared" si="16"/>
        <v>2.465331278890601E-2</v>
      </c>
      <c r="AE211" s="17"/>
      <c r="AF211" s="3">
        <v>34.549799999999998</v>
      </c>
      <c r="AG211" s="3">
        <v>172</v>
      </c>
      <c r="AH211" s="3">
        <v>5866.0695999999998</v>
      </c>
      <c r="AI211" s="4">
        <v>1</v>
      </c>
      <c r="AJ211" s="11">
        <f t="shared" si="17"/>
        <v>2.9321165913203624E-2</v>
      </c>
    </row>
    <row r="212" spans="1:36" x14ac:dyDescent="0.4">
      <c r="A212" s="33">
        <v>34.955399999999997</v>
      </c>
      <c r="B212" s="6">
        <v>7918</v>
      </c>
      <c r="C212" s="6">
        <v>4793.0964000000004</v>
      </c>
      <c r="D212" s="7">
        <v>1</v>
      </c>
      <c r="E212" s="12">
        <f t="shared" si="12"/>
        <v>1.6519592637444136</v>
      </c>
      <c r="F212" s="34"/>
      <c r="G212" s="6">
        <v>35.260100000000001</v>
      </c>
      <c r="H212" s="6">
        <v>12130</v>
      </c>
      <c r="I212" s="6">
        <v>3983.2645000000002</v>
      </c>
      <c r="J212" s="7">
        <v>1</v>
      </c>
      <c r="K212" s="12">
        <f t="shared" si="13"/>
        <v>3.045240907301034</v>
      </c>
      <c r="M212" s="23">
        <v>35.122599999999998</v>
      </c>
      <c r="N212" s="9">
        <v>143</v>
      </c>
      <c r="O212" s="9">
        <v>5577.9286000000002</v>
      </c>
      <c r="P212" s="10">
        <v>1</v>
      </c>
      <c r="Q212" s="13">
        <f t="shared" si="14"/>
        <v>2.563675698537984E-2</v>
      </c>
      <c r="R212" s="24"/>
      <c r="S212" s="9">
        <v>34.526800000000001</v>
      </c>
      <c r="T212" s="9">
        <v>131</v>
      </c>
      <c r="U212" s="9">
        <v>3453.8847999999998</v>
      </c>
      <c r="V212" s="10">
        <v>1</v>
      </c>
      <c r="W212" s="13">
        <f t="shared" si="15"/>
        <v>3.7928306120690536E-2</v>
      </c>
      <c r="Y212" s="3">
        <v>34.551600000000001</v>
      </c>
      <c r="Z212" s="3">
        <v>165</v>
      </c>
      <c r="AA212" s="3">
        <v>6812.6</v>
      </c>
      <c r="AB212" s="4">
        <v>1</v>
      </c>
      <c r="AC212" s="3">
        <v>0</v>
      </c>
      <c r="AD212" s="11">
        <f t="shared" si="16"/>
        <v>2.4219827965828025E-2</v>
      </c>
      <c r="AE212" s="17"/>
      <c r="AF212" s="3">
        <v>34.550800000000002</v>
      </c>
      <c r="AG212" s="3">
        <v>171</v>
      </c>
      <c r="AH212" s="3">
        <v>5868.8175000000001</v>
      </c>
      <c r="AI212" s="4">
        <v>1</v>
      </c>
      <c r="AJ212" s="11">
        <f t="shared" si="17"/>
        <v>2.9137045069130195E-2</v>
      </c>
    </row>
    <row r="213" spans="1:36" x14ac:dyDescent="0.4">
      <c r="A213" s="33">
        <v>34.956400000000002</v>
      </c>
      <c r="B213" s="6">
        <v>7759</v>
      </c>
      <c r="C213" s="6">
        <v>4790.1795000000002</v>
      </c>
      <c r="D213" s="7">
        <v>1</v>
      </c>
      <c r="E213" s="12">
        <f t="shared" ref="E213:E220" si="18">B213/C213*D213</f>
        <v>1.6197722861951207</v>
      </c>
      <c r="F213" s="34"/>
      <c r="G213" s="6">
        <v>35.261099999999999</v>
      </c>
      <c r="H213" s="6">
        <v>11648</v>
      </c>
      <c r="I213" s="6">
        <v>3980.9263000000001</v>
      </c>
      <c r="J213" s="7">
        <v>1</v>
      </c>
      <c r="K213" s="12">
        <f t="shared" ref="K213:K220" si="19">H213/I213*J213</f>
        <v>2.9259521835408004</v>
      </c>
      <c r="M213" s="23">
        <v>35.123600000000003</v>
      </c>
      <c r="N213" s="9">
        <v>162</v>
      </c>
      <c r="O213" s="9">
        <v>5578.9341999999997</v>
      </c>
      <c r="P213" s="10">
        <v>1</v>
      </c>
      <c r="Q213" s="13">
        <f t="shared" ref="Q213:Q220" si="20">(N213/O213)*P213</f>
        <v>2.9037804389232626E-2</v>
      </c>
      <c r="R213" s="24"/>
      <c r="S213" s="9">
        <v>34.527799999999999</v>
      </c>
      <c r="T213" s="9">
        <v>89</v>
      </c>
      <c r="U213" s="9">
        <v>3453.5039999999999</v>
      </c>
      <c r="V213" s="10">
        <v>1</v>
      </c>
      <c r="W213" s="13">
        <f t="shared" ref="W213:W220" si="21">T213/U213*V213</f>
        <v>2.5770927151090604E-2</v>
      </c>
      <c r="Y213" s="3">
        <v>34.552599999999998</v>
      </c>
      <c r="Z213" s="3">
        <v>181</v>
      </c>
      <c r="AA213" s="3">
        <v>6812.6486000000004</v>
      </c>
      <c r="AB213" s="4">
        <v>1</v>
      </c>
      <c r="AC213" s="3">
        <v>0</v>
      </c>
      <c r="AD213" s="11">
        <f t="shared" ref="AD213:AD220" si="22">Z213/AA213*AB213</f>
        <v>2.6568227810839971E-2</v>
      </c>
      <c r="AE213" s="17"/>
      <c r="AF213" s="3">
        <v>34.5518</v>
      </c>
      <c r="AG213" s="3">
        <v>161</v>
      </c>
      <c r="AH213" s="3">
        <v>5868.8869999999997</v>
      </c>
      <c r="AI213" s="4">
        <v>1</v>
      </c>
      <c r="AJ213" s="11">
        <f t="shared" ref="AJ213:AJ220" si="23">AG213/AH213*AI213</f>
        <v>2.7432799438803303E-2</v>
      </c>
    </row>
    <row r="214" spans="1:36" x14ac:dyDescent="0.4">
      <c r="A214" s="33">
        <v>34.9574</v>
      </c>
      <c r="B214" s="6">
        <v>7443</v>
      </c>
      <c r="C214" s="6">
        <v>4788.7011000000002</v>
      </c>
      <c r="D214" s="7">
        <v>1</v>
      </c>
      <c r="E214" s="12">
        <f t="shared" si="18"/>
        <v>1.5542836866556569</v>
      </c>
      <c r="F214" s="34"/>
      <c r="G214" s="6">
        <v>35.262099999999997</v>
      </c>
      <c r="H214" s="6">
        <v>11273</v>
      </c>
      <c r="I214" s="6">
        <v>3982.0857000000001</v>
      </c>
      <c r="J214" s="7">
        <v>1</v>
      </c>
      <c r="K214" s="12">
        <f t="shared" si="19"/>
        <v>2.8309285257220855</v>
      </c>
      <c r="M214" s="23">
        <v>35.124600000000001</v>
      </c>
      <c r="N214" s="9">
        <v>159</v>
      </c>
      <c r="O214" s="9">
        <v>5578.0771000000004</v>
      </c>
      <c r="P214" s="10">
        <v>1</v>
      </c>
      <c r="Q214" s="13">
        <f t="shared" si="20"/>
        <v>2.8504446451627568E-2</v>
      </c>
      <c r="R214" s="24"/>
      <c r="S214" s="9">
        <v>34.528799999999997</v>
      </c>
      <c r="T214" s="9">
        <v>109</v>
      </c>
      <c r="U214" s="9">
        <v>3454.5383999999999</v>
      </c>
      <c r="V214" s="10">
        <v>1</v>
      </c>
      <c r="W214" s="13">
        <f t="shared" si="21"/>
        <v>3.1552696012873964E-2</v>
      </c>
      <c r="Y214" s="3">
        <v>34.553600000000003</v>
      </c>
      <c r="Z214" s="3">
        <v>176</v>
      </c>
      <c r="AA214" s="3">
        <v>6815.0284000000001</v>
      </c>
      <c r="AB214" s="4">
        <v>1</v>
      </c>
      <c r="AC214" s="3">
        <v>0</v>
      </c>
      <c r="AD214" s="11">
        <f t="shared" si="22"/>
        <v>2.5825277558637907E-2</v>
      </c>
      <c r="AE214" s="17"/>
      <c r="AF214" s="3">
        <v>34.552799999999998</v>
      </c>
      <c r="AG214" s="3">
        <v>155</v>
      </c>
      <c r="AH214" s="3">
        <v>5869.5864000000001</v>
      </c>
      <c r="AI214" s="4">
        <v>1</v>
      </c>
      <c r="AJ214" s="11">
        <f t="shared" si="23"/>
        <v>2.6407312106352162E-2</v>
      </c>
    </row>
    <row r="215" spans="1:36" x14ac:dyDescent="0.4">
      <c r="A215" s="33">
        <v>34.958399999999997</v>
      </c>
      <c r="B215" s="6">
        <v>7066</v>
      </c>
      <c r="C215" s="6">
        <v>4786.4147000000003</v>
      </c>
      <c r="D215" s="7">
        <v>1</v>
      </c>
      <c r="E215" s="12">
        <f t="shared" si="18"/>
        <v>1.4762615533501515</v>
      </c>
      <c r="F215" s="34"/>
      <c r="G215" s="6">
        <v>35.263100000000001</v>
      </c>
      <c r="H215" s="6">
        <v>10703</v>
      </c>
      <c r="I215" s="6">
        <v>3979.9016999999999</v>
      </c>
      <c r="J215" s="7">
        <v>1</v>
      </c>
      <c r="K215" s="12">
        <f t="shared" si="19"/>
        <v>2.6892624006266286</v>
      </c>
      <c r="M215" s="23">
        <v>35.125599999999999</v>
      </c>
      <c r="N215" s="9">
        <v>167</v>
      </c>
      <c r="O215" s="9">
        <v>5577.6336000000001</v>
      </c>
      <c r="P215" s="10">
        <v>1</v>
      </c>
      <c r="Q215" s="13">
        <f t="shared" si="20"/>
        <v>2.9941012977259745E-2</v>
      </c>
      <c r="R215" s="24"/>
      <c r="S215" s="9">
        <v>34.529800000000002</v>
      </c>
      <c r="T215" s="9">
        <v>103</v>
      </c>
      <c r="U215" s="9">
        <v>3452.9535000000001</v>
      </c>
      <c r="V215" s="10">
        <v>1</v>
      </c>
      <c r="W215" s="13">
        <f t="shared" si="21"/>
        <v>2.9829535787261541E-2</v>
      </c>
      <c r="Y215" s="3">
        <v>34.554600000000001</v>
      </c>
      <c r="Z215" s="3">
        <v>176</v>
      </c>
      <c r="AA215" s="3">
        <v>6814.9858000000004</v>
      </c>
      <c r="AB215" s="4">
        <v>1</v>
      </c>
      <c r="AC215" s="3">
        <v>0</v>
      </c>
      <c r="AD215" s="11">
        <f t="shared" si="22"/>
        <v>2.5825438990643237E-2</v>
      </c>
      <c r="AE215" s="17"/>
      <c r="AF215" s="3">
        <v>34.553800000000003</v>
      </c>
      <c r="AG215" s="3">
        <v>166</v>
      </c>
      <c r="AH215" s="3">
        <v>5869.3689000000004</v>
      </c>
      <c r="AI215" s="4">
        <v>1</v>
      </c>
      <c r="AJ215" s="11">
        <f t="shared" si="23"/>
        <v>2.8282427434404404E-2</v>
      </c>
    </row>
    <row r="216" spans="1:36" x14ac:dyDescent="0.4">
      <c r="A216" s="33">
        <v>34.959400000000002</v>
      </c>
      <c r="B216" s="6">
        <v>6696</v>
      </c>
      <c r="C216" s="6">
        <v>4781.4967999999999</v>
      </c>
      <c r="D216" s="7">
        <v>1</v>
      </c>
      <c r="E216" s="12">
        <f t="shared" si="18"/>
        <v>1.4003983020547039</v>
      </c>
      <c r="F216" s="34"/>
      <c r="G216" s="6">
        <v>35.264099999999999</v>
      </c>
      <c r="H216" s="6">
        <v>10245</v>
      </c>
      <c r="I216" s="6">
        <v>3980.2166000000002</v>
      </c>
      <c r="J216" s="7">
        <v>1</v>
      </c>
      <c r="K216" s="12">
        <f t="shared" si="19"/>
        <v>2.5739805215625702</v>
      </c>
      <c r="M216" s="23">
        <v>35.126600000000003</v>
      </c>
      <c r="N216" s="9">
        <v>127</v>
      </c>
      <c r="O216" s="9">
        <v>5580.9727000000003</v>
      </c>
      <c r="P216" s="10">
        <v>1</v>
      </c>
      <c r="Q216" s="13">
        <f t="shared" si="20"/>
        <v>2.2755889846943704E-2</v>
      </c>
      <c r="R216" s="24"/>
      <c r="S216" s="9">
        <v>34.530799999999999</v>
      </c>
      <c r="T216" s="9">
        <v>82</v>
      </c>
      <c r="U216" s="9">
        <v>3455.0880000000002</v>
      </c>
      <c r="V216" s="10">
        <v>1</v>
      </c>
      <c r="W216" s="13">
        <f t="shared" si="21"/>
        <v>2.3733114757134983E-2</v>
      </c>
      <c r="Y216" s="3">
        <v>34.555599999999998</v>
      </c>
      <c r="Z216" s="3">
        <v>149</v>
      </c>
      <c r="AA216" s="3">
        <v>6813.6696000000002</v>
      </c>
      <c r="AB216" s="4">
        <v>1</v>
      </c>
      <c r="AC216" s="3">
        <v>0</v>
      </c>
      <c r="AD216" s="11">
        <f t="shared" si="22"/>
        <v>2.1867805271919848E-2</v>
      </c>
      <c r="AE216" s="17"/>
      <c r="AF216" s="3">
        <v>34.5548</v>
      </c>
      <c r="AG216" s="3">
        <v>152</v>
      </c>
      <c r="AH216" s="3">
        <v>5869.5941000000003</v>
      </c>
      <c r="AI216" s="4">
        <v>1</v>
      </c>
      <c r="AJ216" s="11">
        <f t="shared" si="23"/>
        <v>2.5896168867963119E-2</v>
      </c>
    </row>
    <row r="217" spans="1:36" x14ac:dyDescent="0.4">
      <c r="A217" s="33">
        <v>34.9604</v>
      </c>
      <c r="B217" s="6">
        <v>6419</v>
      </c>
      <c r="C217" s="6">
        <v>4779.1153000000004</v>
      </c>
      <c r="D217" s="7">
        <v>1</v>
      </c>
      <c r="E217" s="12">
        <f t="shared" si="18"/>
        <v>1.3431356217750174</v>
      </c>
      <c r="F217" s="34"/>
      <c r="G217" s="6">
        <v>35.265099999999997</v>
      </c>
      <c r="H217" s="6">
        <v>9841</v>
      </c>
      <c r="I217" s="6">
        <v>3980.6864999999998</v>
      </c>
      <c r="J217" s="7">
        <v>1</v>
      </c>
      <c r="K217" s="12">
        <f t="shared" si="19"/>
        <v>2.4721866441881319</v>
      </c>
      <c r="M217" s="23">
        <v>35.127600000000001</v>
      </c>
      <c r="N217" s="9">
        <v>129</v>
      </c>
      <c r="O217" s="9">
        <v>5584.9206000000004</v>
      </c>
      <c r="P217" s="10">
        <v>1</v>
      </c>
      <c r="Q217" s="13">
        <f t="shared" si="20"/>
        <v>2.3097911186060548E-2</v>
      </c>
      <c r="R217" s="24"/>
      <c r="S217" s="9">
        <v>34.531799999999997</v>
      </c>
      <c r="T217" s="9">
        <v>101</v>
      </c>
      <c r="U217" s="9">
        <v>3453.0526</v>
      </c>
      <c r="V217" s="10">
        <v>1</v>
      </c>
      <c r="W217" s="13">
        <f t="shared" si="21"/>
        <v>2.9249482038008919E-2</v>
      </c>
      <c r="Y217" s="3">
        <v>34.556600000000003</v>
      </c>
      <c r="Z217" s="3">
        <v>161</v>
      </c>
      <c r="AA217" s="3">
        <v>6812.7690000000002</v>
      </c>
      <c r="AB217" s="4">
        <v>1</v>
      </c>
      <c r="AC217" s="3">
        <v>0</v>
      </c>
      <c r="AD217" s="11">
        <f t="shared" si="22"/>
        <v>2.3632094380420059E-2</v>
      </c>
      <c r="AE217" s="17"/>
      <c r="AF217" s="3">
        <v>34.555799999999998</v>
      </c>
      <c r="AG217" s="3">
        <v>134</v>
      </c>
      <c r="AH217" s="3">
        <v>5867.2773999999999</v>
      </c>
      <c r="AI217" s="4">
        <v>1</v>
      </c>
      <c r="AJ217" s="11">
        <f t="shared" si="23"/>
        <v>2.2838531547869204E-2</v>
      </c>
    </row>
    <row r="218" spans="1:36" x14ac:dyDescent="0.4">
      <c r="A218" s="33">
        <v>34.961399999999998</v>
      </c>
      <c r="B218" s="6">
        <v>6393</v>
      </c>
      <c r="C218" s="6">
        <v>4778.8469999999998</v>
      </c>
      <c r="D218" s="7">
        <v>1</v>
      </c>
      <c r="E218" s="12">
        <f t="shared" si="18"/>
        <v>1.3377703868736539</v>
      </c>
      <c r="F218" s="34"/>
      <c r="G218" s="6">
        <v>35.266100000000002</v>
      </c>
      <c r="H218" s="6">
        <v>9288</v>
      </c>
      <c r="I218" s="6">
        <v>3979.5455000000002</v>
      </c>
      <c r="J218" s="7">
        <v>1</v>
      </c>
      <c r="K218" s="12">
        <f t="shared" si="19"/>
        <v>2.33393486768778</v>
      </c>
      <c r="M218" s="23">
        <v>35.128599999999999</v>
      </c>
      <c r="N218" s="9">
        <v>126</v>
      </c>
      <c r="O218" s="9">
        <v>5582.3572000000004</v>
      </c>
      <c r="P218" s="10">
        <v>1</v>
      </c>
      <c r="Q218" s="13">
        <f t="shared" si="20"/>
        <v>2.2571110282946422E-2</v>
      </c>
      <c r="R218" s="24"/>
      <c r="S218" s="9">
        <v>34.532800000000002</v>
      </c>
      <c r="T218" s="9">
        <v>176</v>
      </c>
      <c r="U218" s="9">
        <v>3454.5587999999998</v>
      </c>
      <c r="V218" s="10">
        <v>1</v>
      </c>
      <c r="W218" s="13">
        <f t="shared" si="21"/>
        <v>5.0947171604084435E-2</v>
      </c>
      <c r="Y218" s="3">
        <v>34.557600000000001</v>
      </c>
      <c r="Z218" s="3">
        <v>156</v>
      </c>
      <c r="AA218" s="3">
        <v>6807.0662000000002</v>
      </c>
      <c r="AB218" s="4">
        <v>1</v>
      </c>
      <c r="AC218" s="3">
        <v>0</v>
      </c>
      <c r="AD218" s="11">
        <f t="shared" si="22"/>
        <v>2.2917361961310143E-2</v>
      </c>
      <c r="AE218" s="17"/>
      <c r="AF218" s="3">
        <v>34.556800000000003</v>
      </c>
      <c r="AG218" s="3">
        <v>134</v>
      </c>
      <c r="AH218" s="3">
        <v>5865.5749999999998</v>
      </c>
      <c r="AI218" s="4">
        <v>1</v>
      </c>
      <c r="AJ218" s="11">
        <f t="shared" si="23"/>
        <v>2.284516010791781E-2</v>
      </c>
    </row>
    <row r="219" spans="1:36" x14ac:dyDescent="0.4">
      <c r="A219" s="33">
        <v>34.962400000000002</v>
      </c>
      <c r="B219" s="6">
        <v>6070</v>
      </c>
      <c r="C219" s="6">
        <v>4778.5281000000004</v>
      </c>
      <c r="D219" s="7">
        <v>1</v>
      </c>
      <c r="E219" s="12">
        <f t="shared" si="18"/>
        <v>1.2702656284473872</v>
      </c>
      <c r="F219" s="34"/>
      <c r="G219" s="6">
        <v>35.267099999999999</v>
      </c>
      <c r="H219" s="6">
        <v>8900</v>
      </c>
      <c r="I219" s="6">
        <v>3978.3258999999998</v>
      </c>
      <c r="J219" s="7">
        <v>1</v>
      </c>
      <c r="K219" s="12">
        <f t="shared" si="19"/>
        <v>2.2371219009483361</v>
      </c>
      <c r="M219" s="23">
        <v>35.129600000000003</v>
      </c>
      <c r="N219" s="9">
        <v>125</v>
      </c>
      <c r="O219" s="9">
        <v>5581.3867</v>
      </c>
      <c r="P219" s="10">
        <v>1</v>
      </c>
      <c r="Q219" s="13">
        <f t="shared" si="20"/>
        <v>2.2395868037597178E-2</v>
      </c>
      <c r="R219" s="24"/>
      <c r="S219" s="9">
        <v>34.533799999999999</v>
      </c>
      <c r="T219" s="9">
        <v>84</v>
      </c>
      <c r="U219" s="9">
        <v>3454.1822000000002</v>
      </c>
      <c r="V219" s="10">
        <v>1</v>
      </c>
      <c r="W219" s="13">
        <f t="shared" si="21"/>
        <v>2.4318346611826091E-2</v>
      </c>
      <c r="Y219" s="3">
        <v>34.558599999999998</v>
      </c>
      <c r="Z219" s="3">
        <v>147</v>
      </c>
      <c r="AA219" s="3">
        <v>6805.9449999999997</v>
      </c>
      <c r="AB219" s="4">
        <v>1</v>
      </c>
      <c r="AC219" s="3">
        <v>0</v>
      </c>
      <c r="AD219" s="11">
        <f t="shared" si="22"/>
        <v>2.1598764021748634E-2</v>
      </c>
      <c r="AE219" s="17"/>
      <c r="AF219" s="3">
        <v>34.5578</v>
      </c>
      <c r="AG219" s="3">
        <v>175</v>
      </c>
      <c r="AH219" s="3">
        <v>5866.5989</v>
      </c>
      <c r="AI219" s="4">
        <v>1</v>
      </c>
      <c r="AJ219" s="11">
        <f t="shared" si="23"/>
        <v>2.9829890023672829E-2</v>
      </c>
    </row>
    <row r="220" spans="1:36" ht="14.25" thickBot="1" x14ac:dyDescent="0.45">
      <c r="A220" s="35">
        <v>34.9634</v>
      </c>
      <c r="B220" s="36">
        <v>5687</v>
      </c>
      <c r="C220" s="36">
        <v>4778.6980000000003</v>
      </c>
      <c r="D220" s="37">
        <v>1</v>
      </c>
      <c r="E220" s="12">
        <f t="shared" si="18"/>
        <v>1.1900731119648071</v>
      </c>
      <c r="F220" s="38"/>
      <c r="G220" s="6">
        <v>35.268099999999997</v>
      </c>
      <c r="H220" s="6">
        <v>8769</v>
      </c>
      <c r="I220" s="6">
        <v>3977.9947999999999</v>
      </c>
      <c r="J220" s="7">
        <v>1</v>
      </c>
      <c r="K220" s="12">
        <f t="shared" si="19"/>
        <v>2.204376938853716</v>
      </c>
      <c r="M220" s="25">
        <v>35.130600000000001</v>
      </c>
      <c r="N220" s="26">
        <v>115</v>
      </c>
      <c r="O220" s="26">
        <v>5574.4233000000004</v>
      </c>
      <c r="P220" s="27">
        <v>1</v>
      </c>
      <c r="Q220" s="13">
        <f t="shared" si="20"/>
        <v>2.0629936732648201E-2</v>
      </c>
      <c r="R220" s="28"/>
      <c r="S220" s="9">
        <v>34.534799999999997</v>
      </c>
      <c r="T220" s="9">
        <v>75</v>
      </c>
      <c r="U220" s="9">
        <v>3453.6316999999999</v>
      </c>
      <c r="V220" s="10">
        <v>1</v>
      </c>
      <c r="W220" s="13">
        <f t="shared" si="21"/>
        <v>2.1716270440765299E-2</v>
      </c>
      <c r="Y220" s="3">
        <v>34.559600000000003</v>
      </c>
      <c r="Z220" s="3">
        <v>145</v>
      </c>
      <c r="AA220" s="3">
        <v>6803.6522999999997</v>
      </c>
      <c r="AB220" s="4">
        <v>1</v>
      </c>
      <c r="AC220" s="3">
        <v>0</v>
      </c>
      <c r="AD220" s="11">
        <f t="shared" si="22"/>
        <v>2.1312082629501804E-2</v>
      </c>
      <c r="AE220" s="18"/>
      <c r="AF220" s="3">
        <v>34.558799999999998</v>
      </c>
      <c r="AG220" s="3">
        <v>152</v>
      </c>
      <c r="AH220" s="3">
        <v>5865.1823000000004</v>
      </c>
      <c r="AI220" s="4">
        <v>1</v>
      </c>
      <c r="AJ220" s="11">
        <f t="shared" si="23"/>
        <v>2.5915648009781383E-2</v>
      </c>
    </row>
    <row r="221" spans="1:36" x14ac:dyDescent="0.4">
      <c r="AD221" s="11" t="s">
        <v>77</v>
      </c>
    </row>
    <row r="222" spans="1:36" x14ac:dyDescent="0.4">
      <c r="AD222" s="11" t="s">
        <v>77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B748-8D19-4D3B-B363-1E1D0EA5AFD3}">
  <dimension ref="A1:AK206"/>
  <sheetViews>
    <sheetView topLeftCell="A2" workbookViewId="0">
      <selection activeCell="C205" activeCellId="1" sqref="A5:A205 C5:C205"/>
    </sheetView>
  </sheetViews>
  <sheetFormatPr defaultRowHeight="13.9" x14ac:dyDescent="0.4"/>
  <sheetData>
    <row r="1" spans="1:37" x14ac:dyDescent="0.4">
      <c r="A1" s="2"/>
      <c r="B1" s="2"/>
      <c r="C1" s="3" t="s">
        <v>5</v>
      </c>
      <c r="D1" s="3"/>
      <c r="E1" s="3"/>
      <c r="F1" s="3"/>
      <c r="G1" s="2"/>
      <c r="H1" s="2"/>
      <c r="I1" s="3" t="s">
        <v>6</v>
      </c>
      <c r="J1" s="3"/>
      <c r="K1" s="3"/>
      <c r="N1" s="5"/>
      <c r="O1" s="5"/>
      <c r="P1" s="5" t="s">
        <v>7</v>
      </c>
      <c r="Q1" s="5"/>
      <c r="R1" s="5"/>
      <c r="S1" s="5"/>
      <c r="T1" s="5"/>
      <c r="U1" s="1" t="s">
        <v>8</v>
      </c>
      <c r="V1" s="5"/>
      <c r="W1" s="5"/>
      <c r="X1" s="5"/>
      <c r="AA1" s="8"/>
      <c r="AB1" s="8"/>
      <c r="AC1" s="1" t="s">
        <v>11</v>
      </c>
      <c r="AD1" s="1"/>
      <c r="AE1" s="1"/>
      <c r="AF1" s="1"/>
      <c r="AI1" s="1" t="s">
        <v>12</v>
      </c>
      <c r="AJ1" s="8"/>
      <c r="AK1" s="8"/>
    </row>
    <row r="2" spans="1:37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N2" s="5"/>
      <c r="O2" s="5"/>
      <c r="P2" s="1" t="s">
        <v>9</v>
      </c>
      <c r="R2" s="5"/>
      <c r="S2" s="5"/>
      <c r="T2" s="5"/>
      <c r="U2" s="1" t="s">
        <v>10</v>
      </c>
      <c r="V2" s="5"/>
      <c r="W2" s="5"/>
      <c r="X2" s="5"/>
      <c r="AA2" s="8"/>
      <c r="AB2" s="8"/>
      <c r="AC2" s="1" t="s">
        <v>13</v>
      </c>
      <c r="AD2" s="8"/>
      <c r="AE2" s="8"/>
      <c r="AF2" s="8"/>
      <c r="AG2" s="8"/>
      <c r="AH2" s="8"/>
      <c r="AI2" s="1" t="s">
        <v>14</v>
      </c>
      <c r="AJ2" s="8"/>
      <c r="AK2" s="8"/>
    </row>
    <row r="3" spans="1:37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2"/>
      <c r="G4" s="3" t="s">
        <v>0</v>
      </c>
      <c r="H4" s="3" t="s">
        <v>1</v>
      </c>
      <c r="I4" s="3" t="s">
        <v>2</v>
      </c>
      <c r="J4" s="3" t="s">
        <v>3</v>
      </c>
      <c r="K4" s="3" t="s">
        <v>4</v>
      </c>
      <c r="N4" s="6" t="s">
        <v>0</v>
      </c>
      <c r="O4" s="6" t="s">
        <v>1</v>
      </c>
      <c r="P4" s="6" t="s">
        <v>2</v>
      </c>
      <c r="Q4" s="6" t="s">
        <v>3</v>
      </c>
      <c r="R4" s="6" t="s">
        <v>4</v>
      </c>
      <c r="S4" s="5"/>
      <c r="T4" s="6" t="s">
        <v>0</v>
      </c>
      <c r="U4" s="6" t="s">
        <v>1</v>
      </c>
      <c r="V4" s="6" t="s">
        <v>2</v>
      </c>
      <c r="W4" s="6" t="s">
        <v>3</v>
      </c>
      <c r="X4" s="6" t="s">
        <v>4</v>
      </c>
      <c r="AA4" s="9" t="s">
        <v>0</v>
      </c>
      <c r="AB4" s="9" t="s">
        <v>1</v>
      </c>
      <c r="AC4" s="9" t="s">
        <v>2</v>
      </c>
      <c r="AD4" s="9" t="s">
        <v>3</v>
      </c>
      <c r="AE4" s="9" t="s">
        <v>4</v>
      </c>
      <c r="AF4" s="8"/>
      <c r="AG4" s="9" t="s">
        <v>0</v>
      </c>
      <c r="AH4" s="9" t="s">
        <v>1</v>
      </c>
      <c r="AI4" s="9" t="s">
        <v>2</v>
      </c>
      <c r="AJ4" s="9" t="s">
        <v>3</v>
      </c>
      <c r="AK4" s="9" t="s">
        <v>4</v>
      </c>
    </row>
    <row r="5" spans="1:37" x14ac:dyDescent="0.4">
      <c r="A5" s="3">
        <v>68.588899999999995</v>
      </c>
      <c r="B5" s="3">
        <v>23</v>
      </c>
      <c r="C5" s="3">
        <v>6775.2691000000004</v>
      </c>
      <c r="D5" s="4">
        <v>1</v>
      </c>
      <c r="E5" s="11">
        <f>B5/C5*D5</f>
        <v>3.3946991123939268E-3</v>
      </c>
      <c r="F5" s="2"/>
      <c r="G5" s="3">
        <v>68.588999999999999</v>
      </c>
      <c r="H5" s="3">
        <v>73</v>
      </c>
      <c r="I5" s="3">
        <v>6094.1574000000001</v>
      </c>
      <c r="J5" s="4">
        <v>1</v>
      </c>
      <c r="K5" s="11">
        <f>H5/I5*J5</f>
        <v>1.1978686339804744E-2</v>
      </c>
      <c r="N5" s="6">
        <v>68.5822</v>
      </c>
      <c r="O5" s="6">
        <v>3</v>
      </c>
      <c r="P5" s="6">
        <v>4773.5352000000003</v>
      </c>
      <c r="Q5" s="7">
        <v>1</v>
      </c>
      <c r="R5" s="12">
        <f>O5/P5*Q5</f>
        <v>6.2846504200911725E-4</v>
      </c>
      <c r="S5" s="5"/>
      <c r="T5" s="6">
        <v>68.581999999999994</v>
      </c>
      <c r="U5" s="6">
        <v>0</v>
      </c>
      <c r="V5" s="6">
        <v>3976.1051000000002</v>
      </c>
      <c r="W5" s="7">
        <v>1</v>
      </c>
      <c r="X5" s="12">
        <f>U5/V5*W5</f>
        <v>0</v>
      </c>
      <c r="AA5" s="9">
        <v>68.587100000000007</v>
      </c>
      <c r="AB5" s="9">
        <v>85</v>
      </c>
      <c r="AC5" s="9">
        <v>5583.4984000000004</v>
      </c>
      <c r="AD5" s="10">
        <v>1</v>
      </c>
      <c r="AE5" s="13">
        <f>AB5/AC5*AD5</f>
        <v>1.5223430528788186E-2</v>
      </c>
      <c r="AF5" s="8"/>
      <c r="AG5" s="9">
        <v>68.584599999999995</v>
      </c>
      <c r="AH5" s="9">
        <v>35</v>
      </c>
      <c r="AI5" s="9">
        <v>3446.6129999999998</v>
      </c>
      <c r="AJ5" s="10">
        <v>1</v>
      </c>
      <c r="AK5" s="13">
        <f>AH5/AI5*AJ5</f>
        <v>1.0154896995978371E-2</v>
      </c>
    </row>
    <row r="6" spans="1:37" x14ac:dyDescent="0.4">
      <c r="A6" s="3">
        <v>68.5989</v>
      </c>
      <c r="B6" s="3">
        <v>25</v>
      </c>
      <c r="C6" s="3">
        <v>6772.2003000000004</v>
      </c>
      <c r="D6" s="4">
        <v>1</v>
      </c>
      <c r="E6" s="11">
        <f t="shared" ref="E6:E69" si="0">B6/C6*D6</f>
        <v>3.691562401070742E-3</v>
      </c>
      <c r="F6" s="2"/>
      <c r="G6" s="3">
        <v>68.599000000000004</v>
      </c>
      <c r="H6" s="3">
        <v>61</v>
      </c>
      <c r="I6" s="3">
        <v>6094.6585999999998</v>
      </c>
      <c r="J6" s="4">
        <v>1</v>
      </c>
      <c r="K6" s="11">
        <f t="shared" ref="K6:K69" si="1">H6/I6*J6</f>
        <v>1.0008764067605034E-2</v>
      </c>
      <c r="N6" s="6">
        <v>68.592200000000005</v>
      </c>
      <c r="O6" s="6">
        <v>5</v>
      </c>
      <c r="P6" s="6">
        <v>4772.4966999999997</v>
      </c>
      <c r="Q6" s="7">
        <v>1</v>
      </c>
      <c r="R6" s="12">
        <f t="shared" ref="R6:R69" si="2">O6/P6*Q6</f>
        <v>1.0476696610392628E-3</v>
      </c>
      <c r="S6" s="5"/>
      <c r="T6" s="6">
        <v>68.591999999999999</v>
      </c>
      <c r="U6" s="6">
        <v>2</v>
      </c>
      <c r="V6" s="6">
        <v>3973.7773000000002</v>
      </c>
      <c r="W6" s="7">
        <v>1</v>
      </c>
      <c r="X6" s="12">
        <f t="shared" ref="X6:X69" si="3">U6/V6*W6</f>
        <v>5.0329946773816441E-4</v>
      </c>
      <c r="AA6" s="9">
        <v>68.597099999999998</v>
      </c>
      <c r="AB6" s="9">
        <v>104</v>
      </c>
      <c r="AC6" s="9">
        <v>5574.6674000000003</v>
      </c>
      <c r="AD6" s="10">
        <v>1</v>
      </c>
      <c r="AE6" s="13">
        <f t="shared" ref="AE6:AE69" si="4">AB6/AC6*AD6</f>
        <v>1.8655821511432233E-2</v>
      </c>
      <c r="AF6" s="8"/>
      <c r="AG6" s="9">
        <v>68.5946</v>
      </c>
      <c r="AH6" s="9">
        <v>29</v>
      </c>
      <c r="AI6" s="9">
        <v>3446.4414000000002</v>
      </c>
      <c r="AJ6" s="10">
        <v>1</v>
      </c>
      <c r="AK6" s="13">
        <f t="shared" ref="AK6:AK69" si="5">AH6/AI6*AJ6</f>
        <v>8.4144764509850641E-3</v>
      </c>
    </row>
    <row r="7" spans="1:37" x14ac:dyDescent="0.4">
      <c r="A7" s="3">
        <v>68.608900000000006</v>
      </c>
      <c r="B7" s="3">
        <v>28</v>
      </c>
      <c r="C7" s="3">
        <v>6774.1292999999996</v>
      </c>
      <c r="D7" s="4">
        <v>1</v>
      </c>
      <c r="E7" s="11">
        <f t="shared" si="0"/>
        <v>4.1333725354194229E-3</v>
      </c>
      <c r="F7" s="2"/>
      <c r="G7" s="3">
        <v>68.608999999999995</v>
      </c>
      <c r="H7" s="3">
        <v>85</v>
      </c>
      <c r="I7" s="3">
        <v>6092.7295000000004</v>
      </c>
      <c r="J7" s="4">
        <v>1</v>
      </c>
      <c r="K7" s="11">
        <f t="shared" si="1"/>
        <v>1.3951054285275589E-2</v>
      </c>
      <c r="N7" s="6">
        <v>68.602199999999996</v>
      </c>
      <c r="O7" s="6">
        <v>5</v>
      </c>
      <c r="P7" s="6">
        <v>4774.2548999999999</v>
      </c>
      <c r="Q7" s="7">
        <v>1</v>
      </c>
      <c r="R7" s="12">
        <f t="shared" si="2"/>
        <v>1.0472838389923419E-3</v>
      </c>
      <c r="S7" s="5"/>
      <c r="T7" s="6">
        <v>68.602000000000004</v>
      </c>
      <c r="U7" s="6">
        <v>3</v>
      </c>
      <c r="V7" s="6">
        <v>3974.7547</v>
      </c>
      <c r="W7" s="7">
        <v>1</v>
      </c>
      <c r="X7" s="12">
        <f t="shared" si="3"/>
        <v>7.5476355811341018E-4</v>
      </c>
      <c r="AA7" s="9">
        <v>68.607100000000003</v>
      </c>
      <c r="AB7" s="9">
        <v>94</v>
      </c>
      <c r="AC7" s="9">
        <v>5574.1265000000003</v>
      </c>
      <c r="AD7" s="10">
        <v>1</v>
      </c>
      <c r="AE7" s="13">
        <f t="shared" si="4"/>
        <v>1.6863628767664313E-2</v>
      </c>
      <c r="AF7" s="8"/>
      <c r="AG7" s="9">
        <v>68.604600000000005</v>
      </c>
      <c r="AH7" s="9">
        <v>61</v>
      </c>
      <c r="AI7" s="9">
        <v>3447.1952999999999</v>
      </c>
      <c r="AJ7" s="10">
        <v>1</v>
      </c>
      <c r="AK7" s="13">
        <f t="shared" si="5"/>
        <v>1.7695545129108294E-2</v>
      </c>
    </row>
    <row r="8" spans="1:37" x14ac:dyDescent="0.4">
      <c r="A8" s="3">
        <v>68.618899999999996</v>
      </c>
      <c r="B8" s="3">
        <v>20</v>
      </c>
      <c r="C8" s="3">
        <v>6770.4475000000002</v>
      </c>
      <c r="D8" s="4">
        <v>1</v>
      </c>
      <c r="E8" s="11">
        <f t="shared" si="0"/>
        <v>2.954014487225549E-3</v>
      </c>
      <c r="F8" s="2"/>
      <c r="G8" s="3">
        <v>68.619</v>
      </c>
      <c r="H8" s="3">
        <v>97</v>
      </c>
      <c r="I8" s="3">
        <v>6093.0115999999998</v>
      </c>
      <c r="J8" s="4">
        <v>1</v>
      </c>
      <c r="K8" s="11">
        <f t="shared" si="1"/>
        <v>1.5919877782605896E-2</v>
      </c>
      <c r="N8" s="6">
        <v>68.612200000000001</v>
      </c>
      <c r="O8" s="6">
        <v>4</v>
      </c>
      <c r="P8" s="6">
        <v>4775.8490000000002</v>
      </c>
      <c r="Q8" s="7">
        <v>1</v>
      </c>
      <c r="R8" s="12">
        <f t="shared" si="2"/>
        <v>8.3754741827055253E-4</v>
      </c>
      <c r="S8" s="5"/>
      <c r="T8" s="6">
        <v>68.611999999999995</v>
      </c>
      <c r="U8" s="6">
        <v>1</v>
      </c>
      <c r="V8" s="6">
        <v>3973.2233999999999</v>
      </c>
      <c r="W8" s="7">
        <v>1</v>
      </c>
      <c r="X8" s="12">
        <f t="shared" si="3"/>
        <v>2.516848159104268E-4</v>
      </c>
      <c r="AA8" s="9">
        <v>68.617099999999994</v>
      </c>
      <c r="AB8" s="9">
        <v>104</v>
      </c>
      <c r="AC8" s="9">
        <v>5570.9080999999996</v>
      </c>
      <c r="AD8" s="10">
        <v>1</v>
      </c>
      <c r="AE8" s="13">
        <f t="shared" si="4"/>
        <v>1.8668410631293667E-2</v>
      </c>
      <c r="AF8" s="8"/>
      <c r="AG8" s="9">
        <v>68.614599999999996</v>
      </c>
      <c r="AH8" s="9">
        <v>31</v>
      </c>
      <c r="AI8" s="9">
        <v>3446.2619</v>
      </c>
      <c r="AJ8" s="10">
        <v>1</v>
      </c>
      <c r="AK8" s="13">
        <f t="shared" si="5"/>
        <v>8.9952536689100731E-3</v>
      </c>
    </row>
    <row r="9" spans="1:37" x14ac:dyDescent="0.4">
      <c r="A9" s="3">
        <v>68.628900000000002</v>
      </c>
      <c r="B9" s="3">
        <v>39</v>
      </c>
      <c r="C9" s="3">
        <v>6770.6979000000001</v>
      </c>
      <c r="D9" s="4">
        <v>1</v>
      </c>
      <c r="E9" s="11">
        <f t="shared" si="0"/>
        <v>5.7601152164830751E-3</v>
      </c>
      <c r="F9" s="2"/>
      <c r="G9" s="3">
        <v>68.629000000000005</v>
      </c>
      <c r="H9" s="3">
        <v>98</v>
      </c>
      <c r="I9" s="3">
        <v>6091.2644</v>
      </c>
      <c r="J9" s="4">
        <v>1</v>
      </c>
      <c r="K9" s="11">
        <f t="shared" si="1"/>
        <v>1.608861372033038E-2</v>
      </c>
      <c r="N9" s="6">
        <v>68.622200000000007</v>
      </c>
      <c r="O9" s="6">
        <v>3</v>
      </c>
      <c r="P9" s="6">
        <v>4779.8266999999996</v>
      </c>
      <c r="Q9" s="7">
        <v>1</v>
      </c>
      <c r="R9" s="12">
        <f t="shared" si="2"/>
        <v>6.2763781791503031E-4</v>
      </c>
      <c r="S9" s="5"/>
      <c r="T9" s="6">
        <v>68.622</v>
      </c>
      <c r="U9" s="6">
        <v>1</v>
      </c>
      <c r="V9" s="6">
        <v>3972.5547000000001</v>
      </c>
      <c r="W9" s="7">
        <v>1</v>
      </c>
      <c r="X9" s="12">
        <f t="shared" si="3"/>
        <v>2.5172718200708473E-4</v>
      </c>
      <c r="AA9" s="9">
        <v>68.627099999999999</v>
      </c>
      <c r="AB9" s="9">
        <v>90</v>
      </c>
      <c r="AC9" s="9">
        <v>5572.0936000000002</v>
      </c>
      <c r="AD9" s="10">
        <v>1</v>
      </c>
      <c r="AE9" s="13">
        <f t="shared" si="4"/>
        <v>1.6151918194626164E-2</v>
      </c>
      <c r="AF9" s="8"/>
      <c r="AG9" s="9">
        <v>68.624600000000001</v>
      </c>
      <c r="AH9" s="9">
        <v>33</v>
      </c>
      <c r="AI9" s="9">
        <v>3446.5405000000001</v>
      </c>
      <c r="AJ9" s="10">
        <v>1</v>
      </c>
      <c r="AK9" s="13">
        <f t="shared" si="5"/>
        <v>9.5748185753221238E-3</v>
      </c>
    </row>
    <row r="10" spans="1:37" x14ac:dyDescent="0.4">
      <c r="A10" s="3">
        <v>68.638900000000007</v>
      </c>
      <c r="B10" s="3">
        <v>29</v>
      </c>
      <c r="C10" s="3">
        <v>6768.7584999999999</v>
      </c>
      <c r="D10" s="4">
        <v>1</v>
      </c>
      <c r="E10" s="11">
        <f t="shared" si="0"/>
        <v>4.2843898183101085E-3</v>
      </c>
      <c r="F10" s="2"/>
      <c r="G10" s="3">
        <v>68.638999999999996</v>
      </c>
      <c r="H10" s="3">
        <v>108</v>
      </c>
      <c r="I10" s="3">
        <v>6089.6418000000003</v>
      </c>
      <c r="J10" s="4">
        <v>1</v>
      </c>
      <c r="K10" s="11">
        <f t="shared" si="1"/>
        <v>1.7735033282253152E-2</v>
      </c>
      <c r="N10" s="6">
        <v>68.632199999999997</v>
      </c>
      <c r="O10" s="6">
        <v>12</v>
      </c>
      <c r="P10" s="6">
        <v>4784.8107</v>
      </c>
      <c r="Q10" s="7">
        <v>1</v>
      </c>
      <c r="R10" s="12">
        <f t="shared" si="2"/>
        <v>2.5079362073822482E-3</v>
      </c>
      <c r="S10" s="5"/>
      <c r="T10" s="6">
        <v>68.632000000000005</v>
      </c>
      <c r="U10" s="6">
        <v>3</v>
      </c>
      <c r="V10" s="6">
        <v>3973.8368</v>
      </c>
      <c r="W10" s="7">
        <v>1</v>
      </c>
      <c r="X10" s="12">
        <f t="shared" si="3"/>
        <v>7.5493789780194294E-4</v>
      </c>
      <c r="AA10" s="9">
        <v>68.637100000000004</v>
      </c>
      <c r="AB10" s="9">
        <v>101</v>
      </c>
      <c r="AC10" s="9">
        <v>5571.7960999999996</v>
      </c>
      <c r="AD10" s="10">
        <v>1</v>
      </c>
      <c r="AE10" s="13">
        <f t="shared" si="4"/>
        <v>1.8127009349821685E-2</v>
      </c>
      <c r="AF10" s="8"/>
      <c r="AG10" s="9">
        <v>68.634600000000006</v>
      </c>
      <c r="AH10" s="9">
        <v>29</v>
      </c>
      <c r="AI10" s="9">
        <v>3446.4832999999999</v>
      </c>
      <c r="AJ10" s="10">
        <v>1</v>
      </c>
      <c r="AK10" s="13">
        <f t="shared" si="5"/>
        <v>8.4143741535030805E-3</v>
      </c>
    </row>
    <row r="11" spans="1:37" x14ac:dyDescent="0.4">
      <c r="A11" s="3">
        <v>68.648899999999998</v>
      </c>
      <c r="B11" s="3">
        <v>32</v>
      </c>
      <c r="C11" s="3">
        <v>6766.7755999999999</v>
      </c>
      <c r="D11" s="4">
        <v>1</v>
      </c>
      <c r="E11" s="11">
        <f t="shared" si="0"/>
        <v>4.7289879096921728E-3</v>
      </c>
      <c r="F11" s="2"/>
      <c r="G11" s="3">
        <v>68.649000000000001</v>
      </c>
      <c r="H11" s="3">
        <v>120</v>
      </c>
      <c r="I11" s="3">
        <v>6088.3094000000001</v>
      </c>
      <c r="J11" s="4">
        <v>1</v>
      </c>
      <c r="K11" s="11">
        <f t="shared" si="1"/>
        <v>1.970990501895321E-2</v>
      </c>
      <c r="N11" s="6">
        <v>68.642200000000003</v>
      </c>
      <c r="O11" s="6">
        <v>4</v>
      </c>
      <c r="P11" s="6">
        <v>4787.1364000000003</v>
      </c>
      <c r="Q11" s="7">
        <v>1</v>
      </c>
      <c r="R11" s="12">
        <f t="shared" si="2"/>
        <v>8.355725982656353E-4</v>
      </c>
      <c r="S11" s="5"/>
      <c r="T11" s="6">
        <v>68.641999999999996</v>
      </c>
      <c r="U11" s="6">
        <v>2</v>
      </c>
      <c r="V11" s="6">
        <v>3973.7100999999998</v>
      </c>
      <c r="W11" s="7">
        <v>1</v>
      </c>
      <c r="X11" s="12">
        <f t="shared" si="3"/>
        <v>5.0330797911000101E-4</v>
      </c>
      <c r="AA11" s="9">
        <v>68.647099999999995</v>
      </c>
      <c r="AB11" s="9">
        <v>110</v>
      </c>
      <c r="AC11" s="9">
        <v>5571.2918</v>
      </c>
      <c r="AD11" s="10">
        <v>1</v>
      </c>
      <c r="AE11" s="13">
        <f t="shared" si="4"/>
        <v>1.9744074435304213E-2</v>
      </c>
      <c r="AF11" s="8"/>
      <c r="AG11" s="9">
        <v>68.644599999999997</v>
      </c>
      <c r="AH11" s="9">
        <v>31</v>
      </c>
      <c r="AI11" s="9">
        <v>3445.7637</v>
      </c>
      <c r="AJ11" s="10">
        <v>1</v>
      </c>
      <c r="AK11" s="13">
        <f t="shared" si="5"/>
        <v>8.9965542326654619E-3</v>
      </c>
    </row>
    <row r="12" spans="1:37" x14ac:dyDescent="0.4">
      <c r="A12" s="3">
        <v>68.658900000000003</v>
      </c>
      <c r="B12" s="3">
        <v>35</v>
      </c>
      <c r="C12" s="3">
        <v>6760.7655000000004</v>
      </c>
      <c r="D12" s="4">
        <v>1</v>
      </c>
      <c r="E12" s="11">
        <f t="shared" si="0"/>
        <v>5.1769285593473106E-3</v>
      </c>
      <c r="F12" s="2"/>
      <c r="G12" s="3">
        <v>68.659000000000006</v>
      </c>
      <c r="H12" s="3">
        <v>110</v>
      </c>
      <c r="I12" s="3">
        <v>6088.5501999999997</v>
      </c>
      <c r="J12" s="4">
        <v>1</v>
      </c>
      <c r="K12" s="11">
        <f t="shared" si="1"/>
        <v>1.8066698374269791E-2</v>
      </c>
      <c r="N12" s="6">
        <v>68.652199999999993</v>
      </c>
      <c r="O12" s="6">
        <v>9</v>
      </c>
      <c r="P12" s="6">
        <v>4787.8262999999997</v>
      </c>
      <c r="Q12" s="7">
        <v>1</v>
      </c>
      <c r="R12" s="12">
        <f t="shared" si="2"/>
        <v>1.8797674426910601E-3</v>
      </c>
      <c r="S12" s="5"/>
      <c r="T12" s="6">
        <v>68.652000000000001</v>
      </c>
      <c r="U12" s="6">
        <v>3</v>
      </c>
      <c r="V12" s="6">
        <v>3970.1934999999999</v>
      </c>
      <c r="W12" s="7">
        <v>1</v>
      </c>
      <c r="X12" s="12">
        <f t="shared" si="3"/>
        <v>7.5563067643932217E-4</v>
      </c>
      <c r="AA12" s="9">
        <v>68.6571</v>
      </c>
      <c r="AB12" s="9">
        <v>126</v>
      </c>
      <c r="AC12" s="9">
        <v>5573.3302999999996</v>
      </c>
      <c r="AD12" s="10">
        <v>1</v>
      </c>
      <c r="AE12" s="13">
        <f t="shared" si="4"/>
        <v>2.260766780680485E-2</v>
      </c>
      <c r="AF12" s="8"/>
      <c r="AG12" s="9">
        <v>68.654600000000002</v>
      </c>
      <c r="AH12" s="9">
        <v>48</v>
      </c>
      <c r="AI12" s="9">
        <v>3446.5601999999999</v>
      </c>
      <c r="AJ12" s="10">
        <v>1</v>
      </c>
      <c r="AK12" s="13">
        <f t="shared" si="5"/>
        <v>1.3926929232224061E-2</v>
      </c>
    </row>
    <row r="13" spans="1:37" x14ac:dyDescent="0.4">
      <c r="A13" s="3">
        <v>68.668899999999994</v>
      </c>
      <c r="B13" s="3">
        <v>39</v>
      </c>
      <c r="C13" s="3">
        <v>6760.0956999999999</v>
      </c>
      <c r="D13" s="4">
        <v>1</v>
      </c>
      <c r="E13" s="11">
        <f t="shared" si="0"/>
        <v>5.7691490965135301E-3</v>
      </c>
      <c r="F13" s="2"/>
      <c r="G13" s="3">
        <v>68.668999999999997</v>
      </c>
      <c r="H13" s="3">
        <v>109</v>
      </c>
      <c r="I13" s="3">
        <v>6087.1126999999997</v>
      </c>
      <c r="J13" s="4">
        <v>1</v>
      </c>
      <c r="K13" s="11">
        <f t="shared" si="1"/>
        <v>1.7906683410018023E-2</v>
      </c>
      <c r="N13" s="6">
        <v>68.662199999999999</v>
      </c>
      <c r="O13" s="6">
        <v>3</v>
      </c>
      <c r="P13" s="6">
        <v>4787.9528</v>
      </c>
      <c r="Q13" s="7">
        <v>1</v>
      </c>
      <c r="R13" s="12">
        <f t="shared" si="2"/>
        <v>6.2657259277911013E-4</v>
      </c>
      <c r="S13" s="5"/>
      <c r="T13" s="6">
        <v>68.662000000000006</v>
      </c>
      <c r="U13" s="6">
        <v>4</v>
      </c>
      <c r="V13" s="6">
        <v>3973.5677999999998</v>
      </c>
      <c r="W13" s="7">
        <v>1</v>
      </c>
      <c r="X13" s="12">
        <f t="shared" si="3"/>
        <v>1.0066520067934918E-3</v>
      </c>
      <c r="AA13" s="9">
        <v>68.667100000000005</v>
      </c>
      <c r="AB13" s="9">
        <v>146</v>
      </c>
      <c r="AC13" s="9">
        <v>5574.9111999999996</v>
      </c>
      <c r="AD13" s="10">
        <v>1</v>
      </c>
      <c r="AE13" s="13">
        <f t="shared" si="4"/>
        <v>2.6188757948288038E-2</v>
      </c>
      <c r="AF13" s="8"/>
      <c r="AG13" s="9">
        <v>68.664599999999993</v>
      </c>
      <c r="AH13" s="9">
        <v>36</v>
      </c>
      <c r="AI13" s="9">
        <v>3444.7525000000001</v>
      </c>
      <c r="AJ13" s="10">
        <v>1</v>
      </c>
      <c r="AK13" s="13">
        <f t="shared" si="5"/>
        <v>1.0450678241760474E-2</v>
      </c>
    </row>
    <row r="14" spans="1:37" x14ac:dyDescent="0.4">
      <c r="A14" s="3">
        <v>68.678899999999999</v>
      </c>
      <c r="B14" s="3">
        <v>38</v>
      </c>
      <c r="C14" s="3">
        <v>6760.8927999999996</v>
      </c>
      <c r="D14" s="4">
        <v>1</v>
      </c>
      <c r="E14" s="11">
        <f t="shared" si="0"/>
        <v>5.6205594622059383E-3</v>
      </c>
      <c r="F14" s="2"/>
      <c r="G14" s="3">
        <v>68.679000000000002</v>
      </c>
      <c r="H14" s="3">
        <v>115</v>
      </c>
      <c r="I14" s="3">
        <v>6086.8087999999998</v>
      </c>
      <c r="J14" s="4">
        <v>1</v>
      </c>
      <c r="K14" s="11">
        <f t="shared" si="1"/>
        <v>1.8893315656637679E-2</v>
      </c>
      <c r="N14" s="6">
        <v>68.672200000000004</v>
      </c>
      <c r="O14" s="6">
        <v>6</v>
      </c>
      <c r="P14" s="6">
        <v>4786.1710999999996</v>
      </c>
      <c r="Q14" s="7">
        <v>1</v>
      </c>
      <c r="R14" s="12">
        <f t="shared" si="2"/>
        <v>1.2536116813709399E-3</v>
      </c>
      <c r="S14" s="5"/>
      <c r="T14" s="6">
        <v>68.671999999999997</v>
      </c>
      <c r="U14" s="6">
        <v>2</v>
      </c>
      <c r="V14" s="6">
        <v>3972.6203999999998</v>
      </c>
      <c r="W14" s="7">
        <v>1</v>
      </c>
      <c r="X14" s="12">
        <f t="shared" si="3"/>
        <v>5.0344603778402792E-4</v>
      </c>
      <c r="AA14" s="9">
        <v>68.677099999999996</v>
      </c>
      <c r="AB14" s="9">
        <v>132</v>
      </c>
      <c r="AC14" s="9">
        <v>5576.8158999999996</v>
      </c>
      <c r="AD14" s="10">
        <v>1</v>
      </c>
      <c r="AE14" s="13">
        <f t="shared" si="4"/>
        <v>2.3669420394530148E-2</v>
      </c>
      <c r="AF14" s="8"/>
      <c r="AG14" s="9">
        <v>68.674599999999998</v>
      </c>
      <c r="AH14" s="9">
        <v>42</v>
      </c>
      <c r="AI14" s="9">
        <v>3444.8427999999999</v>
      </c>
      <c r="AJ14" s="10">
        <v>1</v>
      </c>
      <c r="AK14" s="13">
        <f t="shared" si="5"/>
        <v>1.2192138346632247E-2</v>
      </c>
    </row>
    <row r="15" spans="1:37" x14ac:dyDescent="0.4">
      <c r="A15" s="3">
        <v>68.688900000000004</v>
      </c>
      <c r="B15" s="3">
        <v>58</v>
      </c>
      <c r="C15" s="3">
        <v>6755.4867000000004</v>
      </c>
      <c r="D15" s="4">
        <v>1</v>
      </c>
      <c r="E15" s="11">
        <f t="shared" si="0"/>
        <v>8.5856138240935319E-3</v>
      </c>
      <c r="F15" s="2"/>
      <c r="G15" s="3">
        <v>68.688999999999993</v>
      </c>
      <c r="H15" s="3">
        <v>101</v>
      </c>
      <c r="I15" s="3">
        <v>6086.3245999999999</v>
      </c>
      <c r="J15" s="4">
        <v>1</v>
      </c>
      <c r="K15" s="11">
        <f t="shared" si="1"/>
        <v>1.6594579921024914E-2</v>
      </c>
      <c r="N15" s="6">
        <v>68.682199999999995</v>
      </c>
      <c r="O15" s="6">
        <v>5</v>
      </c>
      <c r="P15" s="6">
        <v>4783.1415999999999</v>
      </c>
      <c r="Q15" s="7">
        <v>1</v>
      </c>
      <c r="R15" s="12">
        <f t="shared" si="2"/>
        <v>1.0453380681851442E-3</v>
      </c>
      <c r="S15" s="5"/>
      <c r="T15" s="6">
        <v>68.682000000000002</v>
      </c>
      <c r="U15" s="6">
        <v>0</v>
      </c>
      <c r="V15" s="6">
        <v>3968.5897</v>
      </c>
      <c r="W15" s="7">
        <v>1</v>
      </c>
      <c r="X15" s="12">
        <f t="shared" si="3"/>
        <v>0</v>
      </c>
      <c r="AA15" s="9">
        <v>68.687100000000001</v>
      </c>
      <c r="AB15" s="9">
        <v>123</v>
      </c>
      <c r="AC15" s="9">
        <v>5573.6067000000003</v>
      </c>
      <c r="AD15" s="10">
        <v>1</v>
      </c>
      <c r="AE15" s="13">
        <f t="shared" si="4"/>
        <v>2.2068295561651307E-2</v>
      </c>
      <c r="AF15" s="8"/>
      <c r="AG15" s="9">
        <v>68.684600000000003</v>
      </c>
      <c r="AH15" s="9">
        <v>41</v>
      </c>
      <c r="AI15" s="9">
        <v>3445.2280000000001</v>
      </c>
      <c r="AJ15" s="10">
        <v>1</v>
      </c>
      <c r="AK15" s="13">
        <f t="shared" si="5"/>
        <v>1.1900518630407043E-2</v>
      </c>
    </row>
    <row r="16" spans="1:37" x14ac:dyDescent="0.4">
      <c r="A16" s="3">
        <v>68.698899999999995</v>
      </c>
      <c r="B16" s="3">
        <v>60</v>
      </c>
      <c r="C16" s="3">
        <v>6751.9170000000004</v>
      </c>
      <c r="D16" s="4">
        <v>1</v>
      </c>
      <c r="E16" s="11">
        <f t="shared" si="0"/>
        <v>8.8863651611831122E-3</v>
      </c>
      <c r="F16" s="2"/>
      <c r="G16" s="3">
        <v>68.698999999999998</v>
      </c>
      <c r="H16" s="3">
        <v>125</v>
      </c>
      <c r="I16" s="3">
        <v>6083.4391999999998</v>
      </c>
      <c r="J16" s="4">
        <v>1</v>
      </c>
      <c r="K16" s="11">
        <f t="shared" si="1"/>
        <v>2.0547587621160084E-2</v>
      </c>
      <c r="N16" s="6">
        <v>68.6922</v>
      </c>
      <c r="O16" s="6">
        <v>4</v>
      </c>
      <c r="P16" s="6">
        <v>4782.7509</v>
      </c>
      <c r="Q16" s="7">
        <v>1</v>
      </c>
      <c r="R16" s="12">
        <f t="shared" si="2"/>
        <v>8.36338768970803E-4</v>
      </c>
      <c r="S16" s="5"/>
      <c r="T16" s="6">
        <v>68.691999999999993</v>
      </c>
      <c r="U16" s="6">
        <v>5</v>
      </c>
      <c r="V16" s="6">
        <v>3970.3461000000002</v>
      </c>
      <c r="W16" s="7">
        <v>1</v>
      </c>
      <c r="X16" s="12">
        <f t="shared" si="3"/>
        <v>1.2593360563705012E-3</v>
      </c>
      <c r="AA16" s="9">
        <v>68.697100000000006</v>
      </c>
      <c r="AB16" s="9">
        <v>112</v>
      </c>
      <c r="AC16" s="9">
        <v>5575.9004000000004</v>
      </c>
      <c r="AD16" s="10">
        <v>1</v>
      </c>
      <c r="AE16" s="13">
        <f t="shared" si="4"/>
        <v>2.00864420031606E-2</v>
      </c>
      <c r="AF16" s="8"/>
      <c r="AG16" s="9">
        <v>68.694599999999994</v>
      </c>
      <c r="AH16" s="9">
        <v>33</v>
      </c>
      <c r="AI16" s="9">
        <v>3444.8924000000002</v>
      </c>
      <c r="AJ16" s="10">
        <v>1</v>
      </c>
      <c r="AK16" s="13">
        <f t="shared" si="5"/>
        <v>9.5793993449548673E-3</v>
      </c>
    </row>
    <row r="17" spans="1:37" x14ac:dyDescent="0.4">
      <c r="A17" s="3">
        <v>68.7089</v>
      </c>
      <c r="B17" s="3">
        <v>40</v>
      </c>
      <c r="C17" s="3">
        <v>6749.5855000000001</v>
      </c>
      <c r="D17" s="4">
        <v>1</v>
      </c>
      <c r="E17" s="11">
        <f t="shared" si="0"/>
        <v>5.926289844020792E-3</v>
      </c>
      <c r="F17" s="2"/>
      <c r="G17" s="3">
        <v>68.709000000000003</v>
      </c>
      <c r="H17" s="3">
        <v>132</v>
      </c>
      <c r="I17" s="3">
        <v>6084.8059000000003</v>
      </c>
      <c r="J17" s="4">
        <v>1</v>
      </c>
      <c r="K17" s="11">
        <f t="shared" si="1"/>
        <v>2.1693378912875427E-2</v>
      </c>
      <c r="N17" s="6">
        <v>68.702200000000005</v>
      </c>
      <c r="O17" s="6">
        <v>3</v>
      </c>
      <c r="P17" s="6">
        <v>4782.1459000000004</v>
      </c>
      <c r="Q17" s="7">
        <v>1</v>
      </c>
      <c r="R17" s="12">
        <f t="shared" si="2"/>
        <v>6.2733343204773395E-4</v>
      </c>
      <c r="S17" s="5"/>
      <c r="T17" s="6">
        <v>68.701999999999998</v>
      </c>
      <c r="U17" s="6">
        <v>0</v>
      </c>
      <c r="V17" s="6">
        <v>3971.2519000000002</v>
      </c>
      <c r="W17" s="7">
        <v>1</v>
      </c>
      <c r="X17" s="12">
        <f t="shared" si="3"/>
        <v>0</v>
      </c>
      <c r="AA17" s="9">
        <v>68.707099999999997</v>
      </c>
      <c r="AB17" s="9">
        <v>138</v>
      </c>
      <c r="AC17" s="9">
        <v>5575.5150000000003</v>
      </c>
      <c r="AD17" s="10">
        <v>1</v>
      </c>
      <c r="AE17" s="13">
        <f t="shared" si="4"/>
        <v>2.4751076806357797E-2</v>
      </c>
      <c r="AF17" s="8"/>
      <c r="AG17" s="9">
        <v>68.704599999999999</v>
      </c>
      <c r="AH17" s="9">
        <v>38</v>
      </c>
      <c r="AI17" s="9">
        <v>3443.7276999999999</v>
      </c>
      <c r="AJ17" s="10">
        <v>1</v>
      </c>
      <c r="AK17" s="13">
        <f t="shared" si="5"/>
        <v>1.1034554212866482E-2</v>
      </c>
    </row>
    <row r="18" spans="1:37" x14ac:dyDescent="0.4">
      <c r="A18" s="3">
        <v>68.718900000000005</v>
      </c>
      <c r="B18" s="3">
        <v>58</v>
      </c>
      <c r="C18" s="3">
        <v>6750.02</v>
      </c>
      <c r="D18" s="4">
        <v>1</v>
      </c>
      <c r="E18" s="11">
        <f t="shared" si="0"/>
        <v>8.592567133134419E-3</v>
      </c>
      <c r="F18" s="2"/>
      <c r="G18" s="3">
        <v>68.718999999999994</v>
      </c>
      <c r="H18" s="3">
        <v>117</v>
      </c>
      <c r="I18" s="3">
        <v>6082.0632999999998</v>
      </c>
      <c r="J18" s="4">
        <v>1</v>
      </c>
      <c r="K18" s="11">
        <f t="shared" si="1"/>
        <v>1.9236892848517376E-2</v>
      </c>
      <c r="N18" s="6">
        <v>68.712199999999996</v>
      </c>
      <c r="O18" s="6">
        <v>3</v>
      </c>
      <c r="P18" s="6">
        <v>4777.5083000000004</v>
      </c>
      <c r="Q18" s="7">
        <v>1</v>
      </c>
      <c r="R18" s="12">
        <f t="shared" si="2"/>
        <v>6.2794239415554754E-4</v>
      </c>
      <c r="S18" s="5"/>
      <c r="T18" s="6">
        <v>68.712000000000003</v>
      </c>
      <c r="U18" s="6">
        <v>6</v>
      </c>
      <c r="V18" s="6">
        <v>3971.799</v>
      </c>
      <c r="W18" s="7">
        <v>1</v>
      </c>
      <c r="X18" s="12">
        <f t="shared" si="3"/>
        <v>1.5106504634297959E-3</v>
      </c>
      <c r="AA18" s="9">
        <v>68.717100000000002</v>
      </c>
      <c r="AB18" s="9">
        <v>133</v>
      </c>
      <c r="AC18" s="9">
        <v>5576.5304999999998</v>
      </c>
      <c r="AD18" s="10">
        <v>1</v>
      </c>
      <c r="AE18" s="13">
        <f t="shared" si="4"/>
        <v>2.3849954734399822E-2</v>
      </c>
      <c r="AF18" s="8"/>
      <c r="AG18" s="9">
        <v>68.714600000000004</v>
      </c>
      <c r="AH18" s="9">
        <v>51</v>
      </c>
      <c r="AI18" s="9">
        <v>3443.6675</v>
      </c>
      <c r="AJ18" s="10">
        <v>1</v>
      </c>
      <c r="AK18" s="13">
        <f t="shared" si="5"/>
        <v>1.4809792176509491E-2</v>
      </c>
    </row>
    <row r="19" spans="1:37" x14ac:dyDescent="0.4">
      <c r="A19" s="3">
        <v>68.728899999999996</v>
      </c>
      <c r="B19" s="3">
        <v>51</v>
      </c>
      <c r="C19" s="3">
        <v>6749.8266999999996</v>
      </c>
      <c r="D19" s="4">
        <v>1</v>
      </c>
      <c r="E19" s="11">
        <f t="shared" si="0"/>
        <v>7.5557495424289937E-3</v>
      </c>
      <c r="F19" s="2"/>
      <c r="G19" s="3">
        <v>68.728999999999999</v>
      </c>
      <c r="H19" s="3">
        <v>141</v>
      </c>
      <c r="I19" s="3">
        <v>6082.7097000000003</v>
      </c>
      <c r="J19" s="4">
        <v>1</v>
      </c>
      <c r="K19" s="11">
        <f t="shared" si="1"/>
        <v>2.3180458538075554E-2</v>
      </c>
      <c r="N19" s="6">
        <v>68.722200000000001</v>
      </c>
      <c r="O19" s="6">
        <v>3</v>
      </c>
      <c r="P19" s="6">
        <v>4776.4530999999997</v>
      </c>
      <c r="Q19" s="7">
        <v>1</v>
      </c>
      <c r="R19" s="12">
        <f t="shared" si="2"/>
        <v>6.2808111734625853E-4</v>
      </c>
      <c r="S19" s="5"/>
      <c r="T19" s="6">
        <v>68.721999999999994</v>
      </c>
      <c r="U19" s="6">
        <v>5</v>
      </c>
      <c r="V19" s="6">
        <v>3970.7604999999999</v>
      </c>
      <c r="W19" s="7">
        <v>1</v>
      </c>
      <c r="X19" s="12">
        <f t="shared" si="3"/>
        <v>1.2592046284332686E-3</v>
      </c>
      <c r="AA19" s="9">
        <v>68.727099999999993</v>
      </c>
      <c r="AB19" s="9">
        <v>132</v>
      </c>
      <c r="AC19" s="9">
        <v>5577.5382</v>
      </c>
      <c r="AD19" s="10">
        <v>1</v>
      </c>
      <c r="AE19" s="13">
        <f t="shared" si="4"/>
        <v>2.3666355167231305E-2</v>
      </c>
      <c r="AF19" s="8"/>
      <c r="AG19" s="9">
        <v>68.724599999999995</v>
      </c>
      <c r="AH19" s="9">
        <v>50</v>
      </c>
      <c r="AI19" s="9">
        <v>3442.9639000000002</v>
      </c>
      <c r="AJ19" s="10">
        <v>1</v>
      </c>
      <c r="AK19" s="13">
        <f t="shared" si="5"/>
        <v>1.4522371262736736E-2</v>
      </c>
    </row>
    <row r="20" spans="1:37" x14ac:dyDescent="0.4">
      <c r="A20" s="3">
        <v>68.738900000000001</v>
      </c>
      <c r="B20" s="3">
        <v>54</v>
      </c>
      <c r="C20" s="3">
        <v>6753.2942000000003</v>
      </c>
      <c r="D20" s="4">
        <v>1</v>
      </c>
      <c r="E20" s="11">
        <f t="shared" si="0"/>
        <v>7.996097667416888E-3</v>
      </c>
      <c r="F20" s="2"/>
      <c r="G20" s="3">
        <v>68.739000000000004</v>
      </c>
      <c r="H20" s="3">
        <v>136</v>
      </c>
      <c r="I20" s="3">
        <v>6081.1131999999998</v>
      </c>
      <c r="J20" s="4">
        <v>1</v>
      </c>
      <c r="K20" s="11">
        <f t="shared" si="1"/>
        <v>2.2364326321042668E-2</v>
      </c>
      <c r="N20" s="6">
        <v>68.732200000000006</v>
      </c>
      <c r="O20" s="6">
        <v>7</v>
      </c>
      <c r="P20" s="6">
        <v>4774.0081</v>
      </c>
      <c r="Q20" s="7">
        <v>1</v>
      </c>
      <c r="R20" s="12">
        <f t="shared" si="2"/>
        <v>1.4662731720124229E-3</v>
      </c>
      <c r="S20" s="5"/>
      <c r="T20" s="6">
        <v>68.731999999999999</v>
      </c>
      <c r="U20" s="6">
        <v>6</v>
      </c>
      <c r="V20" s="6">
        <v>3969.9807999999998</v>
      </c>
      <c r="W20" s="7">
        <v>1</v>
      </c>
      <c r="X20" s="12">
        <f t="shared" si="3"/>
        <v>1.511342321857073E-3</v>
      </c>
      <c r="AA20" s="9">
        <v>68.737099999999998</v>
      </c>
      <c r="AB20" s="9">
        <v>150</v>
      </c>
      <c r="AC20" s="9">
        <v>5578.8050999999996</v>
      </c>
      <c r="AD20" s="10">
        <v>1</v>
      </c>
      <c r="AE20" s="13">
        <f t="shared" si="4"/>
        <v>2.6887478108887513E-2</v>
      </c>
      <c r="AF20" s="8"/>
      <c r="AG20" s="9">
        <v>68.7346</v>
      </c>
      <c r="AH20" s="9">
        <v>45</v>
      </c>
      <c r="AI20" s="9">
        <v>3442.1878999999999</v>
      </c>
      <c r="AJ20" s="10">
        <v>1</v>
      </c>
      <c r="AK20" s="13">
        <f t="shared" si="5"/>
        <v>1.3073080641530349E-2</v>
      </c>
    </row>
    <row r="21" spans="1:37" x14ac:dyDescent="0.4">
      <c r="A21" s="3">
        <v>68.748900000000006</v>
      </c>
      <c r="B21" s="3">
        <v>45</v>
      </c>
      <c r="C21" s="3">
        <v>6755.9669000000004</v>
      </c>
      <c r="D21" s="4">
        <v>1</v>
      </c>
      <c r="E21" s="11">
        <f t="shared" si="0"/>
        <v>6.6607786370297337E-3</v>
      </c>
      <c r="F21" s="2"/>
      <c r="G21" s="3">
        <v>68.748999999999995</v>
      </c>
      <c r="H21" s="3">
        <v>148</v>
      </c>
      <c r="I21" s="3">
        <v>6080.5245999999997</v>
      </c>
      <c r="J21" s="4">
        <v>1</v>
      </c>
      <c r="K21" s="11">
        <f t="shared" si="1"/>
        <v>2.434000513705676E-2</v>
      </c>
      <c r="N21" s="6">
        <v>68.742199999999997</v>
      </c>
      <c r="O21" s="6">
        <v>10</v>
      </c>
      <c r="P21" s="6">
        <v>4775.1751999999997</v>
      </c>
      <c r="Q21" s="7">
        <v>1</v>
      </c>
      <c r="R21" s="12">
        <f t="shared" si="2"/>
        <v>2.0941640005166721E-3</v>
      </c>
      <c r="S21" s="5"/>
      <c r="T21" s="6">
        <v>68.742000000000004</v>
      </c>
      <c r="U21" s="6">
        <v>4</v>
      </c>
      <c r="V21" s="6">
        <v>3970.7948999999999</v>
      </c>
      <c r="W21" s="7">
        <v>1</v>
      </c>
      <c r="X21" s="12">
        <f t="shared" si="3"/>
        <v>1.0073549757002055E-3</v>
      </c>
      <c r="AA21" s="9">
        <v>68.747100000000003</v>
      </c>
      <c r="AB21" s="9">
        <v>133</v>
      </c>
      <c r="AC21" s="9">
        <v>5578.3320999999996</v>
      </c>
      <c r="AD21" s="10">
        <v>1</v>
      </c>
      <c r="AE21" s="13">
        <f t="shared" si="4"/>
        <v>2.384225205953586E-2</v>
      </c>
      <c r="AF21" s="8"/>
      <c r="AG21" s="9">
        <v>68.744600000000005</v>
      </c>
      <c r="AH21" s="9">
        <v>45</v>
      </c>
      <c r="AI21" s="9">
        <v>3444.1145000000001</v>
      </c>
      <c r="AJ21" s="10">
        <v>1</v>
      </c>
      <c r="AK21" s="13">
        <f t="shared" si="5"/>
        <v>1.3065767703135304E-2</v>
      </c>
    </row>
    <row r="22" spans="1:37" x14ac:dyDescent="0.4">
      <c r="A22" s="3">
        <v>68.758899999999997</v>
      </c>
      <c r="B22" s="3">
        <v>54</v>
      </c>
      <c r="C22" s="3">
        <v>6754.1772000000001</v>
      </c>
      <c r="D22" s="4">
        <v>1</v>
      </c>
      <c r="E22" s="11">
        <f t="shared" si="0"/>
        <v>7.9950523062972054E-3</v>
      </c>
      <c r="F22" s="2"/>
      <c r="G22" s="3">
        <v>68.759</v>
      </c>
      <c r="H22" s="3">
        <v>144</v>
      </c>
      <c r="I22" s="3">
        <v>6079.0856999999996</v>
      </c>
      <c r="J22" s="4">
        <v>1</v>
      </c>
      <c r="K22" s="11">
        <f t="shared" si="1"/>
        <v>2.3687772653048798E-2</v>
      </c>
      <c r="N22" s="6">
        <v>68.752200000000002</v>
      </c>
      <c r="O22" s="6">
        <v>5</v>
      </c>
      <c r="P22" s="6">
        <v>4775.1368000000002</v>
      </c>
      <c r="Q22" s="7">
        <v>1</v>
      </c>
      <c r="R22" s="12">
        <f t="shared" si="2"/>
        <v>1.0470904205299417E-3</v>
      </c>
      <c r="S22" s="5"/>
      <c r="T22" s="6">
        <v>68.751999999999995</v>
      </c>
      <c r="U22" s="6">
        <v>8</v>
      </c>
      <c r="V22" s="6">
        <v>3971.5994000000001</v>
      </c>
      <c r="W22" s="7">
        <v>1</v>
      </c>
      <c r="X22" s="12">
        <f t="shared" si="3"/>
        <v>2.0143018452465273E-3</v>
      </c>
      <c r="AA22" s="9">
        <v>68.757099999999994</v>
      </c>
      <c r="AB22" s="9">
        <v>144</v>
      </c>
      <c r="AC22" s="9">
        <v>5567.8958000000002</v>
      </c>
      <c r="AD22" s="10">
        <v>1</v>
      </c>
      <c r="AE22" s="13">
        <f t="shared" si="4"/>
        <v>2.5862552959414219E-2</v>
      </c>
      <c r="AF22" s="8"/>
      <c r="AG22" s="9">
        <v>68.754599999999996</v>
      </c>
      <c r="AH22" s="9">
        <v>51</v>
      </c>
      <c r="AI22" s="9">
        <v>3442.3150000000001</v>
      </c>
      <c r="AJ22" s="10">
        <v>1</v>
      </c>
      <c r="AK22" s="13">
        <f t="shared" si="5"/>
        <v>1.4815611005965462E-2</v>
      </c>
    </row>
    <row r="23" spans="1:37" x14ac:dyDescent="0.4">
      <c r="A23" s="3">
        <v>68.768900000000002</v>
      </c>
      <c r="B23" s="3">
        <v>69</v>
      </c>
      <c r="C23" s="3">
        <v>6753.17</v>
      </c>
      <c r="D23" s="4">
        <v>1</v>
      </c>
      <c r="E23" s="11">
        <f t="shared" si="0"/>
        <v>1.0217423817259154E-2</v>
      </c>
      <c r="F23" s="2"/>
      <c r="G23" s="3">
        <v>68.769000000000005</v>
      </c>
      <c r="H23" s="3">
        <v>159</v>
      </c>
      <c r="I23" s="3">
        <v>6077.3608999999997</v>
      </c>
      <c r="J23" s="4">
        <v>1</v>
      </c>
      <c r="K23" s="11">
        <f t="shared" si="1"/>
        <v>2.6162672024299234E-2</v>
      </c>
      <c r="N23" s="6">
        <v>68.762200000000007</v>
      </c>
      <c r="O23" s="6">
        <v>8</v>
      </c>
      <c r="P23" s="6">
        <v>4773.4850999999999</v>
      </c>
      <c r="Q23" s="7">
        <v>1</v>
      </c>
      <c r="R23" s="12">
        <f t="shared" si="2"/>
        <v>1.675924368130949E-3</v>
      </c>
      <c r="S23" s="5"/>
      <c r="T23" s="6">
        <v>68.762</v>
      </c>
      <c r="U23" s="6">
        <v>8</v>
      </c>
      <c r="V23" s="6">
        <v>3970.3163</v>
      </c>
      <c r="W23" s="7">
        <v>1</v>
      </c>
      <c r="X23" s="12">
        <f t="shared" si="3"/>
        <v>2.0149528137090741E-3</v>
      </c>
      <c r="AA23" s="9">
        <v>68.767099999999999</v>
      </c>
      <c r="AB23" s="9">
        <v>151</v>
      </c>
      <c r="AC23" s="9">
        <v>5565.6805000000004</v>
      </c>
      <c r="AD23" s="10">
        <v>1</v>
      </c>
      <c r="AE23" s="13">
        <f t="shared" si="4"/>
        <v>2.7130554835118541E-2</v>
      </c>
      <c r="AF23" s="8"/>
      <c r="AG23" s="9">
        <v>68.764600000000002</v>
      </c>
      <c r="AH23" s="9">
        <v>42</v>
      </c>
      <c r="AI23" s="9">
        <v>3441.6909000000001</v>
      </c>
      <c r="AJ23" s="10">
        <v>1</v>
      </c>
      <c r="AK23" s="13">
        <f t="shared" si="5"/>
        <v>1.2203303905065965E-2</v>
      </c>
    </row>
    <row r="24" spans="1:37" x14ac:dyDescent="0.4">
      <c r="A24" s="3">
        <v>68.778899999999993</v>
      </c>
      <c r="B24" s="3">
        <v>81</v>
      </c>
      <c r="C24" s="3">
        <v>6753.9866000000002</v>
      </c>
      <c r="D24" s="4">
        <v>1</v>
      </c>
      <c r="E24" s="11">
        <f t="shared" si="0"/>
        <v>1.1992916894445718E-2</v>
      </c>
      <c r="F24" s="2"/>
      <c r="G24" s="3">
        <v>68.778999999999996</v>
      </c>
      <c r="H24" s="3">
        <v>159</v>
      </c>
      <c r="I24" s="3">
        <v>6077.3576999999996</v>
      </c>
      <c r="J24" s="4">
        <v>1</v>
      </c>
      <c r="K24" s="11">
        <f t="shared" si="1"/>
        <v>2.6162685800113428E-2</v>
      </c>
      <c r="N24" s="6">
        <v>68.772199999999998</v>
      </c>
      <c r="O24" s="6">
        <v>14</v>
      </c>
      <c r="P24" s="6">
        <v>4773.5540000000001</v>
      </c>
      <c r="Q24" s="7">
        <v>1</v>
      </c>
      <c r="R24" s="12">
        <f t="shared" si="2"/>
        <v>2.9328253121259336E-3</v>
      </c>
      <c r="S24" s="5"/>
      <c r="T24" s="6">
        <v>68.772000000000006</v>
      </c>
      <c r="U24" s="6">
        <v>4</v>
      </c>
      <c r="V24" s="6">
        <v>3969.7903999999999</v>
      </c>
      <c r="W24" s="7">
        <v>1</v>
      </c>
      <c r="X24" s="12">
        <f t="shared" si="3"/>
        <v>1.0076098728033602E-3</v>
      </c>
      <c r="AA24" s="9">
        <v>68.777100000000004</v>
      </c>
      <c r="AB24" s="9">
        <v>147</v>
      </c>
      <c r="AC24" s="9">
        <v>5563.4241000000002</v>
      </c>
      <c r="AD24" s="10">
        <v>1</v>
      </c>
      <c r="AE24" s="13">
        <f t="shared" si="4"/>
        <v>2.6422576700561081E-2</v>
      </c>
      <c r="AF24" s="8"/>
      <c r="AG24" s="9">
        <v>68.774600000000007</v>
      </c>
      <c r="AH24" s="9">
        <v>39</v>
      </c>
      <c r="AI24" s="9">
        <v>3441.5354000000002</v>
      </c>
      <c r="AJ24" s="10">
        <v>1</v>
      </c>
      <c r="AK24" s="13">
        <f t="shared" si="5"/>
        <v>1.1332151341520415E-2</v>
      </c>
    </row>
    <row r="25" spans="1:37" x14ac:dyDescent="0.4">
      <c r="A25" s="3">
        <v>68.788899999999998</v>
      </c>
      <c r="B25" s="3">
        <v>79</v>
      </c>
      <c r="C25" s="3">
        <v>6750.6496999999999</v>
      </c>
      <c r="D25" s="4">
        <v>1</v>
      </c>
      <c r="E25" s="11">
        <f t="shared" si="0"/>
        <v>1.1702577308966277E-2</v>
      </c>
      <c r="F25" s="2"/>
      <c r="G25" s="3">
        <v>68.789000000000001</v>
      </c>
      <c r="H25" s="3">
        <v>176</v>
      </c>
      <c r="I25" s="3">
        <v>6076.4670999999998</v>
      </c>
      <c r="J25" s="4">
        <v>1</v>
      </c>
      <c r="K25" s="11">
        <f t="shared" si="1"/>
        <v>2.896419862126794E-2</v>
      </c>
      <c r="N25" s="6">
        <v>68.782200000000003</v>
      </c>
      <c r="O25" s="6">
        <v>7</v>
      </c>
      <c r="P25" s="6">
        <v>4770.2709999999997</v>
      </c>
      <c r="Q25" s="7">
        <v>1</v>
      </c>
      <c r="R25" s="12">
        <f t="shared" si="2"/>
        <v>1.4674218718391471E-3</v>
      </c>
      <c r="S25" s="5"/>
      <c r="T25" s="6">
        <v>68.781999999999996</v>
      </c>
      <c r="U25" s="6">
        <v>3</v>
      </c>
      <c r="V25" s="6">
        <v>3970.3966999999998</v>
      </c>
      <c r="W25" s="7">
        <v>1</v>
      </c>
      <c r="X25" s="12">
        <f t="shared" si="3"/>
        <v>7.5559200419444235E-4</v>
      </c>
      <c r="AA25" s="9">
        <v>68.787099999999995</v>
      </c>
      <c r="AB25" s="9">
        <v>163</v>
      </c>
      <c r="AC25" s="9">
        <v>5558.5523999999996</v>
      </c>
      <c r="AD25" s="10">
        <v>1</v>
      </c>
      <c r="AE25" s="13">
        <f t="shared" si="4"/>
        <v>2.932418159807219E-2</v>
      </c>
      <c r="AF25" s="8"/>
      <c r="AG25" s="9">
        <v>68.784599999999998</v>
      </c>
      <c r="AH25" s="9">
        <v>50</v>
      </c>
      <c r="AI25" s="9">
        <v>3442.2975000000001</v>
      </c>
      <c r="AJ25" s="10">
        <v>1</v>
      </c>
      <c r="AK25" s="13">
        <f t="shared" si="5"/>
        <v>1.4525182672328583E-2</v>
      </c>
    </row>
    <row r="26" spans="1:37" x14ac:dyDescent="0.4">
      <c r="A26" s="3">
        <v>68.798900000000003</v>
      </c>
      <c r="B26" s="3">
        <v>74</v>
      </c>
      <c r="C26" s="3">
        <v>6748.7956999999997</v>
      </c>
      <c r="D26" s="4">
        <v>1</v>
      </c>
      <c r="E26" s="11">
        <f t="shared" si="0"/>
        <v>1.0964919267003445E-2</v>
      </c>
      <c r="F26" s="2"/>
      <c r="G26" s="3">
        <v>68.799000000000007</v>
      </c>
      <c r="H26" s="3">
        <v>165</v>
      </c>
      <c r="I26" s="3">
        <v>6076.5519999999997</v>
      </c>
      <c r="J26" s="4">
        <v>1</v>
      </c>
      <c r="K26" s="11">
        <f t="shared" si="1"/>
        <v>2.7153556819722764E-2</v>
      </c>
      <c r="N26" s="6">
        <v>68.792199999999994</v>
      </c>
      <c r="O26" s="6">
        <v>10</v>
      </c>
      <c r="P26" s="6">
        <v>4767.9888000000001</v>
      </c>
      <c r="Q26" s="7">
        <v>1</v>
      </c>
      <c r="R26" s="12">
        <f t="shared" si="2"/>
        <v>2.0973203628330672E-3</v>
      </c>
      <c r="S26" s="5"/>
      <c r="T26" s="6">
        <v>68.792000000000002</v>
      </c>
      <c r="U26" s="6">
        <v>6</v>
      </c>
      <c r="V26" s="6">
        <v>3969.127</v>
      </c>
      <c r="W26" s="7">
        <v>1</v>
      </c>
      <c r="X26" s="12">
        <f t="shared" si="3"/>
        <v>1.5116674271193641E-3</v>
      </c>
      <c r="AA26" s="9">
        <v>68.7971</v>
      </c>
      <c r="AB26" s="9">
        <v>174</v>
      </c>
      <c r="AC26" s="9">
        <v>5557.1408000000001</v>
      </c>
      <c r="AD26" s="10">
        <v>1</v>
      </c>
      <c r="AE26" s="13">
        <f t="shared" si="4"/>
        <v>3.1311065575304477E-2</v>
      </c>
      <c r="AF26" s="8"/>
      <c r="AG26" s="9">
        <v>68.794600000000003</v>
      </c>
      <c r="AH26" s="9">
        <v>66</v>
      </c>
      <c r="AI26" s="9">
        <v>3442.1288</v>
      </c>
      <c r="AJ26" s="10">
        <v>1</v>
      </c>
      <c r="AK26" s="13">
        <f t="shared" si="5"/>
        <v>1.9174180815081644E-2</v>
      </c>
    </row>
    <row r="27" spans="1:37" x14ac:dyDescent="0.4">
      <c r="A27" s="3">
        <v>68.808899999999994</v>
      </c>
      <c r="B27" s="3">
        <v>92</v>
      </c>
      <c r="C27" s="3">
        <v>6746.6130999999996</v>
      </c>
      <c r="D27" s="4">
        <v>1</v>
      </c>
      <c r="E27" s="11">
        <f t="shared" si="0"/>
        <v>1.3636471906177635E-2</v>
      </c>
      <c r="F27" s="2"/>
      <c r="G27" s="3">
        <v>68.808999999999997</v>
      </c>
      <c r="H27" s="3">
        <v>179</v>
      </c>
      <c r="I27" s="3">
        <v>6076.9780000000001</v>
      </c>
      <c r="J27" s="4">
        <v>1</v>
      </c>
      <c r="K27" s="11">
        <f t="shared" si="1"/>
        <v>2.9455429985101148E-2</v>
      </c>
      <c r="N27" s="6">
        <v>68.802199999999999</v>
      </c>
      <c r="O27" s="6">
        <v>10</v>
      </c>
      <c r="P27" s="6">
        <v>4766.5257000000001</v>
      </c>
      <c r="Q27" s="7">
        <v>1</v>
      </c>
      <c r="R27" s="12">
        <f t="shared" si="2"/>
        <v>2.0979641418906016E-3</v>
      </c>
      <c r="S27" s="5"/>
      <c r="T27" s="6">
        <v>68.802000000000007</v>
      </c>
      <c r="U27" s="6">
        <v>12</v>
      </c>
      <c r="V27" s="6">
        <v>3969.252</v>
      </c>
      <c r="W27" s="7">
        <v>1</v>
      </c>
      <c r="X27" s="12">
        <f t="shared" si="3"/>
        <v>3.0232396431367926E-3</v>
      </c>
      <c r="AA27" s="9">
        <v>68.807100000000005</v>
      </c>
      <c r="AB27" s="9">
        <v>186</v>
      </c>
      <c r="AC27" s="9">
        <v>5557.6553999999996</v>
      </c>
      <c r="AD27" s="10">
        <v>1</v>
      </c>
      <c r="AE27" s="13">
        <f t="shared" si="4"/>
        <v>3.3467350278680467E-2</v>
      </c>
      <c r="AF27" s="8"/>
      <c r="AG27" s="9">
        <v>68.804599999999994</v>
      </c>
      <c r="AH27" s="9">
        <v>43</v>
      </c>
      <c r="AI27" s="9">
        <v>3439.1415999999999</v>
      </c>
      <c r="AJ27" s="10">
        <v>1</v>
      </c>
      <c r="AK27" s="13">
        <f t="shared" si="5"/>
        <v>1.2503119964586511E-2</v>
      </c>
    </row>
    <row r="28" spans="1:37" x14ac:dyDescent="0.4">
      <c r="A28" s="3">
        <v>68.818899999999999</v>
      </c>
      <c r="B28" s="3">
        <v>83</v>
      </c>
      <c r="C28" s="3">
        <v>6746.0384999999997</v>
      </c>
      <c r="D28" s="4">
        <v>1</v>
      </c>
      <c r="E28" s="11">
        <f t="shared" si="0"/>
        <v>1.2303517093772887E-2</v>
      </c>
      <c r="F28" s="2"/>
      <c r="G28" s="3">
        <v>68.819000000000003</v>
      </c>
      <c r="H28" s="3">
        <v>187</v>
      </c>
      <c r="I28" s="3">
        <v>6075.7183999999997</v>
      </c>
      <c r="J28" s="4">
        <v>1</v>
      </c>
      <c r="K28" s="11">
        <f t="shared" si="1"/>
        <v>3.0778253317336104E-2</v>
      </c>
      <c r="N28" s="6">
        <v>68.812200000000004</v>
      </c>
      <c r="O28" s="6">
        <v>10</v>
      </c>
      <c r="P28" s="6">
        <v>4762.8020999999999</v>
      </c>
      <c r="Q28" s="7">
        <v>1</v>
      </c>
      <c r="R28" s="12">
        <f t="shared" si="2"/>
        <v>2.0996043484569726E-3</v>
      </c>
      <c r="S28" s="5"/>
      <c r="T28" s="6">
        <v>68.811999999999998</v>
      </c>
      <c r="U28" s="6">
        <v>6</v>
      </c>
      <c r="V28" s="6">
        <v>3968.9666000000002</v>
      </c>
      <c r="W28" s="7">
        <v>1</v>
      </c>
      <c r="X28" s="12">
        <f t="shared" si="3"/>
        <v>1.5117285189550347E-3</v>
      </c>
      <c r="AA28" s="9">
        <v>68.817099999999996</v>
      </c>
      <c r="AB28" s="9">
        <v>153</v>
      </c>
      <c r="AC28" s="9">
        <v>5556.2646000000004</v>
      </c>
      <c r="AD28" s="10">
        <v>1</v>
      </c>
      <c r="AE28" s="13">
        <f t="shared" si="4"/>
        <v>2.7536485573419235E-2</v>
      </c>
      <c r="AF28" s="8"/>
      <c r="AG28" s="9">
        <v>68.814599999999999</v>
      </c>
      <c r="AH28" s="9">
        <v>48</v>
      </c>
      <c r="AI28" s="9">
        <v>3439.6749</v>
      </c>
      <c r="AJ28" s="10">
        <v>1</v>
      </c>
      <c r="AK28" s="13">
        <f t="shared" si="5"/>
        <v>1.3954807182504371E-2</v>
      </c>
    </row>
    <row r="29" spans="1:37" x14ac:dyDescent="0.4">
      <c r="A29" s="3">
        <v>68.828900000000004</v>
      </c>
      <c r="B29" s="3">
        <v>78</v>
      </c>
      <c r="C29" s="3">
        <v>6743.6184000000003</v>
      </c>
      <c r="D29" s="4">
        <v>1</v>
      </c>
      <c r="E29" s="11">
        <f t="shared" si="0"/>
        <v>1.1566490772965446E-2</v>
      </c>
      <c r="F29" s="2"/>
      <c r="G29" s="3">
        <v>68.828999999999994</v>
      </c>
      <c r="H29" s="3">
        <v>169</v>
      </c>
      <c r="I29" s="3">
        <v>6073.9059999999999</v>
      </c>
      <c r="J29" s="4">
        <v>1</v>
      </c>
      <c r="K29" s="11">
        <f t="shared" si="1"/>
        <v>2.7823940640503822E-2</v>
      </c>
      <c r="N29" s="6">
        <v>68.822199999999995</v>
      </c>
      <c r="O29" s="6">
        <v>5</v>
      </c>
      <c r="P29" s="6">
        <v>4758.7524999999996</v>
      </c>
      <c r="Q29" s="7">
        <v>1</v>
      </c>
      <c r="R29" s="12">
        <f t="shared" si="2"/>
        <v>1.0506955341762364E-3</v>
      </c>
      <c r="S29" s="5"/>
      <c r="T29" s="6">
        <v>68.822000000000003</v>
      </c>
      <c r="U29" s="6">
        <v>11</v>
      </c>
      <c r="V29" s="6">
        <v>3968.0664999999999</v>
      </c>
      <c r="W29" s="7">
        <v>1</v>
      </c>
      <c r="X29" s="12">
        <f t="shared" si="3"/>
        <v>2.7721309610108601E-3</v>
      </c>
      <c r="AA29" s="9">
        <v>68.827100000000002</v>
      </c>
      <c r="AB29" s="9">
        <v>144</v>
      </c>
      <c r="AC29" s="9">
        <v>5560.8040000000001</v>
      </c>
      <c r="AD29" s="10">
        <v>1</v>
      </c>
      <c r="AE29" s="13">
        <f t="shared" si="4"/>
        <v>2.5895535969259122E-2</v>
      </c>
      <c r="AF29" s="8"/>
      <c r="AG29" s="9">
        <v>68.824600000000004</v>
      </c>
      <c r="AH29" s="9">
        <v>51</v>
      </c>
      <c r="AI29" s="9">
        <v>3438.1967</v>
      </c>
      <c r="AJ29" s="10">
        <v>1</v>
      </c>
      <c r="AK29" s="13">
        <f t="shared" si="5"/>
        <v>1.4833357265452556E-2</v>
      </c>
    </row>
    <row r="30" spans="1:37" x14ac:dyDescent="0.4">
      <c r="A30" s="3">
        <v>68.838899999999995</v>
      </c>
      <c r="B30" s="3">
        <v>86</v>
      </c>
      <c r="C30" s="3">
        <v>6739.7847000000002</v>
      </c>
      <c r="D30" s="4">
        <v>1</v>
      </c>
      <c r="E30" s="11">
        <f t="shared" si="0"/>
        <v>1.2760051519153126E-2</v>
      </c>
      <c r="F30" s="2"/>
      <c r="G30" s="3">
        <v>68.838999999999999</v>
      </c>
      <c r="H30" s="3">
        <v>209</v>
      </c>
      <c r="I30" s="3">
        <v>6073.6544000000004</v>
      </c>
      <c r="J30" s="4">
        <v>1</v>
      </c>
      <c r="K30" s="11">
        <f t="shared" si="1"/>
        <v>3.4410914127744906E-2</v>
      </c>
      <c r="N30" s="6">
        <v>68.8322</v>
      </c>
      <c r="O30" s="6">
        <v>7</v>
      </c>
      <c r="P30" s="6">
        <v>4757.5124999999998</v>
      </c>
      <c r="Q30" s="7">
        <v>1</v>
      </c>
      <c r="R30" s="12">
        <f t="shared" si="2"/>
        <v>1.471357143044816E-3</v>
      </c>
      <c r="S30" s="5"/>
      <c r="T30" s="6">
        <v>68.831999999999994</v>
      </c>
      <c r="U30" s="6">
        <v>10</v>
      </c>
      <c r="V30" s="6">
        <v>3968.4267</v>
      </c>
      <c r="W30" s="7">
        <v>1</v>
      </c>
      <c r="X30" s="12">
        <f t="shared" si="3"/>
        <v>2.5198903132064906E-3</v>
      </c>
      <c r="AA30" s="9">
        <v>68.837100000000007</v>
      </c>
      <c r="AB30" s="9">
        <v>155</v>
      </c>
      <c r="AC30" s="9">
        <v>5556.2429000000002</v>
      </c>
      <c r="AD30" s="10">
        <v>1</v>
      </c>
      <c r="AE30" s="13">
        <f t="shared" si="4"/>
        <v>2.7896548583216187E-2</v>
      </c>
      <c r="AF30" s="8"/>
      <c r="AG30" s="9">
        <v>68.834599999999995</v>
      </c>
      <c r="AH30" s="9">
        <v>54</v>
      </c>
      <c r="AI30" s="9">
        <v>3440.3676</v>
      </c>
      <c r="AJ30" s="10">
        <v>1</v>
      </c>
      <c r="AK30" s="13">
        <f t="shared" si="5"/>
        <v>1.5695997137050121E-2</v>
      </c>
    </row>
    <row r="31" spans="1:37" x14ac:dyDescent="0.4">
      <c r="A31" s="3">
        <v>68.8489</v>
      </c>
      <c r="B31" s="3">
        <v>102</v>
      </c>
      <c r="C31" s="3">
        <v>6742.3891999999996</v>
      </c>
      <c r="D31" s="4">
        <v>1</v>
      </c>
      <c r="E31" s="11">
        <f t="shared" si="0"/>
        <v>1.5128168513321659E-2</v>
      </c>
      <c r="F31" s="2"/>
      <c r="G31" s="3">
        <v>68.849000000000004</v>
      </c>
      <c r="H31" s="3">
        <v>188</v>
      </c>
      <c r="I31" s="3">
        <v>6072.4589999999998</v>
      </c>
      <c r="J31" s="4">
        <v>1</v>
      </c>
      <c r="K31" s="11">
        <f t="shared" si="1"/>
        <v>3.095945151708723E-2</v>
      </c>
      <c r="N31" s="6">
        <v>68.842200000000005</v>
      </c>
      <c r="O31" s="6">
        <v>13</v>
      </c>
      <c r="P31" s="6">
        <v>4752.0922</v>
      </c>
      <c r="Q31" s="7">
        <v>1</v>
      </c>
      <c r="R31" s="12">
        <f t="shared" si="2"/>
        <v>2.7356371578817432E-3</v>
      </c>
      <c r="S31" s="5"/>
      <c r="T31" s="6">
        <v>68.841999999999999</v>
      </c>
      <c r="U31" s="6">
        <v>3</v>
      </c>
      <c r="V31" s="6">
        <v>3969.2788</v>
      </c>
      <c r="W31" s="7">
        <v>1</v>
      </c>
      <c r="X31" s="12">
        <f t="shared" si="3"/>
        <v>7.5580480766430415E-4</v>
      </c>
      <c r="AA31" s="9">
        <v>68.847099999999998</v>
      </c>
      <c r="AB31" s="9">
        <v>191</v>
      </c>
      <c r="AC31" s="9">
        <v>5551.9112999999998</v>
      </c>
      <c r="AD31" s="10">
        <v>1</v>
      </c>
      <c r="AE31" s="13">
        <f t="shared" si="4"/>
        <v>3.4402566914208448E-2</v>
      </c>
      <c r="AF31" s="8"/>
      <c r="AG31" s="9">
        <v>68.8446</v>
      </c>
      <c r="AH31" s="9">
        <v>62</v>
      </c>
      <c r="AI31" s="9">
        <v>3438.2586000000001</v>
      </c>
      <c r="AJ31" s="10">
        <v>1</v>
      </c>
      <c r="AK31" s="13">
        <f t="shared" si="5"/>
        <v>1.8032384184249548E-2</v>
      </c>
    </row>
    <row r="32" spans="1:37" x14ac:dyDescent="0.4">
      <c r="A32" s="3">
        <v>68.858900000000006</v>
      </c>
      <c r="B32" s="3">
        <v>105</v>
      </c>
      <c r="C32" s="3">
        <v>6746.1280999999999</v>
      </c>
      <c r="D32" s="4">
        <v>1</v>
      </c>
      <c r="E32" s="11">
        <f t="shared" si="0"/>
        <v>1.5564483573918497E-2</v>
      </c>
      <c r="F32" s="2"/>
      <c r="G32" s="3">
        <v>68.858999999999995</v>
      </c>
      <c r="H32" s="3">
        <v>215</v>
      </c>
      <c r="I32" s="3">
        <v>6072.7295999999997</v>
      </c>
      <c r="J32" s="4">
        <v>1</v>
      </c>
      <c r="K32" s="11">
        <f t="shared" si="1"/>
        <v>3.5404178048698234E-2</v>
      </c>
      <c r="N32" s="6">
        <v>68.852199999999996</v>
      </c>
      <c r="O32" s="6">
        <v>13</v>
      </c>
      <c r="P32" s="6">
        <v>4748.4862000000003</v>
      </c>
      <c r="Q32" s="7">
        <v>1</v>
      </c>
      <c r="R32" s="12">
        <f t="shared" si="2"/>
        <v>2.7377146004973121E-3</v>
      </c>
      <c r="S32" s="5"/>
      <c r="T32" s="6">
        <v>68.852000000000004</v>
      </c>
      <c r="U32" s="6">
        <v>6</v>
      </c>
      <c r="V32" s="6">
        <v>3968.3168999999998</v>
      </c>
      <c r="W32" s="7">
        <v>1</v>
      </c>
      <c r="X32" s="12">
        <f t="shared" si="3"/>
        <v>1.5119760218746644E-3</v>
      </c>
      <c r="AA32" s="9">
        <v>68.857100000000003</v>
      </c>
      <c r="AB32" s="9">
        <v>186</v>
      </c>
      <c r="AC32" s="9">
        <v>5548.0686999999998</v>
      </c>
      <c r="AD32" s="10">
        <v>1</v>
      </c>
      <c r="AE32" s="13">
        <f t="shared" si="4"/>
        <v>3.3525179671982076E-2</v>
      </c>
      <c r="AF32" s="8"/>
      <c r="AG32" s="9">
        <v>68.854600000000005</v>
      </c>
      <c r="AH32" s="9">
        <v>46</v>
      </c>
      <c r="AI32" s="9">
        <v>3438.4614000000001</v>
      </c>
      <c r="AJ32" s="10">
        <v>1</v>
      </c>
      <c r="AK32" s="13">
        <f t="shared" si="5"/>
        <v>1.3378076601354314E-2</v>
      </c>
    </row>
    <row r="33" spans="1:37" x14ac:dyDescent="0.4">
      <c r="A33" s="3">
        <v>68.868899999999996</v>
      </c>
      <c r="B33" s="3">
        <v>106</v>
      </c>
      <c r="C33" s="3">
        <v>6746.8958000000002</v>
      </c>
      <c r="D33" s="4">
        <v>1</v>
      </c>
      <c r="E33" s="11">
        <f t="shared" si="0"/>
        <v>1.5710928868947406E-2</v>
      </c>
      <c r="F33" s="2"/>
      <c r="G33" s="3">
        <v>68.869</v>
      </c>
      <c r="H33" s="3">
        <v>210</v>
      </c>
      <c r="I33" s="3">
        <v>6073.5990000000002</v>
      </c>
      <c r="J33" s="4">
        <v>1</v>
      </c>
      <c r="K33" s="11">
        <f t="shared" si="1"/>
        <v>3.4575875028957294E-2</v>
      </c>
      <c r="N33" s="6">
        <v>68.862200000000001</v>
      </c>
      <c r="O33" s="6">
        <v>24</v>
      </c>
      <c r="P33" s="6">
        <v>4747.1378999999997</v>
      </c>
      <c r="Q33" s="7">
        <v>1</v>
      </c>
      <c r="R33" s="12">
        <f t="shared" si="2"/>
        <v>5.0556778643401114E-3</v>
      </c>
      <c r="S33" s="5"/>
      <c r="T33" s="6">
        <v>68.861999999999995</v>
      </c>
      <c r="U33" s="6">
        <v>7</v>
      </c>
      <c r="V33" s="6">
        <v>3967.5288</v>
      </c>
      <c r="W33" s="7">
        <v>1</v>
      </c>
      <c r="X33" s="12">
        <f t="shared" si="3"/>
        <v>1.7643224165127672E-3</v>
      </c>
      <c r="AA33" s="9">
        <v>68.867099999999994</v>
      </c>
      <c r="AB33" s="9">
        <v>169</v>
      </c>
      <c r="AC33" s="9">
        <v>5542.8179</v>
      </c>
      <c r="AD33" s="10">
        <v>1</v>
      </c>
      <c r="AE33" s="13">
        <f t="shared" si="4"/>
        <v>3.048990658704483E-2</v>
      </c>
      <c r="AF33" s="8"/>
      <c r="AG33" s="9">
        <v>68.864599999999996</v>
      </c>
      <c r="AH33" s="9">
        <v>54</v>
      </c>
      <c r="AI33" s="9">
        <v>3436.8105999999998</v>
      </c>
      <c r="AJ33" s="10">
        <v>1</v>
      </c>
      <c r="AK33" s="13">
        <f t="shared" si="5"/>
        <v>1.5712242042084018E-2</v>
      </c>
    </row>
    <row r="34" spans="1:37" x14ac:dyDescent="0.4">
      <c r="A34" s="3">
        <v>68.878900000000002</v>
      </c>
      <c r="B34" s="3">
        <v>123</v>
      </c>
      <c r="C34" s="3">
        <v>6747.3063000000002</v>
      </c>
      <c r="D34" s="4">
        <v>1</v>
      </c>
      <c r="E34" s="11">
        <f t="shared" si="0"/>
        <v>1.8229497006827747E-2</v>
      </c>
      <c r="F34" s="2"/>
      <c r="G34" s="3">
        <v>68.879000000000005</v>
      </c>
      <c r="H34" s="3">
        <v>256</v>
      </c>
      <c r="I34" s="3">
        <v>6072.2741999999998</v>
      </c>
      <c r="J34" s="4">
        <v>1</v>
      </c>
      <c r="K34" s="11">
        <f t="shared" si="1"/>
        <v>4.2158833999953425E-2</v>
      </c>
      <c r="N34" s="6">
        <v>68.872200000000007</v>
      </c>
      <c r="O34" s="6">
        <v>15</v>
      </c>
      <c r="P34" s="6">
        <v>4748.3063000000002</v>
      </c>
      <c r="Q34" s="7">
        <v>1</v>
      </c>
      <c r="R34" s="12">
        <f t="shared" si="2"/>
        <v>3.1590211440235016E-3</v>
      </c>
      <c r="S34" s="5"/>
      <c r="T34" s="6">
        <v>68.872</v>
      </c>
      <c r="U34" s="6">
        <v>10</v>
      </c>
      <c r="V34" s="6">
        <v>3965.9029</v>
      </c>
      <c r="W34" s="7">
        <v>1</v>
      </c>
      <c r="X34" s="12">
        <f t="shared" si="3"/>
        <v>2.5214939074781687E-3</v>
      </c>
      <c r="AA34" s="9">
        <v>68.877099999999999</v>
      </c>
      <c r="AB34" s="9">
        <v>206</v>
      </c>
      <c r="AC34" s="9">
        <v>5541.3793999999998</v>
      </c>
      <c r="AD34" s="10">
        <v>1</v>
      </c>
      <c r="AE34" s="13">
        <f t="shared" si="4"/>
        <v>3.7174859386094376E-2</v>
      </c>
      <c r="AF34" s="8"/>
      <c r="AG34" s="9">
        <v>68.874600000000001</v>
      </c>
      <c r="AH34" s="9">
        <v>79</v>
      </c>
      <c r="AI34" s="9">
        <v>3436.076</v>
      </c>
      <c r="AJ34" s="10">
        <v>1</v>
      </c>
      <c r="AK34" s="13">
        <f t="shared" si="5"/>
        <v>2.2991342449934168E-2</v>
      </c>
    </row>
    <row r="35" spans="1:37" x14ac:dyDescent="0.4">
      <c r="A35" s="3">
        <v>68.888900000000007</v>
      </c>
      <c r="B35" s="3">
        <v>131</v>
      </c>
      <c r="C35" s="3">
        <v>6748.8910999999998</v>
      </c>
      <c r="D35" s="4">
        <v>1</v>
      </c>
      <c r="E35" s="11">
        <f t="shared" si="0"/>
        <v>1.9410596208909045E-2</v>
      </c>
      <c r="F35" s="2"/>
      <c r="G35" s="3">
        <v>68.888999999999996</v>
      </c>
      <c r="H35" s="3">
        <v>261</v>
      </c>
      <c r="I35" s="3">
        <v>6071.0856000000003</v>
      </c>
      <c r="J35" s="4">
        <v>1</v>
      </c>
      <c r="K35" s="11">
        <f t="shared" si="1"/>
        <v>4.2990663811427729E-2</v>
      </c>
      <c r="N35" s="6">
        <v>68.882199999999997</v>
      </c>
      <c r="O35" s="6">
        <v>16</v>
      </c>
      <c r="P35" s="6">
        <v>4747.8388000000004</v>
      </c>
      <c r="Q35" s="7">
        <v>1</v>
      </c>
      <c r="R35" s="12">
        <f t="shared" si="2"/>
        <v>3.3699543463859808E-3</v>
      </c>
      <c r="S35" s="5"/>
      <c r="T35" s="6">
        <v>68.882000000000005</v>
      </c>
      <c r="U35" s="6">
        <v>7</v>
      </c>
      <c r="V35" s="6">
        <v>3966.7653</v>
      </c>
      <c r="W35" s="7">
        <v>1</v>
      </c>
      <c r="X35" s="12">
        <f t="shared" si="3"/>
        <v>1.7646620030683439E-3</v>
      </c>
      <c r="AA35" s="9">
        <v>68.887100000000004</v>
      </c>
      <c r="AB35" s="9">
        <v>207</v>
      </c>
      <c r="AC35" s="9">
        <v>5541.0012999999999</v>
      </c>
      <c r="AD35" s="10">
        <v>1</v>
      </c>
      <c r="AE35" s="13">
        <f t="shared" si="4"/>
        <v>3.7357868874710425E-2</v>
      </c>
      <c r="AF35" s="8"/>
      <c r="AG35" s="9">
        <v>68.884600000000006</v>
      </c>
      <c r="AH35" s="9">
        <v>57</v>
      </c>
      <c r="AI35" s="9">
        <v>3435.2458999999999</v>
      </c>
      <c r="AJ35" s="10">
        <v>1</v>
      </c>
      <c r="AK35" s="13">
        <f t="shared" si="5"/>
        <v>1.6592698647860987E-2</v>
      </c>
    </row>
    <row r="36" spans="1:37" x14ac:dyDescent="0.4">
      <c r="A36" s="3">
        <v>68.898899999999998</v>
      </c>
      <c r="B36" s="3">
        <v>138</v>
      </c>
      <c r="C36" s="3">
        <v>6745.5887000000002</v>
      </c>
      <c r="D36" s="4">
        <v>1</v>
      </c>
      <c r="E36" s="11">
        <f t="shared" si="0"/>
        <v>2.0457814156383414E-2</v>
      </c>
      <c r="F36" s="2"/>
      <c r="G36" s="3">
        <v>68.899000000000001</v>
      </c>
      <c r="H36" s="3">
        <v>233</v>
      </c>
      <c r="I36" s="3">
        <v>6069.1563999999998</v>
      </c>
      <c r="J36" s="4">
        <v>1</v>
      </c>
      <c r="K36" s="11">
        <f t="shared" si="1"/>
        <v>3.8390837975439226E-2</v>
      </c>
      <c r="N36" s="6">
        <v>68.892200000000003</v>
      </c>
      <c r="O36" s="6">
        <v>12</v>
      </c>
      <c r="P36" s="6">
        <v>4746.6534000000001</v>
      </c>
      <c r="Q36" s="7">
        <v>1</v>
      </c>
      <c r="R36" s="12">
        <f t="shared" si="2"/>
        <v>2.5280969535294066E-3</v>
      </c>
      <c r="S36" s="5"/>
      <c r="T36" s="6">
        <v>68.891999999999996</v>
      </c>
      <c r="U36" s="6">
        <v>16</v>
      </c>
      <c r="V36" s="6">
        <v>3967.0679</v>
      </c>
      <c r="W36" s="7">
        <v>1</v>
      </c>
      <c r="X36" s="12">
        <f t="shared" si="3"/>
        <v>4.0332054815598187E-3</v>
      </c>
      <c r="AA36" s="9">
        <v>68.897099999999995</v>
      </c>
      <c r="AB36" s="9">
        <v>236</v>
      </c>
      <c r="AC36" s="9">
        <v>5539.7690000000002</v>
      </c>
      <c r="AD36" s="10">
        <v>1</v>
      </c>
      <c r="AE36" s="13">
        <f t="shared" si="4"/>
        <v>4.2601054303888844E-2</v>
      </c>
      <c r="AF36" s="8"/>
      <c r="AG36" s="9">
        <v>68.894599999999997</v>
      </c>
      <c r="AH36" s="9">
        <v>75</v>
      </c>
      <c r="AI36" s="9">
        <v>3435.3395999999998</v>
      </c>
      <c r="AJ36" s="10">
        <v>1</v>
      </c>
      <c r="AK36" s="13">
        <f t="shared" si="5"/>
        <v>2.1831902732411087E-2</v>
      </c>
    </row>
    <row r="37" spans="1:37" x14ac:dyDescent="0.4">
      <c r="A37" s="3">
        <v>68.908900000000003</v>
      </c>
      <c r="B37" s="3">
        <v>121</v>
      </c>
      <c r="C37" s="3">
        <v>6743.4043000000001</v>
      </c>
      <c r="D37" s="4">
        <v>1</v>
      </c>
      <c r="E37" s="11">
        <f t="shared" si="0"/>
        <v>1.7943459210950766E-2</v>
      </c>
      <c r="F37" s="2"/>
      <c r="G37" s="3">
        <v>68.909000000000006</v>
      </c>
      <c r="H37" s="3">
        <v>272</v>
      </c>
      <c r="I37" s="3">
        <v>6070.5550999999996</v>
      </c>
      <c r="J37" s="4">
        <v>1</v>
      </c>
      <c r="K37" s="11">
        <f t="shared" si="1"/>
        <v>4.4806446118905996E-2</v>
      </c>
      <c r="N37" s="6">
        <v>68.902199999999993</v>
      </c>
      <c r="O37" s="6">
        <v>12</v>
      </c>
      <c r="P37" s="6">
        <v>4747.8181000000004</v>
      </c>
      <c r="Q37" s="7">
        <v>1</v>
      </c>
      <c r="R37" s="12">
        <f t="shared" si="2"/>
        <v>2.527476779280992E-3</v>
      </c>
      <c r="S37" s="5"/>
      <c r="T37" s="6">
        <v>68.902000000000001</v>
      </c>
      <c r="U37" s="6">
        <v>7</v>
      </c>
      <c r="V37" s="6">
        <v>3966.9571999999998</v>
      </c>
      <c r="W37" s="7">
        <v>1</v>
      </c>
      <c r="X37" s="12">
        <f t="shared" si="3"/>
        <v>1.7645766382354718E-3</v>
      </c>
      <c r="AA37" s="9">
        <v>68.9071</v>
      </c>
      <c r="AB37" s="9">
        <v>205</v>
      </c>
      <c r="AC37" s="9">
        <v>5540.0941999999995</v>
      </c>
      <c r="AD37" s="10">
        <v>1</v>
      </c>
      <c r="AE37" s="13">
        <f t="shared" si="4"/>
        <v>3.7002980924042778E-2</v>
      </c>
      <c r="AF37" s="8"/>
      <c r="AG37" s="9">
        <v>68.904600000000002</v>
      </c>
      <c r="AH37" s="9">
        <v>74</v>
      </c>
      <c r="AI37" s="9">
        <v>3434.8361</v>
      </c>
      <c r="AJ37" s="10">
        <v>1</v>
      </c>
      <c r="AK37" s="13">
        <f t="shared" si="5"/>
        <v>2.1543968284250883E-2</v>
      </c>
    </row>
    <row r="38" spans="1:37" x14ac:dyDescent="0.4">
      <c r="A38" s="3">
        <v>68.918899999999994</v>
      </c>
      <c r="B38" s="3">
        <v>155</v>
      </c>
      <c r="C38" s="3">
        <v>6742.8793999999998</v>
      </c>
      <c r="D38" s="4">
        <v>1</v>
      </c>
      <c r="E38" s="11">
        <f t="shared" si="0"/>
        <v>2.298721225831208E-2</v>
      </c>
      <c r="F38" s="2"/>
      <c r="G38" s="3">
        <v>68.918999999999997</v>
      </c>
      <c r="H38" s="3">
        <v>255</v>
      </c>
      <c r="I38" s="3">
        <v>6068.6207999999997</v>
      </c>
      <c r="J38" s="4">
        <v>1</v>
      </c>
      <c r="K38" s="11">
        <f t="shared" si="1"/>
        <v>4.2019432158292049E-2</v>
      </c>
      <c r="N38" s="6">
        <v>68.912199999999999</v>
      </c>
      <c r="O38" s="6">
        <v>17</v>
      </c>
      <c r="P38" s="6">
        <v>4752.7939999999999</v>
      </c>
      <c r="Q38" s="7">
        <v>1</v>
      </c>
      <c r="R38" s="12">
        <f t="shared" si="2"/>
        <v>3.5768434314636822E-3</v>
      </c>
      <c r="S38" s="5"/>
      <c r="T38" s="6">
        <v>68.912000000000006</v>
      </c>
      <c r="U38" s="6">
        <v>12</v>
      </c>
      <c r="V38" s="6">
        <v>3967.1430999999998</v>
      </c>
      <c r="W38" s="7">
        <v>1</v>
      </c>
      <c r="X38" s="12">
        <f t="shared" si="3"/>
        <v>3.0248467719755307E-3</v>
      </c>
      <c r="AA38" s="9">
        <v>68.917100000000005</v>
      </c>
      <c r="AB38" s="9">
        <v>201</v>
      </c>
      <c r="AC38" s="9">
        <v>5540.8208000000004</v>
      </c>
      <c r="AD38" s="10">
        <v>1</v>
      </c>
      <c r="AE38" s="13">
        <f t="shared" si="4"/>
        <v>3.627621380572351E-2</v>
      </c>
      <c r="AF38" s="8"/>
      <c r="AG38" s="9">
        <v>68.914599999999993</v>
      </c>
      <c r="AH38" s="9">
        <v>77</v>
      </c>
      <c r="AI38" s="9">
        <v>3433.9061000000002</v>
      </c>
      <c r="AJ38" s="10">
        <v>1</v>
      </c>
      <c r="AK38" s="13">
        <f t="shared" si="5"/>
        <v>2.2423443669586655E-2</v>
      </c>
    </row>
    <row r="39" spans="1:37" x14ac:dyDescent="0.4">
      <c r="A39" s="3">
        <v>68.928899999999999</v>
      </c>
      <c r="B39" s="3">
        <v>163</v>
      </c>
      <c r="C39" s="3">
        <v>6743.6756999999998</v>
      </c>
      <c r="D39" s="4">
        <v>1</v>
      </c>
      <c r="E39" s="11">
        <f t="shared" si="0"/>
        <v>2.417079457127513E-2</v>
      </c>
      <c r="F39" s="2"/>
      <c r="G39" s="3">
        <v>68.929000000000002</v>
      </c>
      <c r="H39" s="3">
        <v>259</v>
      </c>
      <c r="I39" s="3">
        <v>6069.1149999999998</v>
      </c>
      <c r="J39" s="4">
        <v>1</v>
      </c>
      <c r="K39" s="11">
        <f t="shared" si="1"/>
        <v>4.2675085247190075E-2</v>
      </c>
      <c r="N39" s="6">
        <v>68.922200000000004</v>
      </c>
      <c r="O39" s="6">
        <v>28</v>
      </c>
      <c r="P39" s="6">
        <v>4754.4272000000001</v>
      </c>
      <c r="Q39" s="7">
        <v>1</v>
      </c>
      <c r="R39" s="12">
        <f t="shared" si="2"/>
        <v>5.8892478151731922E-3</v>
      </c>
      <c r="S39" s="5"/>
      <c r="T39" s="6">
        <v>68.921999999999997</v>
      </c>
      <c r="U39" s="6">
        <v>12</v>
      </c>
      <c r="V39" s="6">
        <v>3968.1772999999998</v>
      </c>
      <c r="W39" s="7">
        <v>1</v>
      </c>
      <c r="X39" s="12">
        <f t="shared" si="3"/>
        <v>3.0240584260184142E-3</v>
      </c>
      <c r="AA39" s="9">
        <v>68.927099999999996</v>
      </c>
      <c r="AB39" s="9">
        <v>212</v>
      </c>
      <c r="AC39" s="9">
        <v>5541.7995000000001</v>
      </c>
      <c r="AD39" s="10">
        <v>1</v>
      </c>
      <c r="AE39" s="13">
        <f t="shared" si="4"/>
        <v>3.8254722134931078E-2</v>
      </c>
      <c r="AF39" s="8"/>
      <c r="AG39" s="9">
        <v>68.924599999999998</v>
      </c>
      <c r="AH39" s="9">
        <v>77</v>
      </c>
      <c r="AI39" s="9">
        <v>3434.0947999999999</v>
      </c>
      <c r="AJ39" s="10">
        <v>1</v>
      </c>
      <c r="AK39" s="13">
        <f t="shared" si="5"/>
        <v>2.2422211524271259E-2</v>
      </c>
    </row>
    <row r="40" spans="1:37" x14ac:dyDescent="0.4">
      <c r="A40" s="3">
        <v>68.938900000000004</v>
      </c>
      <c r="B40" s="3">
        <v>191</v>
      </c>
      <c r="C40" s="3">
        <v>6744.2345999999998</v>
      </c>
      <c r="D40" s="4">
        <v>1</v>
      </c>
      <c r="E40" s="11">
        <f t="shared" si="0"/>
        <v>2.832048576720626E-2</v>
      </c>
      <c r="F40" s="2"/>
      <c r="G40" s="3">
        <v>68.938999999999993</v>
      </c>
      <c r="H40" s="3">
        <v>309</v>
      </c>
      <c r="I40" s="3">
        <v>6066.3267999999998</v>
      </c>
      <c r="J40" s="4">
        <v>1</v>
      </c>
      <c r="K40" s="11">
        <f t="shared" si="1"/>
        <v>5.0936919521051852E-2</v>
      </c>
      <c r="N40" s="6">
        <v>68.932199999999995</v>
      </c>
      <c r="O40" s="6">
        <v>27</v>
      </c>
      <c r="P40" s="6">
        <v>4758.3622999999998</v>
      </c>
      <c r="Q40" s="7">
        <v>1</v>
      </c>
      <c r="R40" s="12">
        <f t="shared" si="2"/>
        <v>5.674221149574929E-3</v>
      </c>
      <c r="S40" s="5"/>
      <c r="T40" s="6">
        <v>68.932000000000002</v>
      </c>
      <c r="U40" s="6">
        <v>11</v>
      </c>
      <c r="V40" s="6">
        <v>3967.3690999999999</v>
      </c>
      <c r="W40" s="7">
        <v>1</v>
      </c>
      <c r="X40" s="12">
        <f t="shared" si="3"/>
        <v>2.7726182572728108E-3</v>
      </c>
      <c r="AA40" s="9">
        <v>68.937100000000001</v>
      </c>
      <c r="AB40" s="9">
        <v>221</v>
      </c>
      <c r="AC40" s="9">
        <v>5538.7066000000004</v>
      </c>
      <c r="AD40" s="10">
        <v>1</v>
      </c>
      <c r="AE40" s="13">
        <f t="shared" si="4"/>
        <v>3.9901012268821028E-2</v>
      </c>
      <c r="AF40" s="8"/>
      <c r="AG40" s="9">
        <v>68.934600000000003</v>
      </c>
      <c r="AH40" s="9">
        <v>64</v>
      </c>
      <c r="AI40" s="9">
        <v>3432.1421</v>
      </c>
      <c r="AJ40" s="10">
        <v>1</v>
      </c>
      <c r="AK40" s="13">
        <f t="shared" si="5"/>
        <v>1.8647246569423803E-2</v>
      </c>
    </row>
    <row r="41" spans="1:37" x14ac:dyDescent="0.4">
      <c r="A41" s="3">
        <v>68.948899999999995</v>
      </c>
      <c r="B41" s="3">
        <v>177</v>
      </c>
      <c r="C41" s="3">
        <v>6740.1693999999998</v>
      </c>
      <c r="D41" s="4">
        <v>1</v>
      </c>
      <c r="E41" s="11">
        <f t="shared" si="0"/>
        <v>2.6260467578159089E-2</v>
      </c>
      <c r="F41" s="2"/>
      <c r="G41" s="3">
        <v>68.948999999999998</v>
      </c>
      <c r="H41" s="3">
        <v>285</v>
      </c>
      <c r="I41" s="3">
        <v>6065.3676999999998</v>
      </c>
      <c r="J41" s="4">
        <v>1</v>
      </c>
      <c r="K41" s="11">
        <f t="shared" si="1"/>
        <v>4.6988082849453633E-2</v>
      </c>
      <c r="N41" s="6">
        <v>68.9422</v>
      </c>
      <c r="O41" s="6">
        <v>28</v>
      </c>
      <c r="P41" s="6">
        <v>4759.2844999999998</v>
      </c>
      <c r="Q41" s="7">
        <v>1</v>
      </c>
      <c r="R41" s="12">
        <f t="shared" si="2"/>
        <v>5.8832372807299084E-3</v>
      </c>
      <c r="S41" s="5"/>
      <c r="T41" s="6">
        <v>68.941999999999993</v>
      </c>
      <c r="U41" s="6">
        <v>18</v>
      </c>
      <c r="V41" s="6">
        <v>3968.2116000000001</v>
      </c>
      <c r="W41" s="7">
        <v>1</v>
      </c>
      <c r="X41" s="12">
        <f t="shared" si="3"/>
        <v>4.5360484304818828E-3</v>
      </c>
      <c r="AA41" s="9">
        <v>68.947100000000006</v>
      </c>
      <c r="AB41" s="9">
        <v>232</v>
      </c>
      <c r="AC41" s="9">
        <v>5539.2861000000003</v>
      </c>
      <c r="AD41" s="10">
        <v>1</v>
      </c>
      <c r="AE41" s="13">
        <f t="shared" si="4"/>
        <v>4.1882653434347793E-2</v>
      </c>
      <c r="AF41" s="8"/>
      <c r="AG41" s="9">
        <v>68.944599999999994</v>
      </c>
      <c r="AH41" s="9">
        <v>71</v>
      </c>
      <c r="AI41" s="9">
        <v>3431.2862</v>
      </c>
      <c r="AJ41" s="10">
        <v>1</v>
      </c>
      <c r="AK41" s="13">
        <f t="shared" si="5"/>
        <v>2.0691949275464111E-2</v>
      </c>
    </row>
    <row r="42" spans="1:37" x14ac:dyDescent="0.4">
      <c r="A42" s="3">
        <v>68.9589</v>
      </c>
      <c r="B42" s="3">
        <v>191</v>
      </c>
      <c r="C42" s="3">
        <v>6739.6040000000003</v>
      </c>
      <c r="D42" s="4">
        <v>1</v>
      </c>
      <c r="E42" s="11">
        <f t="shared" si="0"/>
        <v>2.8339944008579733E-2</v>
      </c>
      <c r="F42" s="2"/>
      <c r="G42" s="3">
        <v>68.959000000000003</v>
      </c>
      <c r="H42" s="3">
        <v>296</v>
      </c>
      <c r="I42" s="3">
        <v>6065.0057999999999</v>
      </c>
      <c r="J42" s="4">
        <v>1</v>
      </c>
      <c r="K42" s="11">
        <f t="shared" si="1"/>
        <v>4.8804569980790455E-2</v>
      </c>
      <c r="N42" s="6">
        <v>68.952200000000005</v>
      </c>
      <c r="O42" s="6">
        <v>21</v>
      </c>
      <c r="P42" s="6">
        <v>4761.2960000000003</v>
      </c>
      <c r="Q42" s="7">
        <v>1</v>
      </c>
      <c r="R42" s="12">
        <f t="shared" si="2"/>
        <v>4.4105638464821337E-3</v>
      </c>
      <c r="S42" s="5"/>
      <c r="T42" s="6">
        <v>68.951999999999998</v>
      </c>
      <c r="U42" s="6">
        <v>20</v>
      </c>
      <c r="V42" s="6">
        <v>3969.5508</v>
      </c>
      <c r="W42" s="7">
        <v>1</v>
      </c>
      <c r="X42" s="12">
        <f t="shared" si="3"/>
        <v>5.0383534580285506E-3</v>
      </c>
      <c r="AA42" s="9">
        <v>68.957099999999997</v>
      </c>
      <c r="AB42" s="9">
        <v>250</v>
      </c>
      <c r="AC42" s="9">
        <v>5540.6028999999999</v>
      </c>
      <c r="AD42" s="10">
        <v>1</v>
      </c>
      <c r="AE42" s="13">
        <f t="shared" si="4"/>
        <v>4.5121443372164428E-2</v>
      </c>
      <c r="AF42" s="8"/>
      <c r="AG42" s="9">
        <v>68.954599999999999</v>
      </c>
      <c r="AH42" s="9">
        <v>71</v>
      </c>
      <c r="AI42" s="9">
        <v>3431.6172999999999</v>
      </c>
      <c r="AJ42" s="10">
        <v>1</v>
      </c>
      <c r="AK42" s="13">
        <f t="shared" si="5"/>
        <v>2.0689952810297351E-2</v>
      </c>
    </row>
    <row r="43" spans="1:37" x14ac:dyDescent="0.4">
      <c r="A43" s="3">
        <v>68.968900000000005</v>
      </c>
      <c r="B43" s="3">
        <v>205</v>
      </c>
      <c r="C43" s="3">
        <v>6737.4184999999998</v>
      </c>
      <c r="D43" s="4">
        <v>1</v>
      </c>
      <c r="E43" s="11">
        <f t="shared" si="0"/>
        <v>3.0427084201463811E-2</v>
      </c>
      <c r="F43" s="2"/>
      <c r="G43" s="3">
        <v>68.968999999999994</v>
      </c>
      <c r="H43" s="3">
        <v>383</v>
      </c>
      <c r="I43" s="3">
        <v>6064.2025000000003</v>
      </c>
      <c r="J43" s="4">
        <v>1</v>
      </c>
      <c r="K43" s="11">
        <f t="shared" si="1"/>
        <v>6.3157521537250766E-2</v>
      </c>
      <c r="N43" s="6">
        <v>68.962199999999996</v>
      </c>
      <c r="O43" s="6">
        <v>25</v>
      </c>
      <c r="P43" s="6">
        <v>4761.6229999999996</v>
      </c>
      <c r="Q43" s="7">
        <v>1</v>
      </c>
      <c r="R43" s="12">
        <f t="shared" si="2"/>
        <v>5.2503106608818052E-3</v>
      </c>
      <c r="S43" s="5"/>
      <c r="T43" s="6">
        <v>68.962000000000003</v>
      </c>
      <c r="U43" s="6">
        <v>23</v>
      </c>
      <c r="V43" s="6">
        <v>3969.5164</v>
      </c>
      <c r="W43" s="7">
        <v>1</v>
      </c>
      <c r="X43" s="12">
        <f t="shared" si="3"/>
        <v>5.7941566887089822E-3</v>
      </c>
      <c r="AA43" s="9">
        <v>68.967100000000002</v>
      </c>
      <c r="AB43" s="9">
        <v>273</v>
      </c>
      <c r="AC43" s="9">
        <v>5536.5770000000002</v>
      </c>
      <c r="AD43" s="10">
        <v>1</v>
      </c>
      <c r="AE43" s="13">
        <f t="shared" si="4"/>
        <v>4.9308444549764227E-2</v>
      </c>
      <c r="AF43" s="8"/>
      <c r="AG43" s="9">
        <v>68.964600000000004</v>
      </c>
      <c r="AH43" s="9">
        <v>81</v>
      </c>
      <c r="AI43" s="9">
        <v>3430.8470000000002</v>
      </c>
      <c r="AJ43" s="10">
        <v>1</v>
      </c>
      <c r="AK43" s="13">
        <f t="shared" si="5"/>
        <v>2.3609330290741613E-2</v>
      </c>
    </row>
    <row r="44" spans="1:37" x14ac:dyDescent="0.4">
      <c r="A44" s="3">
        <v>68.978899999999996</v>
      </c>
      <c r="B44" s="3">
        <v>245</v>
      </c>
      <c r="C44" s="3">
        <v>6731.9728999999998</v>
      </c>
      <c r="D44" s="4">
        <v>1</v>
      </c>
      <c r="E44" s="11">
        <f t="shared" si="0"/>
        <v>3.6393491720681168E-2</v>
      </c>
      <c r="F44" s="2"/>
      <c r="G44" s="3">
        <v>68.978999999999999</v>
      </c>
      <c r="H44" s="3">
        <v>339</v>
      </c>
      <c r="I44" s="3">
        <v>6064.5362999999998</v>
      </c>
      <c r="J44" s="4">
        <v>1</v>
      </c>
      <c r="K44" s="11">
        <f t="shared" si="1"/>
        <v>5.5898750247401437E-2</v>
      </c>
      <c r="N44" s="6">
        <v>68.972200000000001</v>
      </c>
      <c r="O44" s="6">
        <v>18</v>
      </c>
      <c r="P44" s="6">
        <v>4760.8869999999997</v>
      </c>
      <c r="Q44" s="7">
        <v>1</v>
      </c>
      <c r="R44" s="12">
        <f t="shared" si="2"/>
        <v>3.7808080721092522E-3</v>
      </c>
      <c r="S44" s="5"/>
      <c r="T44" s="6">
        <v>68.971999999999994</v>
      </c>
      <c r="U44" s="6">
        <v>24</v>
      </c>
      <c r="V44" s="6">
        <v>3969.4607000000001</v>
      </c>
      <c r="W44" s="7">
        <v>1</v>
      </c>
      <c r="X44" s="12">
        <f t="shared" si="3"/>
        <v>6.046161384089279E-3</v>
      </c>
      <c r="AA44" s="9">
        <v>68.977099999999993</v>
      </c>
      <c r="AB44" s="9">
        <v>273</v>
      </c>
      <c r="AC44" s="9">
        <v>5535.4795999999997</v>
      </c>
      <c r="AD44" s="10">
        <v>1</v>
      </c>
      <c r="AE44" s="13">
        <f t="shared" si="4"/>
        <v>4.9318219870234915E-2</v>
      </c>
      <c r="AF44" s="8"/>
      <c r="AG44" s="9">
        <v>68.974599999999995</v>
      </c>
      <c r="AH44" s="9">
        <v>80</v>
      </c>
      <c r="AI44" s="9">
        <v>3430.9893000000002</v>
      </c>
      <c r="AJ44" s="10">
        <v>1</v>
      </c>
      <c r="AK44" s="13">
        <f t="shared" si="5"/>
        <v>2.3316889971064611E-2</v>
      </c>
    </row>
    <row r="45" spans="1:37" x14ac:dyDescent="0.4">
      <c r="A45" s="3">
        <v>68.988900000000001</v>
      </c>
      <c r="B45" s="3">
        <v>268</v>
      </c>
      <c r="C45" s="3">
        <v>6730.3738000000003</v>
      </c>
      <c r="D45" s="4">
        <v>1</v>
      </c>
      <c r="E45" s="11">
        <f t="shared" si="0"/>
        <v>3.9819482240347481E-2</v>
      </c>
      <c r="F45" s="2"/>
      <c r="G45" s="3">
        <v>68.989000000000004</v>
      </c>
      <c r="H45" s="3">
        <v>354</v>
      </c>
      <c r="I45" s="3">
        <v>6064.0092999999997</v>
      </c>
      <c r="J45" s="4">
        <v>1</v>
      </c>
      <c r="K45" s="11">
        <f t="shared" si="1"/>
        <v>5.8377219177417825E-2</v>
      </c>
      <c r="N45" s="6">
        <v>68.982200000000006</v>
      </c>
      <c r="O45" s="6">
        <v>36</v>
      </c>
      <c r="P45" s="6">
        <v>4761.2858999999999</v>
      </c>
      <c r="Q45" s="7">
        <v>1</v>
      </c>
      <c r="R45" s="12">
        <f t="shared" si="2"/>
        <v>7.5609826328639496E-3</v>
      </c>
      <c r="S45" s="5"/>
      <c r="T45" s="6">
        <v>68.981999999999999</v>
      </c>
      <c r="U45" s="6">
        <v>32</v>
      </c>
      <c r="V45" s="6">
        <v>3968.2871</v>
      </c>
      <c r="W45" s="7">
        <v>1</v>
      </c>
      <c r="X45" s="12">
        <f t="shared" si="3"/>
        <v>8.063932672613329E-3</v>
      </c>
      <c r="AA45" s="9">
        <v>68.987099999999998</v>
      </c>
      <c r="AB45" s="9">
        <v>246</v>
      </c>
      <c r="AC45" s="9">
        <v>5536.0328</v>
      </c>
      <c r="AD45" s="10">
        <v>1</v>
      </c>
      <c r="AE45" s="13">
        <f t="shared" si="4"/>
        <v>4.4436152907186534E-2</v>
      </c>
      <c r="AF45" s="8"/>
      <c r="AG45" s="9">
        <v>68.9846</v>
      </c>
      <c r="AH45" s="9">
        <v>71</v>
      </c>
      <c r="AI45" s="9">
        <v>3430.4423000000002</v>
      </c>
      <c r="AJ45" s="10">
        <v>1</v>
      </c>
      <c r="AK45" s="13">
        <f t="shared" si="5"/>
        <v>2.0697039562507725E-2</v>
      </c>
    </row>
    <row r="46" spans="1:37" x14ac:dyDescent="0.4">
      <c r="A46" s="3">
        <v>68.998900000000006</v>
      </c>
      <c r="B46" s="3">
        <v>264</v>
      </c>
      <c r="C46" s="3">
        <v>6729.6234000000004</v>
      </c>
      <c r="D46" s="4">
        <v>1</v>
      </c>
      <c r="E46" s="11">
        <f t="shared" si="0"/>
        <v>3.922953548931133E-2</v>
      </c>
      <c r="F46" s="2"/>
      <c r="G46" s="3">
        <v>68.998999999999995</v>
      </c>
      <c r="H46" s="3">
        <v>342</v>
      </c>
      <c r="I46" s="3">
        <v>6065.4201000000003</v>
      </c>
      <c r="J46" s="4">
        <v>1</v>
      </c>
      <c r="K46" s="11">
        <f t="shared" si="1"/>
        <v>5.6385212295517663E-2</v>
      </c>
      <c r="N46" s="6">
        <v>68.992199999999997</v>
      </c>
      <c r="O46" s="6">
        <v>33</v>
      </c>
      <c r="P46" s="6">
        <v>4759.4228000000003</v>
      </c>
      <c r="Q46" s="7">
        <v>1</v>
      </c>
      <c r="R46" s="12">
        <f t="shared" si="2"/>
        <v>6.9336138827590602E-3</v>
      </c>
      <c r="S46" s="5"/>
      <c r="T46" s="6">
        <v>68.992000000000004</v>
      </c>
      <c r="U46" s="6">
        <v>22</v>
      </c>
      <c r="V46" s="6">
        <v>3965.8935999999999</v>
      </c>
      <c r="W46" s="7">
        <v>1</v>
      </c>
      <c r="X46" s="12">
        <f t="shared" si="3"/>
        <v>5.5472996048103766E-3</v>
      </c>
      <c r="AA46" s="9">
        <v>68.997100000000003</v>
      </c>
      <c r="AB46" s="9">
        <v>269</v>
      </c>
      <c r="AC46" s="9">
        <v>5535.3523999999998</v>
      </c>
      <c r="AD46" s="10">
        <v>1</v>
      </c>
      <c r="AE46" s="13">
        <f t="shared" si="4"/>
        <v>4.8596725296116652E-2</v>
      </c>
      <c r="AF46" s="8"/>
      <c r="AG46" s="9">
        <v>68.994600000000005</v>
      </c>
      <c r="AH46" s="9">
        <v>78</v>
      </c>
      <c r="AI46" s="9">
        <v>3427.4162000000001</v>
      </c>
      <c r="AJ46" s="10">
        <v>1</v>
      </c>
      <c r="AK46" s="13">
        <f t="shared" si="5"/>
        <v>2.2757668006587586E-2</v>
      </c>
    </row>
    <row r="47" spans="1:37" x14ac:dyDescent="0.4">
      <c r="A47" s="3">
        <v>69.008899999999997</v>
      </c>
      <c r="B47" s="3">
        <v>265</v>
      </c>
      <c r="C47" s="3">
        <v>6726.723</v>
      </c>
      <c r="D47" s="4">
        <v>1</v>
      </c>
      <c r="E47" s="11">
        <f t="shared" si="0"/>
        <v>3.9395111111309326E-2</v>
      </c>
      <c r="F47" s="2"/>
      <c r="G47" s="3">
        <v>69.009</v>
      </c>
      <c r="H47" s="3">
        <v>388</v>
      </c>
      <c r="I47" s="3">
        <v>6064.9467000000004</v>
      </c>
      <c r="J47" s="4">
        <v>1</v>
      </c>
      <c r="K47" s="11">
        <f t="shared" si="1"/>
        <v>6.3974181339466668E-2</v>
      </c>
      <c r="N47" s="6">
        <v>69.002200000000002</v>
      </c>
      <c r="O47" s="6">
        <v>41</v>
      </c>
      <c r="P47" s="6">
        <v>4754.3209999999999</v>
      </c>
      <c r="Q47" s="7">
        <v>1</v>
      </c>
      <c r="R47" s="12">
        <f t="shared" si="2"/>
        <v>8.6237340726467559E-3</v>
      </c>
      <c r="S47" s="5"/>
      <c r="T47" s="6">
        <v>69.001999999999995</v>
      </c>
      <c r="U47" s="6">
        <v>35</v>
      </c>
      <c r="V47" s="6">
        <v>3965.4074999999998</v>
      </c>
      <c r="W47" s="7">
        <v>1</v>
      </c>
      <c r="X47" s="12">
        <f t="shared" si="3"/>
        <v>8.8263312156442938E-3</v>
      </c>
      <c r="AA47" s="9">
        <v>69.007099999999994</v>
      </c>
      <c r="AB47" s="9">
        <v>315</v>
      </c>
      <c r="AC47" s="9">
        <v>5534.3811999999998</v>
      </c>
      <c r="AD47" s="10">
        <v>1</v>
      </c>
      <c r="AE47" s="13">
        <f t="shared" si="4"/>
        <v>5.6916932285040286E-2</v>
      </c>
      <c r="AF47" s="8"/>
      <c r="AG47" s="9">
        <v>69.004599999999996</v>
      </c>
      <c r="AH47" s="9">
        <v>99</v>
      </c>
      <c r="AI47" s="9">
        <v>3428.6759000000002</v>
      </c>
      <c r="AJ47" s="10">
        <v>1</v>
      </c>
      <c r="AK47" s="13">
        <f t="shared" si="5"/>
        <v>2.88741201814963E-2</v>
      </c>
    </row>
    <row r="48" spans="1:37" x14ac:dyDescent="0.4">
      <c r="A48" s="3">
        <v>69.018900000000002</v>
      </c>
      <c r="B48" s="3">
        <v>315</v>
      </c>
      <c r="C48" s="3">
        <v>6725.3600999999999</v>
      </c>
      <c r="D48" s="4">
        <v>1</v>
      </c>
      <c r="E48" s="11">
        <f t="shared" si="0"/>
        <v>4.6837640708636552E-2</v>
      </c>
      <c r="F48" s="2"/>
      <c r="G48" s="3">
        <v>69.019000000000005</v>
      </c>
      <c r="H48" s="3">
        <v>404</v>
      </c>
      <c r="I48" s="3">
        <v>6065.0608000000002</v>
      </c>
      <c r="J48" s="4">
        <v>1</v>
      </c>
      <c r="K48" s="11">
        <f t="shared" si="1"/>
        <v>6.6611038754961854E-2</v>
      </c>
      <c r="N48" s="6">
        <v>69.012200000000007</v>
      </c>
      <c r="O48" s="6">
        <v>43</v>
      </c>
      <c r="P48" s="6">
        <v>4755.6187</v>
      </c>
      <c r="Q48" s="7">
        <v>1</v>
      </c>
      <c r="R48" s="12">
        <f t="shared" si="2"/>
        <v>9.0419360156019229E-3</v>
      </c>
      <c r="S48" s="5"/>
      <c r="T48" s="6">
        <v>69.012</v>
      </c>
      <c r="U48" s="6">
        <v>29</v>
      </c>
      <c r="V48" s="6">
        <v>3962.7528000000002</v>
      </c>
      <c r="W48" s="7">
        <v>1</v>
      </c>
      <c r="X48" s="12">
        <f t="shared" si="3"/>
        <v>7.3181451035754736E-3</v>
      </c>
      <c r="AA48" s="9">
        <v>69.017099999999999</v>
      </c>
      <c r="AB48" s="9">
        <v>287</v>
      </c>
      <c r="AC48" s="9">
        <v>5537.0811999999996</v>
      </c>
      <c r="AD48" s="10">
        <v>1</v>
      </c>
      <c r="AE48" s="13">
        <f t="shared" si="4"/>
        <v>5.1832362508969533E-2</v>
      </c>
      <c r="AF48" s="8"/>
      <c r="AG48" s="9">
        <v>69.014600000000002</v>
      </c>
      <c r="AH48" s="9">
        <v>88</v>
      </c>
      <c r="AI48" s="9">
        <v>3426.7321000000002</v>
      </c>
      <c r="AJ48" s="10">
        <v>1</v>
      </c>
      <c r="AK48" s="13">
        <f t="shared" si="5"/>
        <v>2.5680443475578379E-2</v>
      </c>
    </row>
    <row r="49" spans="1:37" x14ac:dyDescent="0.4">
      <c r="A49" s="3">
        <v>69.028899999999993</v>
      </c>
      <c r="B49" s="3">
        <v>328</v>
      </c>
      <c r="C49" s="3">
        <v>6725.0361999999996</v>
      </c>
      <c r="D49" s="4">
        <v>1</v>
      </c>
      <c r="E49" s="11">
        <f t="shared" si="0"/>
        <v>4.8772971660732474E-2</v>
      </c>
      <c r="F49" s="2"/>
      <c r="G49" s="3">
        <v>69.028999999999996</v>
      </c>
      <c r="H49" s="3">
        <v>394</v>
      </c>
      <c r="I49" s="3">
        <v>6064.6255000000001</v>
      </c>
      <c r="J49" s="4">
        <v>1</v>
      </c>
      <c r="K49" s="11">
        <f t="shared" si="1"/>
        <v>6.4966913455744305E-2</v>
      </c>
      <c r="N49" s="6">
        <v>69.022199999999998</v>
      </c>
      <c r="O49" s="6">
        <v>41</v>
      </c>
      <c r="P49" s="6">
        <v>4757.4182000000001</v>
      </c>
      <c r="Q49" s="7">
        <v>1</v>
      </c>
      <c r="R49" s="12">
        <f t="shared" si="2"/>
        <v>8.6181198028796382E-3</v>
      </c>
      <c r="S49" s="5"/>
      <c r="T49" s="6">
        <v>69.022000000000006</v>
      </c>
      <c r="U49" s="6">
        <v>26</v>
      </c>
      <c r="V49" s="6">
        <v>3962.8964999999998</v>
      </c>
      <c r="W49" s="7">
        <v>1</v>
      </c>
      <c r="X49" s="12">
        <f t="shared" si="3"/>
        <v>6.5608576958797694E-3</v>
      </c>
      <c r="AA49" s="9">
        <v>69.027100000000004</v>
      </c>
      <c r="AB49" s="9">
        <v>279</v>
      </c>
      <c r="AC49" s="9">
        <v>5534.4847</v>
      </c>
      <c r="AD49" s="10">
        <v>1</v>
      </c>
      <c r="AE49" s="13">
        <f t="shared" si="4"/>
        <v>5.0411197270090927E-2</v>
      </c>
      <c r="AF49" s="8"/>
      <c r="AG49" s="9">
        <v>69.024600000000007</v>
      </c>
      <c r="AH49" s="9">
        <v>107</v>
      </c>
      <c r="AI49" s="9">
        <v>3428.2460999999998</v>
      </c>
      <c r="AJ49" s="10">
        <v>1</v>
      </c>
      <c r="AK49" s="13">
        <f t="shared" si="5"/>
        <v>3.1211294895077693E-2</v>
      </c>
    </row>
    <row r="50" spans="1:37" x14ac:dyDescent="0.4">
      <c r="A50" s="3">
        <v>69.038899999999998</v>
      </c>
      <c r="B50" s="3">
        <v>340</v>
      </c>
      <c r="C50" s="3">
        <v>6721.2255999999998</v>
      </c>
      <c r="D50" s="4">
        <v>1</v>
      </c>
      <c r="E50" s="11">
        <f t="shared" si="0"/>
        <v>5.058601217016135E-2</v>
      </c>
      <c r="F50" s="2"/>
      <c r="G50" s="3">
        <v>69.039000000000001</v>
      </c>
      <c r="H50" s="3">
        <v>432</v>
      </c>
      <c r="I50" s="3">
        <v>6062.5982999999997</v>
      </c>
      <c r="J50" s="4">
        <v>1</v>
      </c>
      <c r="K50" s="11">
        <f t="shared" si="1"/>
        <v>7.1256576573776959E-2</v>
      </c>
      <c r="N50" s="6">
        <v>69.032200000000003</v>
      </c>
      <c r="O50" s="6">
        <v>33</v>
      </c>
      <c r="P50" s="6">
        <v>4754.3910999999998</v>
      </c>
      <c r="Q50" s="7">
        <v>1</v>
      </c>
      <c r="R50" s="12">
        <f t="shared" si="2"/>
        <v>6.9409519128537829E-3</v>
      </c>
      <c r="S50" s="5"/>
      <c r="T50" s="6">
        <v>69.031999999999996</v>
      </c>
      <c r="U50" s="6">
        <v>28</v>
      </c>
      <c r="V50" s="6">
        <v>3962.4043000000001</v>
      </c>
      <c r="W50" s="7">
        <v>1</v>
      </c>
      <c r="X50" s="12">
        <f t="shared" si="3"/>
        <v>7.0664167207773318E-3</v>
      </c>
      <c r="AA50" s="9">
        <v>69.037099999999995</v>
      </c>
      <c r="AB50" s="9">
        <v>340</v>
      </c>
      <c r="AC50" s="9">
        <v>5536.8600999999999</v>
      </c>
      <c r="AD50" s="10">
        <v>1</v>
      </c>
      <c r="AE50" s="13">
        <f t="shared" si="4"/>
        <v>6.1406644534869138E-2</v>
      </c>
      <c r="AF50" s="8"/>
      <c r="AG50" s="9">
        <v>69.034599999999998</v>
      </c>
      <c r="AH50" s="9">
        <v>90</v>
      </c>
      <c r="AI50" s="9">
        <v>3427.8249000000001</v>
      </c>
      <c r="AJ50" s="10">
        <v>1</v>
      </c>
      <c r="AK50" s="13">
        <f t="shared" si="5"/>
        <v>2.6255716854148528E-2</v>
      </c>
    </row>
    <row r="51" spans="1:37" x14ac:dyDescent="0.4">
      <c r="A51" s="3">
        <v>69.048900000000003</v>
      </c>
      <c r="B51" s="3">
        <v>343</v>
      </c>
      <c r="C51" s="3">
        <v>6716.7882</v>
      </c>
      <c r="D51" s="4">
        <v>1</v>
      </c>
      <c r="E51" s="11">
        <f t="shared" si="0"/>
        <v>5.1066073514123907E-2</v>
      </c>
      <c r="F51" s="2"/>
      <c r="G51" s="3">
        <v>69.049000000000007</v>
      </c>
      <c r="H51" s="3">
        <v>458</v>
      </c>
      <c r="I51" s="3">
        <v>6062.4493000000002</v>
      </c>
      <c r="J51" s="4">
        <v>1</v>
      </c>
      <c r="K51" s="11">
        <f t="shared" si="1"/>
        <v>7.5547023543768022E-2</v>
      </c>
      <c r="N51" s="6">
        <v>69.042199999999994</v>
      </c>
      <c r="O51" s="6">
        <v>42</v>
      </c>
      <c r="P51" s="6">
        <v>4755.6688000000004</v>
      </c>
      <c r="Q51" s="7">
        <v>1</v>
      </c>
      <c r="R51" s="12">
        <f t="shared" si="2"/>
        <v>8.8315653941250065E-3</v>
      </c>
      <c r="S51" s="5"/>
      <c r="T51" s="6">
        <v>69.042000000000002</v>
      </c>
      <c r="U51" s="6">
        <v>57</v>
      </c>
      <c r="V51" s="6">
        <v>3960.203</v>
      </c>
      <c r="W51" s="7">
        <v>1</v>
      </c>
      <c r="X51" s="12">
        <f t="shared" si="3"/>
        <v>1.4393201560627069E-2</v>
      </c>
      <c r="AA51" s="9">
        <v>69.0471</v>
      </c>
      <c r="AB51" s="9">
        <v>331</v>
      </c>
      <c r="AC51" s="9">
        <v>5534.4087</v>
      </c>
      <c r="AD51" s="10">
        <v>1</v>
      </c>
      <c r="AE51" s="13">
        <f t="shared" si="4"/>
        <v>5.9807653887216532E-2</v>
      </c>
      <c r="AF51" s="8"/>
      <c r="AG51" s="9">
        <v>69.044600000000003</v>
      </c>
      <c r="AH51" s="9">
        <v>93</v>
      </c>
      <c r="AI51" s="9">
        <v>3428.8168999999998</v>
      </c>
      <c r="AJ51" s="10">
        <v>1</v>
      </c>
      <c r="AK51" s="13">
        <f t="shared" si="5"/>
        <v>2.7123058102052636E-2</v>
      </c>
    </row>
    <row r="52" spans="1:37" x14ac:dyDescent="0.4">
      <c r="A52" s="3">
        <v>69.058899999999994</v>
      </c>
      <c r="B52" s="3">
        <v>383</v>
      </c>
      <c r="C52" s="3">
        <v>6716.0190000000002</v>
      </c>
      <c r="D52" s="4">
        <v>1</v>
      </c>
      <c r="E52" s="11">
        <f t="shared" si="0"/>
        <v>5.7027831517451034E-2</v>
      </c>
      <c r="F52" s="2"/>
      <c r="G52" s="3">
        <v>69.058999999999997</v>
      </c>
      <c r="H52" s="3">
        <v>454</v>
      </c>
      <c r="I52" s="3">
        <v>6062.6487999999999</v>
      </c>
      <c r="J52" s="4">
        <v>1</v>
      </c>
      <c r="K52" s="11">
        <f t="shared" si="1"/>
        <v>7.488475994189206E-2</v>
      </c>
      <c r="N52" s="6">
        <v>69.052199999999999</v>
      </c>
      <c r="O52" s="6">
        <v>68</v>
      </c>
      <c r="P52" s="6">
        <v>4757.2570999999998</v>
      </c>
      <c r="Q52" s="7">
        <v>1</v>
      </c>
      <c r="R52" s="12">
        <f t="shared" si="2"/>
        <v>1.4293951024845809E-2</v>
      </c>
      <c r="S52" s="5"/>
      <c r="T52" s="6">
        <v>69.052000000000007</v>
      </c>
      <c r="U52" s="6">
        <v>41</v>
      </c>
      <c r="V52" s="6">
        <v>3957.3213000000001</v>
      </c>
      <c r="W52" s="7">
        <v>1</v>
      </c>
      <c r="X52" s="12">
        <f t="shared" si="3"/>
        <v>1.0360543633391608E-2</v>
      </c>
      <c r="AA52" s="9">
        <v>69.057100000000005</v>
      </c>
      <c r="AB52" s="9">
        <v>394</v>
      </c>
      <c r="AC52" s="9">
        <v>5534.8046999999997</v>
      </c>
      <c r="AD52" s="10">
        <v>1</v>
      </c>
      <c r="AE52" s="13">
        <f t="shared" si="4"/>
        <v>7.1185890262758511E-2</v>
      </c>
      <c r="AF52" s="8"/>
      <c r="AG52" s="9">
        <v>69.054599999999994</v>
      </c>
      <c r="AH52" s="9">
        <v>99</v>
      </c>
      <c r="AI52" s="9">
        <v>3428.2838000000002</v>
      </c>
      <c r="AJ52" s="10">
        <v>1</v>
      </c>
      <c r="AK52" s="13">
        <f t="shared" si="5"/>
        <v>2.8877422575108863E-2</v>
      </c>
    </row>
    <row r="53" spans="1:37" x14ac:dyDescent="0.4">
      <c r="A53" s="3">
        <v>69.068899999999999</v>
      </c>
      <c r="B53" s="3">
        <v>406</v>
      </c>
      <c r="C53" s="3">
        <v>6713.8444</v>
      </c>
      <c r="D53" s="4">
        <v>1</v>
      </c>
      <c r="E53" s="11">
        <f t="shared" si="0"/>
        <v>6.0472059793342844E-2</v>
      </c>
      <c r="F53" s="2"/>
      <c r="G53" s="3">
        <v>69.069000000000003</v>
      </c>
      <c r="H53" s="3">
        <v>521</v>
      </c>
      <c r="I53" s="3">
        <v>6057.9475000000002</v>
      </c>
      <c r="J53" s="4">
        <v>1</v>
      </c>
      <c r="K53" s="11">
        <f t="shared" si="1"/>
        <v>8.6002726170868932E-2</v>
      </c>
      <c r="N53" s="6">
        <v>69.062200000000004</v>
      </c>
      <c r="O53" s="6">
        <v>53</v>
      </c>
      <c r="P53" s="6">
        <v>4759.2332999999999</v>
      </c>
      <c r="Q53" s="7">
        <v>1</v>
      </c>
      <c r="R53" s="12">
        <f t="shared" si="2"/>
        <v>1.1136247512808419E-2</v>
      </c>
      <c r="S53" s="5"/>
      <c r="T53" s="6">
        <v>69.061999999999998</v>
      </c>
      <c r="U53" s="6">
        <v>40</v>
      </c>
      <c r="V53" s="6">
        <v>3957.9173999999998</v>
      </c>
      <c r="W53" s="7">
        <v>1</v>
      </c>
      <c r="X53" s="12">
        <f t="shared" si="3"/>
        <v>1.0106325109260744E-2</v>
      </c>
      <c r="AA53" s="9">
        <v>69.067099999999996</v>
      </c>
      <c r="AB53" s="9">
        <v>388</v>
      </c>
      <c r="AC53" s="9">
        <v>5532.6113999999998</v>
      </c>
      <c r="AD53" s="10">
        <v>1</v>
      </c>
      <c r="AE53" s="13">
        <f t="shared" si="4"/>
        <v>7.012963173231361E-2</v>
      </c>
      <c r="AF53" s="8"/>
      <c r="AG53" s="9">
        <v>69.064599999999999</v>
      </c>
      <c r="AH53" s="9">
        <v>108</v>
      </c>
      <c r="AI53" s="9">
        <v>3427.7678999999998</v>
      </c>
      <c r="AJ53" s="10">
        <v>1</v>
      </c>
      <c r="AK53" s="13">
        <f t="shared" si="5"/>
        <v>3.1507384149317696E-2</v>
      </c>
    </row>
    <row r="54" spans="1:37" x14ac:dyDescent="0.4">
      <c r="A54" s="3">
        <v>69.078900000000004</v>
      </c>
      <c r="B54" s="3">
        <v>435</v>
      </c>
      <c r="C54" s="3">
        <v>6715.8567999999996</v>
      </c>
      <c r="D54" s="4">
        <v>1</v>
      </c>
      <c r="E54" s="11">
        <f t="shared" si="0"/>
        <v>6.4772077927569865E-2</v>
      </c>
      <c r="F54" s="2"/>
      <c r="G54" s="3">
        <v>69.078999999999994</v>
      </c>
      <c r="H54" s="3">
        <v>526</v>
      </c>
      <c r="I54" s="3">
        <v>6054.8806000000004</v>
      </c>
      <c r="J54" s="4">
        <v>1</v>
      </c>
      <c r="K54" s="11">
        <f t="shared" si="1"/>
        <v>8.6872068129634133E-2</v>
      </c>
      <c r="N54" s="6">
        <v>69.072199999999995</v>
      </c>
      <c r="O54" s="6">
        <v>64</v>
      </c>
      <c r="P54" s="6">
        <v>4758.6929</v>
      </c>
      <c r="Q54" s="7">
        <v>1</v>
      </c>
      <c r="R54" s="12">
        <f t="shared" si="2"/>
        <v>1.3449071277535056E-2</v>
      </c>
      <c r="S54" s="5"/>
      <c r="T54" s="6">
        <v>69.072000000000003</v>
      </c>
      <c r="U54" s="6">
        <v>38</v>
      </c>
      <c r="V54" s="6">
        <v>3956.7530000000002</v>
      </c>
      <c r="W54" s="7">
        <v>1</v>
      </c>
      <c r="X54" s="12">
        <f t="shared" si="3"/>
        <v>9.6038342550065665E-3</v>
      </c>
      <c r="AA54" s="9">
        <v>69.077100000000002</v>
      </c>
      <c r="AB54" s="9">
        <v>380</v>
      </c>
      <c r="AC54" s="9">
        <v>5533.1427999999996</v>
      </c>
      <c r="AD54" s="10">
        <v>1</v>
      </c>
      <c r="AE54" s="13">
        <f t="shared" si="4"/>
        <v>6.8677063602985269E-2</v>
      </c>
      <c r="AF54" s="8"/>
      <c r="AG54" s="9">
        <v>69.074600000000004</v>
      </c>
      <c r="AH54" s="9">
        <v>99</v>
      </c>
      <c r="AI54" s="9">
        <v>3426.5817999999999</v>
      </c>
      <c r="AJ54" s="10">
        <v>1</v>
      </c>
      <c r="AK54" s="13">
        <f t="shared" si="5"/>
        <v>2.8891766132651497E-2</v>
      </c>
    </row>
    <row r="55" spans="1:37" x14ac:dyDescent="0.4">
      <c r="A55" s="3">
        <v>69.088899999999995</v>
      </c>
      <c r="B55" s="3">
        <v>425</v>
      </c>
      <c r="C55" s="3">
        <v>6715.0973999999997</v>
      </c>
      <c r="D55" s="4">
        <v>1</v>
      </c>
      <c r="E55" s="11">
        <f t="shared" si="0"/>
        <v>6.3290221225979534E-2</v>
      </c>
      <c r="F55" s="2"/>
      <c r="G55" s="3">
        <v>69.088999999999999</v>
      </c>
      <c r="H55" s="3">
        <v>562</v>
      </c>
      <c r="I55" s="3">
        <v>6054.3869999999997</v>
      </c>
      <c r="J55" s="4">
        <v>1</v>
      </c>
      <c r="K55" s="11">
        <f t="shared" si="1"/>
        <v>9.282525216838633E-2</v>
      </c>
      <c r="N55" s="6">
        <v>69.0822</v>
      </c>
      <c r="O55" s="6">
        <v>79</v>
      </c>
      <c r="P55" s="6">
        <v>4758.3221000000003</v>
      </c>
      <c r="Q55" s="7">
        <v>1</v>
      </c>
      <c r="R55" s="12">
        <f t="shared" si="2"/>
        <v>1.6602491033551509E-2</v>
      </c>
      <c r="S55" s="5"/>
      <c r="T55" s="6">
        <v>69.081999999999994</v>
      </c>
      <c r="U55" s="6">
        <v>70</v>
      </c>
      <c r="V55" s="6">
        <v>3953.4839000000002</v>
      </c>
      <c r="W55" s="7">
        <v>1</v>
      </c>
      <c r="X55" s="12">
        <f t="shared" si="3"/>
        <v>1.7705902381441339E-2</v>
      </c>
      <c r="AA55" s="9">
        <v>69.087100000000007</v>
      </c>
      <c r="AB55" s="9">
        <v>418</v>
      </c>
      <c r="AC55" s="9">
        <v>5532.0078999999996</v>
      </c>
      <c r="AD55" s="10">
        <v>1</v>
      </c>
      <c r="AE55" s="13">
        <f t="shared" si="4"/>
        <v>7.5560268090000382E-2</v>
      </c>
      <c r="AF55" s="8"/>
      <c r="AG55" s="9">
        <v>69.084599999999995</v>
      </c>
      <c r="AH55" s="9">
        <v>127</v>
      </c>
      <c r="AI55" s="9">
        <v>3425.7928999999999</v>
      </c>
      <c r="AJ55" s="10">
        <v>1</v>
      </c>
      <c r="AK55" s="13">
        <f t="shared" si="5"/>
        <v>3.7071709734701128E-2</v>
      </c>
    </row>
    <row r="56" spans="1:37" x14ac:dyDescent="0.4">
      <c r="A56" s="3">
        <v>69.0989</v>
      </c>
      <c r="B56" s="3">
        <v>446</v>
      </c>
      <c r="C56" s="3">
        <v>6713.6777000000002</v>
      </c>
      <c r="D56" s="4">
        <v>1</v>
      </c>
      <c r="E56" s="11">
        <f t="shared" si="0"/>
        <v>6.6431547644892161E-2</v>
      </c>
      <c r="F56" s="2"/>
      <c r="G56" s="3">
        <v>69.099000000000004</v>
      </c>
      <c r="H56" s="3">
        <v>584</v>
      </c>
      <c r="I56" s="3">
        <v>6049.4737999999998</v>
      </c>
      <c r="J56" s="4">
        <v>1</v>
      </c>
      <c r="K56" s="11">
        <f t="shared" si="1"/>
        <v>9.6537321973359069E-2</v>
      </c>
      <c r="N56" s="6">
        <v>69.092200000000005</v>
      </c>
      <c r="O56" s="6">
        <v>69</v>
      </c>
      <c r="P56" s="6">
        <v>4755.9058999999997</v>
      </c>
      <c r="Q56" s="7">
        <v>1</v>
      </c>
      <c r="R56" s="12">
        <f t="shared" si="2"/>
        <v>1.4508276961493288E-2</v>
      </c>
      <c r="S56" s="5"/>
      <c r="T56" s="6">
        <v>69.091999999999999</v>
      </c>
      <c r="U56" s="6">
        <v>75</v>
      </c>
      <c r="V56" s="6">
        <v>3953.0590000000002</v>
      </c>
      <c r="W56" s="7">
        <v>1</v>
      </c>
      <c r="X56" s="12">
        <f t="shared" si="3"/>
        <v>1.8972648776555068E-2</v>
      </c>
      <c r="AA56" s="9">
        <v>69.097099999999998</v>
      </c>
      <c r="AB56" s="9">
        <v>437</v>
      </c>
      <c r="AC56" s="9">
        <v>5535.4035999999996</v>
      </c>
      <c r="AD56" s="10">
        <v>1</v>
      </c>
      <c r="AE56" s="13">
        <f t="shared" si="4"/>
        <v>7.8946366259544293E-2</v>
      </c>
      <c r="AF56" s="8"/>
      <c r="AG56" s="9">
        <v>69.0946</v>
      </c>
      <c r="AH56" s="9">
        <v>103</v>
      </c>
      <c r="AI56" s="9">
        <v>3427.4141</v>
      </c>
      <c r="AJ56" s="10">
        <v>1</v>
      </c>
      <c r="AK56" s="13">
        <f t="shared" si="5"/>
        <v>3.0051810780611542E-2</v>
      </c>
    </row>
    <row r="57" spans="1:37" x14ac:dyDescent="0.4">
      <c r="A57" s="3">
        <v>69.108900000000006</v>
      </c>
      <c r="B57" s="3">
        <v>492</v>
      </c>
      <c r="C57" s="3">
        <v>6717.8613999999998</v>
      </c>
      <c r="D57" s="4">
        <v>1</v>
      </c>
      <c r="E57" s="11">
        <f t="shared" si="0"/>
        <v>7.323759314236522E-2</v>
      </c>
      <c r="F57" s="2"/>
      <c r="G57" s="3">
        <v>69.108999999999995</v>
      </c>
      <c r="H57" s="3">
        <v>549</v>
      </c>
      <c r="I57" s="3">
        <v>6048.8779999999997</v>
      </c>
      <c r="J57" s="4">
        <v>1</v>
      </c>
      <c r="K57" s="11">
        <f t="shared" si="1"/>
        <v>9.0760633624946643E-2</v>
      </c>
      <c r="N57" s="6">
        <v>69.102199999999996</v>
      </c>
      <c r="O57" s="6">
        <v>81</v>
      </c>
      <c r="P57" s="6">
        <v>4755.1994000000004</v>
      </c>
      <c r="Q57" s="7">
        <v>1</v>
      </c>
      <c r="R57" s="12">
        <f t="shared" si="2"/>
        <v>1.7033985998568219E-2</v>
      </c>
      <c r="S57" s="5"/>
      <c r="T57" s="6">
        <v>69.102000000000004</v>
      </c>
      <c r="U57" s="6">
        <v>73</v>
      </c>
      <c r="V57" s="6">
        <v>3950.6133</v>
      </c>
      <c r="W57" s="7">
        <v>1</v>
      </c>
      <c r="X57" s="12">
        <f t="shared" si="3"/>
        <v>1.8478143634052972E-2</v>
      </c>
      <c r="AA57" s="9">
        <v>69.107100000000003</v>
      </c>
      <c r="AB57" s="9">
        <v>477</v>
      </c>
      <c r="AC57" s="9">
        <v>5533.8113999999996</v>
      </c>
      <c r="AD57" s="10">
        <v>1</v>
      </c>
      <c r="AE57" s="13">
        <f t="shared" si="4"/>
        <v>8.6197372031869404E-2</v>
      </c>
      <c r="AF57" s="8"/>
      <c r="AG57" s="9">
        <v>69.104600000000005</v>
      </c>
      <c r="AH57" s="9">
        <v>137</v>
      </c>
      <c r="AI57" s="9">
        <v>3425.3959</v>
      </c>
      <c r="AJ57" s="10">
        <v>1</v>
      </c>
      <c r="AK57" s="13">
        <f t="shared" si="5"/>
        <v>3.9995376884756594E-2</v>
      </c>
    </row>
    <row r="58" spans="1:37" x14ac:dyDescent="0.4">
      <c r="A58" s="3">
        <v>69.118899999999996</v>
      </c>
      <c r="B58" s="3">
        <v>547</v>
      </c>
      <c r="C58" s="3">
        <v>6719.7843000000003</v>
      </c>
      <c r="D58" s="4">
        <v>1</v>
      </c>
      <c r="E58" s="11">
        <f t="shared" si="0"/>
        <v>8.1401422364107731E-2</v>
      </c>
      <c r="F58" s="2"/>
      <c r="G58" s="3">
        <v>69.119</v>
      </c>
      <c r="H58" s="3">
        <v>573</v>
      </c>
      <c r="I58" s="3">
        <v>6043.9575999999997</v>
      </c>
      <c r="J58" s="4">
        <v>1</v>
      </c>
      <c r="K58" s="11">
        <f t="shared" si="1"/>
        <v>9.4805430137365629E-2</v>
      </c>
      <c r="N58" s="6">
        <v>69.112200000000001</v>
      </c>
      <c r="O58" s="6">
        <v>82</v>
      </c>
      <c r="P58" s="6">
        <v>4750.8024999999998</v>
      </c>
      <c r="Q58" s="7">
        <v>1</v>
      </c>
      <c r="R58" s="12">
        <f t="shared" si="2"/>
        <v>1.7260241822302652E-2</v>
      </c>
      <c r="S58" s="5"/>
      <c r="T58" s="6">
        <v>69.111999999999995</v>
      </c>
      <c r="U58" s="6">
        <v>73</v>
      </c>
      <c r="V58" s="6">
        <v>3949.3119999999999</v>
      </c>
      <c r="W58" s="7">
        <v>1</v>
      </c>
      <c r="X58" s="12">
        <f t="shared" si="3"/>
        <v>1.848423219031568E-2</v>
      </c>
      <c r="AA58" s="9">
        <v>69.117099999999994</v>
      </c>
      <c r="AB58" s="9">
        <v>472</v>
      </c>
      <c r="AC58" s="9">
        <v>5530.9564</v>
      </c>
      <c r="AD58" s="10">
        <v>1</v>
      </c>
      <c r="AE58" s="13">
        <f t="shared" si="4"/>
        <v>8.5337863086391352E-2</v>
      </c>
      <c r="AF58" s="8"/>
      <c r="AG58" s="9">
        <v>69.114599999999996</v>
      </c>
      <c r="AH58" s="9">
        <v>129</v>
      </c>
      <c r="AI58" s="9">
        <v>3425.1963000000001</v>
      </c>
      <c r="AJ58" s="10">
        <v>1</v>
      </c>
      <c r="AK58" s="13">
        <f t="shared" si="5"/>
        <v>3.7662075017423087E-2</v>
      </c>
    </row>
    <row r="59" spans="1:37" x14ac:dyDescent="0.4">
      <c r="A59" s="3">
        <v>69.128900000000002</v>
      </c>
      <c r="B59" s="3">
        <v>518</v>
      </c>
      <c r="C59" s="3">
        <v>6720.2397000000001</v>
      </c>
      <c r="D59" s="4">
        <v>1</v>
      </c>
      <c r="E59" s="11">
        <f t="shared" si="0"/>
        <v>7.7080583896434532E-2</v>
      </c>
      <c r="F59" s="2"/>
      <c r="G59" s="3">
        <v>69.129000000000005</v>
      </c>
      <c r="H59" s="3">
        <v>613</v>
      </c>
      <c r="I59" s="3">
        <v>6041.5812999999998</v>
      </c>
      <c r="J59" s="4">
        <v>1</v>
      </c>
      <c r="K59" s="11">
        <f t="shared" si="1"/>
        <v>0.1014635026098217</v>
      </c>
      <c r="N59" s="6">
        <v>69.122200000000007</v>
      </c>
      <c r="O59" s="6">
        <v>102</v>
      </c>
      <c r="P59" s="6">
        <v>4749.8684000000003</v>
      </c>
      <c r="Q59" s="7">
        <v>1</v>
      </c>
      <c r="R59" s="12">
        <f t="shared" si="2"/>
        <v>2.1474279161081598E-2</v>
      </c>
      <c r="S59" s="5"/>
      <c r="T59" s="6">
        <v>69.122</v>
      </c>
      <c r="U59" s="6">
        <v>93</v>
      </c>
      <c r="V59" s="6">
        <v>3926.0635000000002</v>
      </c>
      <c r="W59" s="7">
        <v>1</v>
      </c>
      <c r="X59" s="12">
        <f t="shared" si="3"/>
        <v>2.3687849164946005E-2</v>
      </c>
      <c r="AA59" s="9">
        <v>69.127099999999999</v>
      </c>
      <c r="AB59" s="9">
        <v>494</v>
      </c>
      <c r="AC59" s="9">
        <v>5533.9147999999996</v>
      </c>
      <c r="AD59" s="10">
        <v>1</v>
      </c>
      <c r="AE59" s="13">
        <f t="shared" si="4"/>
        <v>8.9267727793713059E-2</v>
      </c>
      <c r="AF59" s="8"/>
      <c r="AG59" s="9">
        <v>69.124600000000001</v>
      </c>
      <c r="AH59" s="9">
        <v>134</v>
      </c>
      <c r="AI59" s="9">
        <v>3423.5961000000002</v>
      </c>
      <c r="AJ59" s="10">
        <v>1</v>
      </c>
      <c r="AK59" s="13">
        <f t="shared" si="5"/>
        <v>3.9140131045248001E-2</v>
      </c>
    </row>
    <row r="60" spans="1:37" x14ac:dyDescent="0.4">
      <c r="A60" s="3">
        <v>69.138900000000007</v>
      </c>
      <c r="B60" s="3">
        <v>552</v>
      </c>
      <c r="C60" s="3">
        <v>6720.4273000000003</v>
      </c>
      <c r="D60" s="4">
        <v>1</v>
      </c>
      <c r="E60" s="11">
        <f t="shared" si="0"/>
        <v>8.2137634313818111E-2</v>
      </c>
      <c r="F60" s="2"/>
      <c r="G60" s="3">
        <v>69.138999999999996</v>
      </c>
      <c r="H60" s="3">
        <v>659</v>
      </c>
      <c r="I60" s="3">
        <v>6038.7313999999997</v>
      </c>
      <c r="J60" s="4">
        <v>1</v>
      </c>
      <c r="K60" s="11">
        <f t="shared" si="1"/>
        <v>0.10912888094343789</v>
      </c>
      <c r="N60" s="6">
        <v>69.132199999999997</v>
      </c>
      <c r="O60" s="6">
        <v>108</v>
      </c>
      <c r="P60" s="6">
        <v>4748.0736999999999</v>
      </c>
      <c r="Q60" s="7">
        <v>1</v>
      </c>
      <c r="R60" s="12">
        <f t="shared" si="2"/>
        <v>2.274606647323103E-2</v>
      </c>
      <c r="S60" s="5"/>
      <c r="T60" s="6">
        <v>69.132000000000005</v>
      </c>
      <c r="U60" s="6">
        <v>91</v>
      </c>
      <c r="V60" s="6">
        <v>3946.5650999999998</v>
      </c>
      <c r="W60" s="7">
        <v>1</v>
      </c>
      <c r="X60" s="12">
        <f t="shared" si="3"/>
        <v>2.3058025826053142E-2</v>
      </c>
      <c r="AA60" s="9">
        <v>69.137100000000004</v>
      </c>
      <c r="AB60" s="9">
        <v>536</v>
      </c>
      <c r="AC60" s="9">
        <v>5533.7040999999999</v>
      </c>
      <c r="AD60" s="10">
        <v>1</v>
      </c>
      <c r="AE60" s="13">
        <f t="shared" si="4"/>
        <v>9.6860979610384298E-2</v>
      </c>
      <c r="AF60" s="8"/>
      <c r="AG60" s="9">
        <v>69.134600000000006</v>
      </c>
      <c r="AH60" s="9">
        <v>154</v>
      </c>
      <c r="AI60" s="9">
        <v>3424.3171000000002</v>
      </c>
      <c r="AJ60" s="10">
        <v>1</v>
      </c>
      <c r="AK60" s="13">
        <f t="shared" si="5"/>
        <v>4.4972470569387392E-2</v>
      </c>
    </row>
    <row r="61" spans="1:37" x14ac:dyDescent="0.4">
      <c r="A61" s="3">
        <v>69.148899999999998</v>
      </c>
      <c r="B61" s="3">
        <v>545</v>
      </c>
      <c r="C61" s="3">
        <v>6723.6939000000002</v>
      </c>
      <c r="D61" s="4">
        <v>1</v>
      </c>
      <c r="E61" s="11">
        <f t="shared" si="0"/>
        <v>8.1056634657327278E-2</v>
      </c>
      <c r="F61" s="2"/>
      <c r="G61" s="3">
        <v>69.149000000000001</v>
      </c>
      <c r="H61" s="3">
        <v>681</v>
      </c>
      <c r="I61" s="3">
        <v>6038.8190000000004</v>
      </c>
      <c r="J61" s="4">
        <v>1</v>
      </c>
      <c r="K61" s="11">
        <f t="shared" si="1"/>
        <v>0.11277039434366222</v>
      </c>
      <c r="N61" s="6">
        <v>69.142200000000003</v>
      </c>
      <c r="O61" s="6">
        <v>108</v>
      </c>
      <c r="P61" s="6">
        <v>4747.0684000000001</v>
      </c>
      <c r="Q61" s="7">
        <v>1</v>
      </c>
      <c r="R61" s="12">
        <f t="shared" si="2"/>
        <v>2.2750883471575847E-2</v>
      </c>
      <c r="S61" s="5"/>
      <c r="T61" s="6">
        <v>69.141999999999996</v>
      </c>
      <c r="U61" s="6">
        <v>90</v>
      </c>
      <c r="V61" s="6">
        <v>3943.7489999999998</v>
      </c>
      <c r="W61" s="7">
        <v>1</v>
      </c>
      <c r="X61" s="12">
        <f t="shared" si="3"/>
        <v>2.2820924962516632E-2</v>
      </c>
      <c r="AA61" s="9">
        <v>69.147099999999995</v>
      </c>
      <c r="AB61" s="9">
        <v>550</v>
      </c>
      <c r="AC61" s="9">
        <v>5531.2155000000002</v>
      </c>
      <c r="AD61" s="10">
        <v>1</v>
      </c>
      <c r="AE61" s="13">
        <f t="shared" si="4"/>
        <v>9.9435648457377943E-2</v>
      </c>
      <c r="AF61" s="8"/>
      <c r="AG61" s="9">
        <v>69.144599999999997</v>
      </c>
      <c r="AH61" s="9">
        <v>162</v>
      </c>
      <c r="AI61" s="9">
        <v>3424.4016000000001</v>
      </c>
      <c r="AJ61" s="10">
        <v>1</v>
      </c>
      <c r="AK61" s="13">
        <f t="shared" si="5"/>
        <v>4.7307535424583373E-2</v>
      </c>
    </row>
    <row r="62" spans="1:37" x14ac:dyDescent="0.4">
      <c r="A62" s="3">
        <v>69.158900000000003</v>
      </c>
      <c r="B62" s="3">
        <v>637</v>
      </c>
      <c r="C62" s="3">
        <v>6719.6076000000003</v>
      </c>
      <c r="D62" s="4">
        <v>1</v>
      </c>
      <c r="E62" s="11">
        <f t="shared" si="0"/>
        <v>9.4797202146149132E-2</v>
      </c>
      <c r="F62" s="2"/>
      <c r="G62" s="3">
        <v>69.159000000000006</v>
      </c>
      <c r="H62" s="3">
        <v>698</v>
      </c>
      <c r="I62" s="3">
        <v>6039.9319999999998</v>
      </c>
      <c r="J62" s="4">
        <v>1</v>
      </c>
      <c r="K62" s="11">
        <f t="shared" si="1"/>
        <v>0.11556421496136049</v>
      </c>
      <c r="N62" s="6">
        <v>69.152199999999993</v>
      </c>
      <c r="O62" s="6">
        <v>134</v>
      </c>
      <c r="P62" s="6">
        <v>4741.9625999999998</v>
      </c>
      <c r="Q62" s="7">
        <v>1</v>
      </c>
      <c r="R62" s="12">
        <f t="shared" si="2"/>
        <v>2.825834180978146E-2</v>
      </c>
      <c r="S62" s="5"/>
      <c r="T62" s="6">
        <v>69.152000000000001</v>
      </c>
      <c r="U62" s="6">
        <v>117</v>
      </c>
      <c r="V62" s="6">
        <v>3945.4704999999999</v>
      </c>
      <c r="W62" s="7">
        <v>1</v>
      </c>
      <c r="X62" s="12">
        <f t="shared" si="3"/>
        <v>2.9654257964924588E-2</v>
      </c>
      <c r="AA62" s="9">
        <v>69.1571</v>
      </c>
      <c r="AB62" s="9">
        <v>654</v>
      </c>
      <c r="AC62" s="9">
        <v>5531.0645999999997</v>
      </c>
      <c r="AD62" s="10">
        <v>1</v>
      </c>
      <c r="AE62" s="13">
        <f t="shared" si="4"/>
        <v>0.11824125142201378</v>
      </c>
      <c r="AF62" s="8"/>
      <c r="AG62" s="9">
        <v>69.154600000000002</v>
      </c>
      <c r="AH62" s="9">
        <v>157</v>
      </c>
      <c r="AI62" s="9">
        <v>3424.5821999999998</v>
      </c>
      <c r="AJ62" s="10">
        <v>1</v>
      </c>
      <c r="AK62" s="13">
        <f t="shared" si="5"/>
        <v>4.5845008480158544E-2</v>
      </c>
    </row>
    <row r="63" spans="1:37" x14ac:dyDescent="0.4">
      <c r="A63" s="3">
        <v>69.168899999999994</v>
      </c>
      <c r="B63" s="3">
        <v>667</v>
      </c>
      <c r="C63" s="3">
        <v>6721.6562000000004</v>
      </c>
      <c r="D63" s="4">
        <v>1</v>
      </c>
      <c r="E63" s="11">
        <f t="shared" si="0"/>
        <v>9.9231495951845911E-2</v>
      </c>
      <c r="F63" s="2"/>
      <c r="G63" s="3">
        <v>69.168999999999997</v>
      </c>
      <c r="H63" s="3">
        <v>748</v>
      </c>
      <c r="I63" s="3">
        <v>6041.0533999999998</v>
      </c>
      <c r="J63" s="4">
        <v>1</v>
      </c>
      <c r="K63" s="11">
        <f t="shared" si="1"/>
        <v>0.12381946499595584</v>
      </c>
      <c r="N63" s="6">
        <v>69.162199999999999</v>
      </c>
      <c r="O63" s="6">
        <v>156</v>
      </c>
      <c r="P63" s="6">
        <v>4740.2237999999998</v>
      </c>
      <c r="Q63" s="7">
        <v>1</v>
      </c>
      <c r="R63" s="12">
        <f t="shared" si="2"/>
        <v>3.2909838560786941E-2</v>
      </c>
      <c r="S63" s="5"/>
      <c r="T63" s="6">
        <v>69.162000000000006</v>
      </c>
      <c r="U63" s="6">
        <v>116</v>
      </c>
      <c r="V63" s="6">
        <v>3945.0050000000001</v>
      </c>
      <c r="W63" s="7">
        <v>1</v>
      </c>
      <c r="X63" s="12">
        <f t="shared" si="3"/>
        <v>2.9404271984446152E-2</v>
      </c>
      <c r="AA63" s="9">
        <v>69.167100000000005</v>
      </c>
      <c r="AB63" s="9">
        <v>675</v>
      </c>
      <c r="AC63" s="9">
        <v>5528.0092000000004</v>
      </c>
      <c r="AD63" s="10">
        <v>1</v>
      </c>
      <c r="AE63" s="13">
        <f t="shared" si="4"/>
        <v>0.12210544077965715</v>
      </c>
      <c r="AF63" s="8"/>
      <c r="AG63" s="9">
        <v>69.164599999999993</v>
      </c>
      <c r="AH63" s="9">
        <v>159</v>
      </c>
      <c r="AI63" s="9">
        <v>3423.8328000000001</v>
      </c>
      <c r="AJ63" s="10">
        <v>1</v>
      </c>
      <c r="AK63" s="13">
        <f t="shared" si="5"/>
        <v>4.643918359564754E-2</v>
      </c>
    </row>
    <row r="64" spans="1:37" x14ac:dyDescent="0.4">
      <c r="A64" s="3">
        <v>69.178899999999999</v>
      </c>
      <c r="B64" s="3">
        <v>664</v>
      </c>
      <c r="C64" s="3">
        <v>6719.741</v>
      </c>
      <c r="D64" s="4">
        <v>1</v>
      </c>
      <c r="E64" s="11">
        <f t="shared" si="0"/>
        <v>9.881333224003723E-2</v>
      </c>
      <c r="F64" s="2"/>
      <c r="G64" s="3">
        <v>69.179000000000002</v>
      </c>
      <c r="H64" s="3">
        <v>750</v>
      </c>
      <c r="I64" s="3">
        <v>6043.1166000000003</v>
      </c>
      <c r="J64" s="4">
        <v>1</v>
      </c>
      <c r="K64" s="11">
        <f t="shared" si="1"/>
        <v>0.12410814644880425</v>
      </c>
      <c r="N64" s="6">
        <v>69.172200000000004</v>
      </c>
      <c r="O64" s="6">
        <v>169</v>
      </c>
      <c r="P64" s="6">
        <v>4738.1147000000001</v>
      </c>
      <c r="Q64" s="7">
        <v>1</v>
      </c>
      <c r="R64" s="12">
        <f t="shared" si="2"/>
        <v>3.5668195200086648E-2</v>
      </c>
      <c r="S64" s="5"/>
      <c r="T64" s="6">
        <v>69.171999999999997</v>
      </c>
      <c r="U64" s="6">
        <v>121</v>
      </c>
      <c r="V64" s="6">
        <v>3944.3188</v>
      </c>
      <c r="W64" s="7">
        <v>1</v>
      </c>
      <c r="X64" s="12">
        <f t="shared" si="3"/>
        <v>3.0677033509563172E-2</v>
      </c>
      <c r="AA64" s="9">
        <v>69.177099999999996</v>
      </c>
      <c r="AB64" s="9">
        <v>722</v>
      </c>
      <c r="AC64" s="9">
        <v>5528.5095000000001</v>
      </c>
      <c r="AD64" s="10">
        <v>1</v>
      </c>
      <c r="AE64" s="13">
        <f t="shared" si="4"/>
        <v>0.13059577812066706</v>
      </c>
      <c r="AF64" s="8"/>
      <c r="AG64" s="9">
        <v>69.174599999999998</v>
      </c>
      <c r="AH64" s="9">
        <v>162</v>
      </c>
      <c r="AI64" s="9">
        <v>3425.0039999999999</v>
      </c>
      <c r="AJ64" s="10">
        <v>1</v>
      </c>
      <c r="AK64" s="13">
        <f t="shared" si="5"/>
        <v>4.7299214833033773E-2</v>
      </c>
    </row>
    <row r="65" spans="1:37" x14ac:dyDescent="0.4">
      <c r="A65" s="3">
        <v>69.188900000000004</v>
      </c>
      <c r="B65" s="3">
        <v>736</v>
      </c>
      <c r="C65" s="3">
        <v>6719.3423000000003</v>
      </c>
      <c r="D65" s="4">
        <v>1</v>
      </c>
      <c r="E65" s="11">
        <f t="shared" si="0"/>
        <v>0.10953452988992687</v>
      </c>
      <c r="F65" s="2"/>
      <c r="G65" s="3">
        <v>69.188999999999993</v>
      </c>
      <c r="H65" s="3">
        <v>869</v>
      </c>
      <c r="I65" s="3">
        <v>6041.1117999999997</v>
      </c>
      <c r="J65" s="4">
        <v>1</v>
      </c>
      <c r="K65" s="11">
        <f t="shared" si="1"/>
        <v>0.14384769373081294</v>
      </c>
      <c r="N65" s="6">
        <v>69.182199999999995</v>
      </c>
      <c r="O65" s="6">
        <v>192</v>
      </c>
      <c r="P65" s="6">
        <v>4734.0784999999996</v>
      </c>
      <c r="Q65" s="7">
        <v>1</v>
      </c>
      <c r="R65" s="12">
        <f t="shared" si="2"/>
        <v>4.055699541103934E-2</v>
      </c>
      <c r="S65" s="5"/>
      <c r="T65" s="6">
        <v>69.182000000000002</v>
      </c>
      <c r="U65" s="6">
        <v>133</v>
      </c>
      <c r="V65" s="6">
        <v>3944.1237000000001</v>
      </c>
      <c r="W65" s="7">
        <v>1</v>
      </c>
      <c r="X65" s="12">
        <f t="shared" si="3"/>
        <v>3.3721051903113482E-2</v>
      </c>
      <c r="AA65" s="9">
        <v>69.187100000000001</v>
      </c>
      <c r="AB65" s="9">
        <v>676</v>
      </c>
      <c r="AC65" s="9">
        <v>5526.3037999999997</v>
      </c>
      <c r="AD65" s="10">
        <v>1</v>
      </c>
      <c r="AE65" s="13">
        <f t="shared" si="4"/>
        <v>0.12232407490880252</v>
      </c>
      <c r="AF65" s="8"/>
      <c r="AG65" s="9">
        <v>69.184600000000003</v>
      </c>
      <c r="AH65" s="9">
        <v>172</v>
      </c>
      <c r="AI65" s="9">
        <v>3423.0572000000002</v>
      </c>
      <c r="AJ65" s="10">
        <v>1</v>
      </c>
      <c r="AK65" s="13">
        <f t="shared" si="5"/>
        <v>5.024748052705634E-2</v>
      </c>
    </row>
    <row r="66" spans="1:37" x14ac:dyDescent="0.4">
      <c r="A66" s="3">
        <v>69.198899999999995</v>
      </c>
      <c r="B66" s="3">
        <v>744</v>
      </c>
      <c r="C66" s="3">
        <v>6717.7024000000001</v>
      </c>
      <c r="D66" s="4">
        <v>1</v>
      </c>
      <c r="E66" s="11">
        <f t="shared" si="0"/>
        <v>0.11075215240258336</v>
      </c>
      <c r="F66" s="2"/>
      <c r="G66" s="3">
        <v>69.198999999999998</v>
      </c>
      <c r="H66" s="3">
        <v>927</v>
      </c>
      <c r="I66" s="3">
        <v>6042.8594999999996</v>
      </c>
      <c r="J66" s="4">
        <v>1</v>
      </c>
      <c r="K66" s="11">
        <f t="shared" si="1"/>
        <v>0.15340419548063297</v>
      </c>
      <c r="N66" s="6">
        <v>69.1922</v>
      </c>
      <c r="O66" s="6">
        <v>231</v>
      </c>
      <c r="P66" s="6">
        <v>4729.7528000000002</v>
      </c>
      <c r="Q66" s="7">
        <v>1</v>
      </c>
      <c r="R66" s="12">
        <f t="shared" si="2"/>
        <v>4.8839761773596287E-2</v>
      </c>
      <c r="S66" s="5"/>
      <c r="T66" s="6">
        <v>69.191999999999993</v>
      </c>
      <c r="U66" s="6">
        <v>160</v>
      </c>
      <c r="V66" s="6">
        <v>3943.39</v>
      </c>
      <c r="W66" s="7">
        <v>1</v>
      </c>
      <c r="X66" s="12">
        <f t="shared" si="3"/>
        <v>4.0574226743994385E-2</v>
      </c>
      <c r="AA66" s="9">
        <v>69.197100000000006</v>
      </c>
      <c r="AB66" s="9">
        <v>807</v>
      </c>
      <c r="AC66" s="9">
        <v>5524.6498000000001</v>
      </c>
      <c r="AD66" s="10">
        <v>1</v>
      </c>
      <c r="AE66" s="13">
        <f t="shared" si="4"/>
        <v>0.14607260717231343</v>
      </c>
      <c r="AF66" s="8"/>
      <c r="AG66" s="9">
        <v>69.194599999999994</v>
      </c>
      <c r="AH66" s="9">
        <v>196</v>
      </c>
      <c r="AI66" s="9">
        <v>3423.9308000000001</v>
      </c>
      <c r="AJ66" s="10">
        <v>1</v>
      </c>
      <c r="AK66" s="13">
        <f t="shared" si="5"/>
        <v>5.7244147574477849E-2</v>
      </c>
    </row>
    <row r="67" spans="1:37" x14ac:dyDescent="0.4">
      <c r="A67" s="3">
        <v>69.2089</v>
      </c>
      <c r="B67" s="3">
        <v>834</v>
      </c>
      <c r="C67" s="3">
        <v>6710.4786999999997</v>
      </c>
      <c r="D67" s="4">
        <v>1</v>
      </c>
      <c r="E67" s="11">
        <f t="shared" si="0"/>
        <v>0.12428323481601991</v>
      </c>
      <c r="F67" s="2"/>
      <c r="G67" s="3">
        <v>69.209000000000003</v>
      </c>
      <c r="H67" s="3">
        <v>904</v>
      </c>
      <c r="I67" s="3">
        <v>6044.0069999999996</v>
      </c>
      <c r="J67" s="4">
        <v>1</v>
      </c>
      <c r="K67" s="11">
        <f t="shared" si="1"/>
        <v>0.14956964808280335</v>
      </c>
      <c r="N67" s="6">
        <v>69.202200000000005</v>
      </c>
      <c r="O67" s="6">
        <v>215</v>
      </c>
      <c r="P67" s="6">
        <v>4725.4547000000002</v>
      </c>
      <c r="Q67" s="7">
        <v>1</v>
      </c>
      <c r="R67" s="12">
        <f t="shared" si="2"/>
        <v>4.5498267076816964E-2</v>
      </c>
      <c r="S67" s="5"/>
      <c r="T67" s="6">
        <v>69.201999999999998</v>
      </c>
      <c r="U67" s="6">
        <v>198</v>
      </c>
      <c r="V67" s="6">
        <v>3944.7683999999999</v>
      </c>
      <c r="W67" s="7">
        <v>1</v>
      </c>
      <c r="X67" s="12">
        <f t="shared" si="3"/>
        <v>5.0193060763719363E-2</v>
      </c>
      <c r="AA67" s="9">
        <v>69.207099999999997</v>
      </c>
      <c r="AB67" s="9">
        <v>828</v>
      </c>
      <c r="AC67" s="9">
        <v>5524.4273000000003</v>
      </c>
      <c r="AD67" s="10">
        <v>1</v>
      </c>
      <c r="AE67" s="13">
        <f t="shared" si="4"/>
        <v>0.14987978934938648</v>
      </c>
      <c r="AF67" s="8"/>
      <c r="AG67" s="9">
        <v>69.204599999999999</v>
      </c>
      <c r="AH67" s="9">
        <v>181</v>
      </c>
      <c r="AI67" s="9">
        <v>3423.9328999999998</v>
      </c>
      <c r="AJ67" s="10">
        <v>1</v>
      </c>
      <c r="AK67" s="13">
        <f t="shared" si="5"/>
        <v>5.2863185490580146E-2</v>
      </c>
    </row>
    <row r="68" spans="1:37" x14ac:dyDescent="0.4">
      <c r="A68" s="3">
        <v>69.218900000000005</v>
      </c>
      <c r="B68" s="3">
        <v>871</v>
      </c>
      <c r="C68" s="3">
        <v>6708.6189000000004</v>
      </c>
      <c r="D68" s="4">
        <v>1</v>
      </c>
      <c r="E68" s="11">
        <f t="shared" si="0"/>
        <v>0.12983298246379743</v>
      </c>
      <c r="F68" s="2"/>
      <c r="G68" s="3">
        <v>69.218999999999994</v>
      </c>
      <c r="H68" s="3">
        <v>947</v>
      </c>
      <c r="I68" s="3">
        <v>6043.4526999999998</v>
      </c>
      <c r="J68" s="4">
        <v>1</v>
      </c>
      <c r="K68" s="11">
        <f t="shared" si="1"/>
        <v>0.15669850448237976</v>
      </c>
      <c r="N68" s="6">
        <v>69.212199999999996</v>
      </c>
      <c r="O68" s="6">
        <v>266</v>
      </c>
      <c r="P68" s="6">
        <v>4723.2295999999997</v>
      </c>
      <c r="Q68" s="7">
        <v>1</v>
      </c>
      <c r="R68" s="12">
        <f t="shared" si="2"/>
        <v>5.6317397739885443E-2</v>
      </c>
      <c r="S68" s="5"/>
      <c r="T68" s="6">
        <v>69.212000000000003</v>
      </c>
      <c r="U68" s="6">
        <v>200</v>
      </c>
      <c r="V68" s="6">
        <v>3944.1282000000001</v>
      </c>
      <c r="W68" s="7">
        <v>1</v>
      </c>
      <c r="X68" s="12">
        <f t="shared" si="3"/>
        <v>5.0708290871478261E-2</v>
      </c>
      <c r="AA68" s="9">
        <v>69.217100000000002</v>
      </c>
      <c r="AB68" s="9">
        <v>868</v>
      </c>
      <c r="AC68" s="9">
        <v>5524.0650999999998</v>
      </c>
      <c r="AD68" s="10">
        <v>1</v>
      </c>
      <c r="AE68" s="13">
        <f t="shared" si="4"/>
        <v>0.15713066089680949</v>
      </c>
      <c r="AF68" s="8"/>
      <c r="AG68" s="9">
        <v>69.214600000000004</v>
      </c>
      <c r="AH68" s="9">
        <v>229</v>
      </c>
      <c r="AI68" s="9">
        <v>3422.9796000000001</v>
      </c>
      <c r="AJ68" s="10">
        <v>1</v>
      </c>
      <c r="AK68" s="13">
        <f t="shared" si="5"/>
        <v>6.6900778491347124E-2</v>
      </c>
    </row>
    <row r="69" spans="1:37" x14ac:dyDescent="0.4">
      <c r="A69" s="3">
        <v>69.228899999999996</v>
      </c>
      <c r="B69" s="3">
        <v>897</v>
      </c>
      <c r="C69" s="3">
        <v>6711.1122999999998</v>
      </c>
      <c r="D69" s="4">
        <v>1</v>
      </c>
      <c r="E69" s="11">
        <f t="shared" si="0"/>
        <v>0.13365891671936408</v>
      </c>
      <c r="F69" s="2"/>
      <c r="G69" s="3">
        <v>69.228999999999999</v>
      </c>
      <c r="H69" s="3">
        <v>1072</v>
      </c>
      <c r="I69" s="3">
        <v>6044.4174999999996</v>
      </c>
      <c r="J69" s="4">
        <v>1</v>
      </c>
      <c r="K69" s="11">
        <f t="shared" si="1"/>
        <v>0.17735373176985211</v>
      </c>
      <c r="N69" s="6">
        <v>69.222200000000001</v>
      </c>
      <c r="O69" s="6">
        <v>270</v>
      </c>
      <c r="P69" s="6">
        <v>4720.143</v>
      </c>
      <c r="Q69" s="7">
        <v>1</v>
      </c>
      <c r="R69" s="12">
        <f t="shared" si="2"/>
        <v>5.7201656814210924E-2</v>
      </c>
      <c r="S69" s="5"/>
      <c r="T69" s="6">
        <v>69.221999999999994</v>
      </c>
      <c r="U69" s="6">
        <v>208</v>
      </c>
      <c r="V69" s="6">
        <v>3945.6381999999999</v>
      </c>
      <c r="W69" s="7">
        <v>1</v>
      </c>
      <c r="X69" s="12">
        <f t="shared" si="3"/>
        <v>5.2716440143954407E-2</v>
      </c>
      <c r="AA69" s="9">
        <v>69.227099999999993</v>
      </c>
      <c r="AB69" s="9">
        <v>927</v>
      </c>
      <c r="AC69" s="9">
        <v>5526.2196999999996</v>
      </c>
      <c r="AD69" s="10">
        <v>1</v>
      </c>
      <c r="AE69" s="13">
        <f t="shared" si="4"/>
        <v>0.16774577384246958</v>
      </c>
      <c r="AF69" s="8"/>
      <c r="AG69" s="9">
        <v>69.224599999999995</v>
      </c>
      <c r="AH69" s="9">
        <v>223</v>
      </c>
      <c r="AI69" s="9">
        <v>3423.3213000000001</v>
      </c>
      <c r="AJ69" s="10">
        <v>1</v>
      </c>
      <c r="AK69" s="13">
        <f t="shared" si="5"/>
        <v>6.5141416904104216E-2</v>
      </c>
    </row>
    <row r="70" spans="1:37" x14ac:dyDescent="0.4">
      <c r="A70" s="3">
        <v>69.238900000000001</v>
      </c>
      <c r="B70" s="3">
        <v>1028</v>
      </c>
      <c r="C70" s="3">
        <v>6706.884</v>
      </c>
      <c r="D70" s="4">
        <v>1</v>
      </c>
      <c r="E70" s="11">
        <f t="shared" ref="E70:E133" si="6">B70/C70*D70</f>
        <v>0.15327535111685248</v>
      </c>
      <c r="F70" s="2"/>
      <c r="G70" s="3">
        <v>69.239000000000004</v>
      </c>
      <c r="H70" s="3">
        <v>1101</v>
      </c>
      <c r="I70" s="3">
        <v>6041.8294999999998</v>
      </c>
      <c r="J70" s="4">
        <v>1</v>
      </c>
      <c r="K70" s="11">
        <f t="shared" ref="K70:K133" si="7">H70/I70*J70</f>
        <v>0.18222957135748369</v>
      </c>
      <c r="N70" s="6">
        <v>69.232200000000006</v>
      </c>
      <c r="O70" s="6">
        <v>299</v>
      </c>
      <c r="P70" s="6">
        <v>4720.42</v>
      </c>
      <c r="Q70" s="7">
        <v>1</v>
      </c>
      <c r="R70" s="12">
        <f t="shared" ref="R70:R133" si="8">O70/P70*Q70</f>
        <v>6.334182127861504E-2</v>
      </c>
      <c r="S70" s="5"/>
      <c r="T70" s="6">
        <v>69.231999999999999</v>
      </c>
      <c r="U70" s="6">
        <v>271</v>
      </c>
      <c r="V70" s="6">
        <v>3946.0279999999998</v>
      </c>
      <c r="W70" s="7">
        <v>1</v>
      </c>
      <c r="X70" s="12">
        <f t="shared" ref="X70:X133" si="9">U70/V70*W70</f>
        <v>6.8676654093686104E-2</v>
      </c>
      <c r="AA70" s="9">
        <v>69.237099999999998</v>
      </c>
      <c r="AB70" s="9">
        <v>1000</v>
      </c>
      <c r="AC70" s="9">
        <v>5526.1679000000004</v>
      </c>
      <c r="AD70" s="10">
        <v>1</v>
      </c>
      <c r="AE70" s="13">
        <f t="shared" ref="AE70:AE133" si="10">AB70/AC70*AD70</f>
        <v>0.18095722354002308</v>
      </c>
      <c r="AF70" s="8"/>
      <c r="AG70" s="9">
        <v>69.2346</v>
      </c>
      <c r="AH70" s="9">
        <v>234</v>
      </c>
      <c r="AI70" s="9">
        <v>3424.8092999999999</v>
      </c>
      <c r="AJ70" s="10">
        <v>1</v>
      </c>
      <c r="AK70" s="13">
        <f t="shared" ref="AK70:AK133" si="11">AH70/AI70*AJ70</f>
        <v>6.8324972137864731E-2</v>
      </c>
    </row>
    <row r="71" spans="1:37" x14ac:dyDescent="0.4">
      <c r="A71" s="3">
        <v>69.248900000000006</v>
      </c>
      <c r="B71" s="3">
        <v>1104</v>
      </c>
      <c r="C71" s="3">
        <v>6701.5837000000001</v>
      </c>
      <c r="D71" s="4">
        <v>1</v>
      </c>
      <c r="E71" s="11">
        <f t="shared" si="6"/>
        <v>0.16473717995941764</v>
      </c>
      <c r="F71" s="2"/>
      <c r="G71" s="3">
        <v>69.248999999999995</v>
      </c>
      <c r="H71" s="3">
        <v>1167</v>
      </c>
      <c r="I71" s="3">
        <v>6041.6328999999996</v>
      </c>
      <c r="J71" s="4">
        <v>1</v>
      </c>
      <c r="K71" s="11">
        <f t="shared" si="7"/>
        <v>0.19315970025255921</v>
      </c>
      <c r="N71" s="6">
        <v>69.242199999999997</v>
      </c>
      <c r="O71" s="6">
        <v>350</v>
      </c>
      <c r="P71" s="6">
        <v>4724.4111000000003</v>
      </c>
      <c r="Q71" s="7">
        <v>1</v>
      </c>
      <c r="R71" s="12">
        <f t="shared" si="8"/>
        <v>7.4083307441217383E-2</v>
      </c>
      <c r="S71" s="5"/>
      <c r="T71" s="6">
        <v>69.242000000000004</v>
      </c>
      <c r="U71" s="6">
        <v>297</v>
      </c>
      <c r="V71" s="6">
        <v>3947.9607000000001</v>
      </c>
      <c r="W71" s="7">
        <v>1</v>
      </c>
      <c r="X71" s="12">
        <f t="shared" si="9"/>
        <v>7.5228712383079197E-2</v>
      </c>
      <c r="AA71" s="9">
        <v>69.247100000000003</v>
      </c>
      <c r="AB71" s="9">
        <v>1100</v>
      </c>
      <c r="AC71" s="9">
        <v>5525.4962999999998</v>
      </c>
      <c r="AD71" s="10">
        <v>1</v>
      </c>
      <c r="AE71" s="13">
        <f t="shared" si="10"/>
        <v>0.19907713991230075</v>
      </c>
      <c r="AF71" s="8"/>
      <c r="AG71" s="9">
        <v>69.244600000000005</v>
      </c>
      <c r="AH71" s="9">
        <v>255</v>
      </c>
      <c r="AI71" s="9">
        <v>3424.2161000000001</v>
      </c>
      <c r="AJ71" s="10">
        <v>1</v>
      </c>
      <c r="AK71" s="13">
        <f t="shared" si="11"/>
        <v>7.446959904195298E-2</v>
      </c>
    </row>
    <row r="72" spans="1:37" x14ac:dyDescent="0.4">
      <c r="A72" s="3">
        <v>69.258899999999997</v>
      </c>
      <c r="B72" s="3">
        <v>1167</v>
      </c>
      <c r="C72" s="3">
        <v>6699.9004000000004</v>
      </c>
      <c r="D72" s="4">
        <v>1</v>
      </c>
      <c r="E72" s="11">
        <f t="shared" si="6"/>
        <v>0.17418169380547804</v>
      </c>
      <c r="F72" s="2"/>
      <c r="G72" s="3">
        <v>69.259</v>
      </c>
      <c r="H72" s="3">
        <v>1193</v>
      </c>
      <c r="I72" s="3">
        <v>6040.9988999999996</v>
      </c>
      <c r="J72" s="4">
        <v>1</v>
      </c>
      <c r="K72" s="11">
        <f t="shared" si="7"/>
        <v>0.19748389624768845</v>
      </c>
      <c r="N72" s="6">
        <v>69.252200000000002</v>
      </c>
      <c r="O72" s="6">
        <v>400</v>
      </c>
      <c r="P72" s="6">
        <v>4726.8208999999997</v>
      </c>
      <c r="Q72" s="7">
        <v>1</v>
      </c>
      <c r="R72" s="12">
        <f t="shared" si="8"/>
        <v>8.4623472829275168E-2</v>
      </c>
      <c r="S72" s="5"/>
      <c r="T72" s="6">
        <v>69.251999999999995</v>
      </c>
      <c r="U72" s="6">
        <v>360</v>
      </c>
      <c r="V72" s="6">
        <v>3948.0003000000002</v>
      </c>
      <c r="W72" s="7">
        <v>1</v>
      </c>
      <c r="X72" s="12">
        <f t="shared" si="9"/>
        <v>9.1185403405364476E-2</v>
      </c>
      <c r="AA72" s="9">
        <v>69.257099999999994</v>
      </c>
      <c r="AB72" s="9">
        <v>1157</v>
      </c>
      <c r="AC72" s="9">
        <v>5523.5742</v>
      </c>
      <c r="AD72" s="10">
        <v>1</v>
      </c>
      <c r="AE72" s="13">
        <f t="shared" si="10"/>
        <v>0.20946582015681078</v>
      </c>
      <c r="AF72" s="8"/>
      <c r="AG72" s="9">
        <v>69.254599999999996</v>
      </c>
      <c r="AH72" s="9">
        <v>242</v>
      </c>
      <c r="AI72" s="9">
        <v>3423.9511000000002</v>
      </c>
      <c r="AJ72" s="10">
        <v>1</v>
      </c>
      <c r="AK72" s="13">
        <f t="shared" si="11"/>
        <v>7.0678579492563426E-2</v>
      </c>
    </row>
    <row r="73" spans="1:37" x14ac:dyDescent="0.4">
      <c r="A73" s="3">
        <v>69.268900000000002</v>
      </c>
      <c r="B73" s="3">
        <v>1299</v>
      </c>
      <c r="C73" s="3">
        <v>6697.2353999999996</v>
      </c>
      <c r="D73" s="4">
        <v>1</v>
      </c>
      <c r="E73" s="11">
        <f t="shared" si="6"/>
        <v>0.19396063038190356</v>
      </c>
      <c r="F73" s="2"/>
      <c r="G73" s="3">
        <v>69.269000000000005</v>
      </c>
      <c r="H73" s="3">
        <v>1350</v>
      </c>
      <c r="I73" s="3">
        <v>6040.5</v>
      </c>
      <c r="J73" s="4">
        <v>1</v>
      </c>
      <c r="K73" s="11">
        <f t="shared" si="7"/>
        <v>0.22349143282840825</v>
      </c>
      <c r="N73" s="6">
        <v>69.262200000000007</v>
      </c>
      <c r="O73" s="6">
        <v>463</v>
      </c>
      <c r="P73" s="6">
        <v>4728.5627000000004</v>
      </c>
      <c r="Q73" s="7">
        <v>1</v>
      </c>
      <c r="R73" s="12">
        <f t="shared" si="8"/>
        <v>9.791558859947018E-2</v>
      </c>
      <c r="S73" s="5"/>
      <c r="T73" s="6">
        <v>69.262</v>
      </c>
      <c r="U73" s="6">
        <v>426</v>
      </c>
      <c r="V73" s="6">
        <v>3928.2388999999998</v>
      </c>
      <c r="W73" s="7">
        <v>1</v>
      </c>
      <c r="X73" s="12">
        <f t="shared" si="9"/>
        <v>0.10844554286145887</v>
      </c>
      <c r="AA73" s="9">
        <v>69.267099999999999</v>
      </c>
      <c r="AB73" s="9">
        <v>1202</v>
      </c>
      <c r="AC73" s="9">
        <v>5521.3585999999996</v>
      </c>
      <c r="AD73" s="10">
        <v>1</v>
      </c>
      <c r="AE73" s="13">
        <f t="shared" si="10"/>
        <v>0.21770004215991334</v>
      </c>
      <c r="AF73" s="8"/>
      <c r="AG73" s="9">
        <v>69.264600000000002</v>
      </c>
      <c r="AH73" s="9">
        <v>279</v>
      </c>
      <c r="AI73" s="9">
        <v>3422.9445000000001</v>
      </c>
      <c r="AJ73" s="10">
        <v>1</v>
      </c>
      <c r="AK73" s="13">
        <f t="shared" si="11"/>
        <v>8.1508771176395059E-2</v>
      </c>
    </row>
    <row r="74" spans="1:37" x14ac:dyDescent="0.4">
      <c r="A74" s="3">
        <v>69.278899999999993</v>
      </c>
      <c r="B74" s="3">
        <v>1376</v>
      </c>
      <c r="C74" s="3">
        <v>6694.7745999999997</v>
      </c>
      <c r="D74" s="4">
        <v>1</v>
      </c>
      <c r="E74" s="11">
        <f t="shared" si="6"/>
        <v>0.20553343199933871</v>
      </c>
      <c r="F74" s="2"/>
      <c r="G74" s="3">
        <v>69.278999999999996</v>
      </c>
      <c r="H74" s="3">
        <v>1368</v>
      </c>
      <c r="I74" s="3">
        <v>6040.6226999999999</v>
      </c>
      <c r="J74" s="4">
        <v>1</v>
      </c>
      <c r="K74" s="11">
        <f t="shared" si="7"/>
        <v>0.22646671840636562</v>
      </c>
      <c r="N74" s="6">
        <v>69.272199999999998</v>
      </c>
      <c r="O74" s="6">
        <v>550</v>
      </c>
      <c r="P74" s="6">
        <v>4734.1210000000001</v>
      </c>
      <c r="Q74" s="7">
        <v>1</v>
      </c>
      <c r="R74" s="12">
        <f t="shared" si="8"/>
        <v>0.1161778501225465</v>
      </c>
      <c r="S74" s="5"/>
      <c r="T74" s="6">
        <v>69.272000000000006</v>
      </c>
      <c r="U74" s="6">
        <v>455</v>
      </c>
      <c r="V74" s="6">
        <v>3949.5275000000001</v>
      </c>
      <c r="W74" s="7">
        <v>1</v>
      </c>
      <c r="X74" s="12">
        <f t="shared" si="9"/>
        <v>0.1152036541079914</v>
      </c>
      <c r="AA74" s="9">
        <v>69.277100000000004</v>
      </c>
      <c r="AB74" s="9">
        <v>1312</v>
      </c>
      <c r="AC74" s="9">
        <v>5520.4032999999999</v>
      </c>
      <c r="AD74" s="10">
        <v>1</v>
      </c>
      <c r="AE74" s="13">
        <f t="shared" si="10"/>
        <v>0.23766379532451914</v>
      </c>
      <c r="AF74" s="8"/>
      <c r="AG74" s="9">
        <v>69.274600000000007</v>
      </c>
      <c r="AH74" s="9">
        <v>299</v>
      </c>
      <c r="AI74" s="9">
        <v>3423.0614</v>
      </c>
      <c r="AJ74" s="10">
        <v>1</v>
      </c>
      <c r="AK74" s="13">
        <f t="shared" si="11"/>
        <v>8.7348710718422984E-2</v>
      </c>
    </row>
    <row r="75" spans="1:37" x14ac:dyDescent="0.4">
      <c r="A75" s="3">
        <v>69.288899999999998</v>
      </c>
      <c r="B75" s="3">
        <v>1522</v>
      </c>
      <c r="C75" s="3">
        <v>6693.7064</v>
      </c>
      <c r="D75" s="4">
        <v>1</v>
      </c>
      <c r="E75" s="11">
        <f t="shared" si="6"/>
        <v>0.22737776488075426</v>
      </c>
      <c r="F75" s="2"/>
      <c r="G75" s="3">
        <v>69.289000000000001</v>
      </c>
      <c r="H75" s="3">
        <v>1443</v>
      </c>
      <c r="I75" s="3">
        <v>6040.5841</v>
      </c>
      <c r="J75" s="4">
        <v>1</v>
      </c>
      <c r="K75" s="11">
        <f t="shared" si="7"/>
        <v>0.23888418340206538</v>
      </c>
      <c r="N75" s="6">
        <v>69.282200000000003</v>
      </c>
      <c r="O75" s="6">
        <v>616</v>
      </c>
      <c r="P75" s="6">
        <v>4736.1705000000002</v>
      </c>
      <c r="Q75" s="7">
        <v>1</v>
      </c>
      <c r="R75" s="12">
        <f t="shared" si="8"/>
        <v>0.13006288519385018</v>
      </c>
      <c r="S75" s="5"/>
      <c r="T75" s="6">
        <v>69.281999999999996</v>
      </c>
      <c r="U75" s="6">
        <v>505</v>
      </c>
      <c r="V75" s="6">
        <v>3949.1073000000001</v>
      </c>
      <c r="W75" s="7">
        <v>1</v>
      </c>
      <c r="X75" s="12">
        <f t="shared" si="9"/>
        <v>0.12787700146815459</v>
      </c>
      <c r="AA75" s="9">
        <v>69.287099999999995</v>
      </c>
      <c r="AB75" s="9">
        <v>1404</v>
      </c>
      <c r="AC75" s="9">
        <v>5521.5357999999997</v>
      </c>
      <c r="AD75" s="10">
        <v>1</v>
      </c>
      <c r="AE75" s="13">
        <f t="shared" si="10"/>
        <v>0.25427707993852</v>
      </c>
      <c r="AF75" s="8"/>
      <c r="AG75" s="9">
        <v>69.284599999999998</v>
      </c>
      <c r="AH75" s="9">
        <v>307</v>
      </c>
      <c r="AI75" s="9">
        <v>3423.6095</v>
      </c>
      <c r="AJ75" s="10">
        <v>1</v>
      </c>
      <c r="AK75" s="13">
        <f t="shared" si="11"/>
        <v>8.9671441792646037E-2</v>
      </c>
    </row>
    <row r="76" spans="1:37" x14ac:dyDescent="0.4">
      <c r="A76" s="3">
        <v>69.298900000000003</v>
      </c>
      <c r="B76" s="3">
        <v>1568</v>
      </c>
      <c r="C76" s="3">
        <v>6692.4670999999998</v>
      </c>
      <c r="D76" s="4">
        <v>1</v>
      </c>
      <c r="E76" s="11">
        <f t="shared" si="6"/>
        <v>0.23429326981674667</v>
      </c>
      <c r="F76" s="2"/>
      <c r="G76" s="3">
        <v>69.299000000000007</v>
      </c>
      <c r="H76" s="3">
        <v>1534</v>
      </c>
      <c r="I76" s="3">
        <v>6039.9745000000003</v>
      </c>
      <c r="J76" s="4">
        <v>1</v>
      </c>
      <c r="K76" s="11">
        <f t="shared" si="7"/>
        <v>0.25397458217745783</v>
      </c>
      <c r="N76" s="6">
        <v>69.292199999999994</v>
      </c>
      <c r="O76" s="6">
        <v>708</v>
      </c>
      <c r="P76" s="6">
        <v>4740.2887000000001</v>
      </c>
      <c r="Q76" s="7">
        <v>1</v>
      </c>
      <c r="R76" s="12">
        <f t="shared" si="8"/>
        <v>0.14935799163456015</v>
      </c>
      <c r="S76" s="5"/>
      <c r="T76" s="6">
        <v>69.292000000000002</v>
      </c>
      <c r="U76" s="6">
        <v>559</v>
      </c>
      <c r="V76" s="6">
        <v>3949.2336</v>
      </c>
      <c r="W76" s="7">
        <v>1</v>
      </c>
      <c r="X76" s="12">
        <f t="shared" si="9"/>
        <v>0.14154645093670834</v>
      </c>
      <c r="AA76" s="9">
        <v>69.2971</v>
      </c>
      <c r="AB76" s="9">
        <v>1482</v>
      </c>
      <c r="AC76" s="9">
        <v>5522.7721000000001</v>
      </c>
      <c r="AD76" s="10">
        <v>1</v>
      </c>
      <c r="AE76" s="13">
        <f t="shared" si="10"/>
        <v>0.26834350090238196</v>
      </c>
      <c r="AF76" s="8"/>
      <c r="AG76" s="9">
        <v>69.294600000000003</v>
      </c>
      <c r="AH76" s="9">
        <v>300</v>
      </c>
      <c r="AI76" s="9">
        <v>3424.5039999999999</v>
      </c>
      <c r="AJ76" s="10">
        <v>1</v>
      </c>
      <c r="AK76" s="13">
        <f t="shared" si="11"/>
        <v>8.7603927459275852E-2</v>
      </c>
    </row>
    <row r="77" spans="1:37" x14ac:dyDescent="0.4">
      <c r="A77" s="3">
        <v>69.308899999999994</v>
      </c>
      <c r="B77" s="3">
        <v>1767</v>
      </c>
      <c r="C77" s="3">
        <v>6691.7013999999999</v>
      </c>
      <c r="D77" s="4">
        <v>1</v>
      </c>
      <c r="E77" s="11">
        <f t="shared" si="6"/>
        <v>0.26405840523607343</v>
      </c>
      <c r="F77" s="2"/>
      <c r="G77" s="3">
        <v>69.308999999999997</v>
      </c>
      <c r="H77" s="3">
        <v>1749</v>
      </c>
      <c r="I77" s="3">
        <v>6039.1378000000004</v>
      </c>
      <c r="J77" s="4">
        <v>1</v>
      </c>
      <c r="K77" s="11">
        <f t="shared" si="7"/>
        <v>0.28961087789717266</v>
      </c>
      <c r="N77" s="6">
        <v>69.302199999999999</v>
      </c>
      <c r="O77" s="6">
        <v>805</v>
      </c>
      <c r="P77" s="6">
        <v>4741.6849000000002</v>
      </c>
      <c r="Q77" s="7">
        <v>1</v>
      </c>
      <c r="R77" s="12">
        <f t="shared" si="8"/>
        <v>0.16977087617104206</v>
      </c>
      <c r="S77" s="5"/>
      <c r="T77" s="6">
        <v>69.302000000000007</v>
      </c>
      <c r="U77" s="6">
        <v>647</v>
      </c>
      <c r="V77" s="6">
        <v>3946.8537999999999</v>
      </c>
      <c r="W77" s="7">
        <v>1</v>
      </c>
      <c r="X77" s="12">
        <f t="shared" si="9"/>
        <v>0.16392803807427578</v>
      </c>
      <c r="AA77" s="9">
        <v>69.307100000000005</v>
      </c>
      <c r="AB77" s="9">
        <v>1577</v>
      </c>
      <c r="AC77" s="9">
        <v>5517.7999</v>
      </c>
      <c r="AD77" s="10">
        <v>1</v>
      </c>
      <c r="AE77" s="13">
        <f t="shared" si="10"/>
        <v>0.28580231769550035</v>
      </c>
      <c r="AF77" s="8"/>
      <c r="AG77" s="9">
        <v>69.304599999999994</v>
      </c>
      <c r="AH77" s="9">
        <v>367</v>
      </c>
      <c r="AI77" s="9">
        <v>3424.5866999999998</v>
      </c>
      <c r="AJ77" s="10">
        <v>1</v>
      </c>
      <c r="AK77" s="13">
        <f t="shared" si="11"/>
        <v>0.10716621658315732</v>
      </c>
    </row>
    <row r="78" spans="1:37" x14ac:dyDescent="0.4">
      <c r="A78" s="3">
        <v>69.318899999999999</v>
      </c>
      <c r="B78" s="3">
        <v>1871</v>
      </c>
      <c r="C78" s="3">
        <v>6689.4223000000002</v>
      </c>
      <c r="D78" s="4">
        <v>1</v>
      </c>
      <c r="E78" s="11">
        <f t="shared" si="6"/>
        <v>0.27969530343449839</v>
      </c>
      <c r="F78" s="2"/>
      <c r="G78" s="3">
        <v>69.319000000000003</v>
      </c>
      <c r="H78" s="3">
        <v>1802</v>
      </c>
      <c r="I78" s="3">
        <v>6040.2007999999996</v>
      </c>
      <c r="J78" s="4">
        <v>1</v>
      </c>
      <c r="K78" s="11">
        <f t="shared" si="7"/>
        <v>0.2983344527221678</v>
      </c>
      <c r="N78" s="6">
        <v>69.312200000000004</v>
      </c>
      <c r="O78" s="6">
        <v>899</v>
      </c>
      <c r="P78" s="6">
        <v>4743.9789000000001</v>
      </c>
      <c r="Q78" s="7">
        <v>1</v>
      </c>
      <c r="R78" s="12">
        <f t="shared" si="8"/>
        <v>0.18950337236955248</v>
      </c>
      <c r="S78" s="5"/>
      <c r="T78" s="6">
        <v>69.311999999999998</v>
      </c>
      <c r="U78" s="6">
        <v>789</v>
      </c>
      <c r="V78" s="6">
        <v>3926.4569999999999</v>
      </c>
      <c r="W78" s="7">
        <v>1</v>
      </c>
      <c r="X78" s="12">
        <f t="shared" si="9"/>
        <v>0.20094451562821139</v>
      </c>
      <c r="AA78" s="9">
        <v>69.317099999999996</v>
      </c>
      <c r="AB78" s="9">
        <v>1730</v>
      </c>
      <c r="AC78" s="9">
        <v>5514.7143999999998</v>
      </c>
      <c r="AD78" s="10">
        <v>1</v>
      </c>
      <c r="AE78" s="13">
        <f t="shared" si="10"/>
        <v>0.31370618213701151</v>
      </c>
      <c r="AF78" s="8"/>
      <c r="AG78" s="9">
        <v>69.314599999999999</v>
      </c>
      <c r="AH78" s="9">
        <v>367</v>
      </c>
      <c r="AI78" s="9">
        <v>3424.6986999999999</v>
      </c>
      <c r="AJ78" s="10">
        <v>1</v>
      </c>
      <c r="AK78" s="13">
        <f t="shared" si="11"/>
        <v>0.10716271186133834</v>
      </c>
    </row>
    <row r="79" spans="1:37" x14ac:dyDescent="0.4">
      <c r="A79" s="3">
        <v>69.328900000000004</v>
      </c>
      <c r="B79" s="3">
        <v>2028</v>
      </c>
      <c r="C79" s="3">
        <v>6692.0685999999996</v>
      </c>
      <c r="D79" s="4">
        <v>1</v>
      </c>
      <c r="E79" s="11">
        <f t="shared" si="6"/>
        <v>0.30304530948771208</v>
      </c>
      <c r="F79" s="2"/>
      <c r="G79" s="3">
        <v>69.328999999999994</v>
      </c>
      <c r="H79" s="3">
        <v>2067</v>
      </c>
      <c r="I79" s="3">
        <v>6040.5769</v>
      </c>
      <c r="J79" s="4">
        <v>1</v>
      </c>
      <c r="K79" s="11">
        <f t="shared" si="7"/>
        <v>0.34218585976448707</v>
      </c>
      <c r="N79" s="6">
        <v>69.322199999999995</v>
      </c>
      <c r="O79" s="6">
        <v>1110</v>
      </c>
      <c r="P79" s="6">
        <v>4744.9817999999996</v>
      </c>
      <c r="Q79" s="7">
        <v>1</v>
      </c>
      <c r="R79" s="12">
        <f t="shared" si="8"/>
        <v>0.23393135037946827</v>
      </c>
      <c r="S79" s="5"/>
      <c r="T79" s="6">
        <v>69.322000000000003</v>
      </c>
      <c r="U79" s="6">
        <v>933</v>
      </c>
      <c r="V79" s="6">
        <v>3947.7901000000002</v>
      </c>
      <c r="W79" s="7">
        <v>1</v>
      </c>
      <c r="X79" s="12">
        <f t="shared" si="9"/>
        <v>0.23633475346118324</v>
      </c>
      <c r="AA79" s="9">
        <v>69.327100000000002</v>
      </c>
      <c r="AB79" s="9">
        <v>1774</v>
      </c>
      <c r="AC79" s="9">
        <v>5514.2862999999998</v>
      </c>
      <c r="AD79" s="10">
        <v>1</v>
      </c>
      <c r="AE79" s="13">
        <f t="shared" si="10"/>
        <v>0.32170981038833624</v>
      </c>
      <c r="AF79" s="8"/>
      <c r="AG79" s="9">
        <v>69.324600000000004</v>
      </c>
      <c r="AH79" s="9">
        <v>394</v>
      </c>
      <c r="AI79" s="9">
        <v>3425.7384999999999</v>
      </c>
      <c r="AJ79" s="10">
        <v>1</v>
      </c>
      <c r="AK79" s="13">
        <f t="shared" si="11"/>
        <v>0.11501169747778472</v>
      </c>
    </row>
    <row r="80" spans="1:37" x14ac:dyDescent="0.4">
      <c r="A80" s="3">
        <v>69.338899999999995</v>
      </c>
      <c r="B80" s="3">
        <v>2191</v>
      </c>
      <c r="C80" s="3">
        <v>6692.5438999999997</v>
      </c>
      <c r="D80" s="4">
        <v>1</v>
      </c>
      <c r="E80" s="11">
        <f t="shared" si="6"/>
        <v>0.32737924961538167</v>
      </c>
      <c r="F80" s="2"/>
      <c r="G80" s="3">
        <v>69.338999999999999</v>
      </c>
      <c r="H80" s="3">
        <v>2050</v>
      </c>
      <c r="I80" s="3">
        <v>6040.3734000000004</v>
      </c>
      <c r="J80" s="4">
        <v>1</v>
      </c>
      <c r="K80" s="11">
        <f t="shared" si="7"/>
        <v>0.33938299244877806</v>
      </c>
      <c r="N80" s="6">
        <v>69.3322</v>
      </c>
      <c r="O80" s="6">
        <v>1291</v>
      </c>
      <c r="P80" s="6">
        <v>4747.9029</v>
      </c>
      <c r="Q80" s="7">
        <v>1</v>
      </c>
      <c r="R80" s="12">
        <f t="shared" si="8"/>
        <v>0.27190952030632304</v>
      </c>
      <c r="S80" s="5"/>
      <c r="T80" s="6">
        <v>69.331999999999994</v>
      </c>
      <c r="U80" s="6">
        <v>1055</v>
      </c>
      <c r="V80" s="6">
        <v>3946.0536000000002</v>
      </c>
      <c r="W80" s="7">
        <v>1</v>
      </c>
      <c r="X80" s="12">
        <f t="shared" si="9"/>
        <v>0.26735571964861299</v>
      </c>
      <c r="AA80" s="9">
        <v>69.337100000000007</v>
      </c>
      <c r="AB80" s="9">
        <v>1980</v>
      </c>
      <c r="AC80" s="9">
        <v>5513.8643000000002</v>
      </c>
      <c r="AD80" s="10">
        <v>1</v>
      </c>
      <c r="AE80" s="13">
        <f t="shared" si="10"/>
        <v>0.35909480035625829</v>
      </c>
      <c r="AF80" s="8"/>
      <c r="AG80" s="9">
        <v>69.334599999999995</v>
      </c>
      <c r="AH80" s="9">
        <v>395</v>
      </c>
      <c r="AI80" s="9">
        <v>3423.8894</v>
      </c>
      <c r="AJ80" s="10">
        <v>1</v>
      </c>
      <c r="AK80" s="13">
        <f t="shared" si="11"/>
        <v>0.11536587601223333</v>
      </c>
    </row>
    <row r="81" spans="1:37" x14ac:dyDescent="0.4">
      <c r="A81" s="3">
        <v>69.3489</v>
      </c>
      <c r="B81" s="3">
        <v>2484</v>
      </c>
      <c r="C81" s="3">
        <v>6690.3441000000003</v>
      </c>
      <c r="D81" s="4">
        <v>1</v>
      </c>
      <c r="E81" s="11">
        <f t="shared" si="6"/>
        <v>0.37128135158249931</v>
      </c>
      <c r="F81" s="2"/>
      <c r="G81" s="3">
        <v>69.349000000000004</v>
      </c>
      <c r="H81" s="3">
        <v>2360</v>
      </c>
      <c r="I81" s="3">
        <v>6040.0423000000001</v>
      </c>
      <c r="J81" s="4">
        <v>1</v>
      </c>
      <c r="K81" s="11">
        <f t="shared" si="7"/>
        <v>0.39072574044721509</v>
      </c>
      <c r="N81" s="6">
        <v>69.342200000000005</v>
      </c>
      <c r="O81" s="6">
        <v>1514</v>
      </c>
      <c r="P81" s="6">
        <v>4747.2437</v>
      </c>
      <c r="Q81" s="7">
        <v>1</v>
      </c>
      <c r="R81" s="12">
        <f t="shared" si="8"/>
        <v>0.31892190409352694</v>
      </c>
      <c r="S81" s="5"/>
      <c r="T81" s="6">
        <v>69.341999999999999</v>
      </c>
      <c r="U81" s="6">
        <v>1260</v>
      </c>
      <c r="V81" s="6">
        <v>3946.4942000000001</v>
      </c>
      <c r="W81" s="7">
        <v>1</v>
      </c>
      <c r="X81" s="12">
        <f t="shared" si="9"/>
        <v>0.31927070867100221</v>
      </c>
      <c r="AA81" s="9">
        <v>69.347099999999998</v>
      </c>
      <c r="AB81" s="9">
        <v>2111</v>
      </c>
      <c r="AC81" s="9">
        <v>5516.1994000000004</v>
      </c>
      <c r="AD81" s="10">
        <v>1</v>
      </c>
      <c r="AE81" s="13">
        <f t="shared" si="10"/>
        <v>0.38269102454853243</v>
      </c>
      <c r="AF81" s="8"/>
      <c r="AG81" s="9">
        <v>69.3446</v>
      </c>
      <c r="AH81" s="9">
        <v>454</v>
      </c>
      <c r="AI81" s="9">
        <v>3424.5070000000001</v>
      </c>
      <c r="AJ81" s="10">
        <v>1</v>
      </c>
      <c r="AK81" s="13">
        <f t="shared" si="11"/>
        <v>0.13257382741515786</v>
      </c>
    </row>
    <row r="82" spans="1:37" x14ac:dyDescent="0.4">
      <c r="A82" s="3">
        <v>69.358900000000006</v>
      </c>
      <c r="B82" s="3">
        <v>2698</v>
      </c>
      <c r="C82" s="3">
        <v>6687.7024000000001</v>
      </c>
      <c r="D82" s="4">
        <v>1</v>
      </c>
      <c r="E82" s="11">
        <f t="shared" si="6"/>
        <v>0.40342704244734334</v>
      </c>
      <c r="F82" s="2"/>
      <c r="G82" s="3">
        <v>69.358999999999995</v>
      </c>
      <c r="H82" s="3">
        <v>2545</v>
      </c>
      <c r="I82" s="3">
        <v>6038.5102999999999</v>
      </c>
      <c r="J82" s="4">
        <v>1</v>
      </c>
      <c r="K82" s="11">
        <f t="shared" si="7"/>
        <v>0.4214615647836189</v>
      </c>
      <c r="N82" s="6">
        <v>69.352199999999996</v>
      </c>
      <c r="O82" s="6">
        <v>1767</v>
      </c>
      <c r="P82" s="6">
        <v>4746.1935999999996</v>
      </c>
      <c r="Q82" s="7">
        <v>1</v>
      </c>
      <c r="R82" s="12">
        <f t="shared" si="8"/>
        <v>0.37229834029526315</v>
      </c>
      <c r="S82" s="5"/>
      <c r="T82" s="6">
        <v>69.352000000000004</v>
      </c>
      <c r="U82" s="6">
        <v>1413</v>
      </c>
      <c r="V82" s="6">
        <v>3945.6345999999999</v>
      </c>
      <c r="W82" s="7">
        <v>1</v>
      </c>
      <c r="X82" s="12">
        <f t="shared" si="9"/>
        <v>0.35811729753180899</v>
      </c>
      <c r="AA82" s="9">
        <v>69.357100000000003</v>
      </c>
      <c r="AB82" s="9">
        <v>2441</v>
      </c>
      <c r="AC82" s="9">
        <v>5515.3397999999997</v>
      </c>
      <c r="AD82" s="10">
        <v>1</v>
      </c>
      <c r="AE82" s="13">
        <f t="shared" si="10"/>
        <v>0.44258379148280225</v>
      </c>
      <c r="AF82" s="8"/>
      <c r="AG82" s="9">
        <v>69.354600000000005</v>
      </c>
      <c r="AH82" s="9">
        <v>500</v>
      </c>
      <c r="AI82" s="9">
        <v>3426.8845000000001</v>
      </c>
      <c r="AJ82" s="10">
        <v>1</v>
      </c>
      <c r="AK82" s="13">
        <f t="shared" si="11"/>
        <v>0.14590512169289627</v>
      </c>
    </row>
    <row r="83" spans="1:37" x14ac:dyDescent="0.4">
      <c r="A83" s="3">
        <v>69.368899999999996</v>
      </c>
      <c r="B83" s="3">
        <v>2890</v>
      </c>
      <c r="C83" s="3">
        <v>6688.0025999999998</v>
      </c>
      <c r="D83" s="4">
        <v>1</v>
      </c>
      <c r="E83" s="11">
        <f t="shared" si="6"/>
        <v>0.43211705689229246</v>
      </c>
      <c r="F83" s="2"/>
      <c r="G83" s="3">
        <v>69.369</v>
      </c>
      <c r="H83" s="3">
        <v>2667</v>
      </c>
      <c r="I83" s="3">
        <v>6037.8567999999996</v>
      </c>
      <c r="J83" s="4">
        <v>1</v>
      </c>
      <c r="K83" s="11">
        <f t="shared" si="7"/>
        <v>0.441713026383799</v>
      </c>
      <c r="N83" s="6">
        <v>69.362200000000001</v>
      </c>
      <c r="O83" s="6">
        <v>2106</v>
      </c>
      <c r="P83" s="6">
        <v>4746.5275000000001</v>
      </c>
      <c r="Q83" s="7">
        <v>1</v>
      </c>
      <c r="R83" s="12">
        <f t="shared" si="8"/>
        <v>0.44369278382986299</v>
      </c>
      <c r="S83" s="5"/>
      <c r="T83" s="6">
        <v>69.361999999999995</v>
      </c>
      <c r="U83" s="6">
        <v>1695</v>
      </c>
      <c r="V83" s="6">
        <v>3944.3144000000002</v>
      </c>
      <c r="W83" s="7">
        <v>1</v>
      </c>
      <c r="X83" s="12">
        <f t="shared" si="9"/>
        <v>0.42973247771526529</v>
      </c>
      <c r="AA83" s="9">
        <v>69.367099999999994</v>
      </c>
      <c r="AB83" s="9">
        <v>2687</v>
      </c>
      <c r="AC83" s="9">
        <v>5515.9368999999997</v>
      </c>
      <c r="AD83" s="10">
        <v>1</v>
      </c>
      <c r="AE83" s="13">
        <f t="shared" si="10"/>
        <v>0.48713392642327003</v>
      </c>
      <c r="AF83" s="8"/>
      <c r="AG83" s="9">
        <v>69.364599999999996</v>
      </c>
      <c r="AH83" s="9">
        <v>551</v>
      </c>
      <c r="AI83" s="9">
        <v>3424.6797000000001</v>
      </c>
      <c r="AJ83" s="10">
        <v>1</v>
      </c>
      <c r="AK83" s="13">
        <f t="shared" si="11"/>
        <v>0.16089095864935923</v>
      </c>
    </row>
    <row r="84" spans="1:37" x14ac:dyDescent="0.4">
      <c r="A84" s="3">
        <v>69.378900000000002</v>
      </c>
      <c r="B84" s="3">
        <v>3384</v>
      </c>
      <c r="C84" s="3">
        <v>6689.6625000000004</v>
      </c>
      <c r="D84" s="4">
        <v>1</v>
      </c>
      <c r="E84" s="11">
        <f t="shared" si="6"/>
        <v>0.50585511600921573</v>
      </c>
      <c r="F84" s="2"/>
      <c r="G84" s="3">
        <v>69.379000000000005</v>
      </c>
      <c r="H84" s="3">
        <v>2919</v>
      </c>
      <c r="I84" s="3">
        <v>6035.6711999999998</v>
      </c>
      <c r="J84" s="4">
        <v>1</v>
      </c>
      <c r="K84" s="11">
        <f t="shared" si="7"/>
        <v>0.48362475411185424</v>
      </c>
      <c r="N84" s="6">
        <v>69.372200000000007</v>
      </c>
      <c r="O84" s="6">
        <v>2433</v>
      </c>
      <c r="P84" s="6">
        <v>4746.7326000000003</v>
      </c>
      <c r="Q84" s="7">
        <v>1</v>
      </c>
      <c r="R84" s="12">
        <f t="shared" si="8"/>
        <v>0.51256310498720736</v>
      </c>
      <c r="S84" s="5"/>
      <c r="T84" s="6">
        <v>69.372</v>
      </c>
      <c r="U84" s="6">
        <v>2011</v>
      </c>
      <c r="V84" s="6">
        <v>3943.9488999999999</v>
      </c>
      <c r="W84" s="7">
        <v>1</v>
      </c>
      <c r="X84" s="12">
        <f t="shared" si="9"/>
        <v>0.509895044532651</v>
      </c>
      <c r="AA84" s="9">
        <v>69.377099999999999</v>
      </c>
      <c r="AB84" s="9">
        <v>2808</v>
      </c>
      <c r="AC84" s="9">
        <v>5517.1301999999996</v>
      </c>
      <c r="AD84" s="10">
        <v>1</v>
      </c>
      <c r="AE84" s="13">
        <f t="shared" si="10"/>
        <v>0.50896025618536245</v>
      </c>
      <c r="AF84" s="8"/>
      <c r="AG84" s="9">
        <v>69.374600000000001</v>
      </c>
      <c r="AH84" s="9">
        <v>570</v>
      </c>
      <c r="AI84" s="9">
        <v>3425.4695999999999</v>
      </c>
      <c r="AJ84" s="10">
        <v>1</v>
      </c>
      <c r="AK84" s="13">
        <f t="shared" si="11"/>
        <v>0.16640054257086387</v>
      </c>
    </row>
    <row r="85" spans="1:37" x14ac:dyDescent="0.4">
      <c r="A85" s="3">
        <v>69.388900000000007</v>
      </c>
      <c r="B85" s="3">
        <v>3609</v>
      </c>
      <c r="C85" s="3">
        <v>6690.1660000000002</v>
      </c>
      <c r="D85" s="4">
        <v>1</v>
      </c>
      <c r="E85" s="11">
        <f t="shared" si="6"/>
        <v>0.53944849798943706</v>
      </c>
      <c r="F85" s="2"/>
      <c r="G85" s="3">
        <v>69.388999999999996</v>
      </c>
      <c r="H85" s="3">
        <v>3256</v>
      </c>
      <c r="I85" s="3">
        <v>6035.5297</v>
      </c>
      <c r="J85" s="4">
        <v>1</v>
      </c>
      <c r="K85" s="11">
        <f t="shared" si="7"/>
        <v>0.53947211957220587</v>
      </c>
      <c r="N85" s="6">
        <v>69.382199999999997</v>
      </c>
      <c r="O85" s="6">
        <v>3162</v>
      </c>
      <c r="P85" s="6">
        <v>4742.8967000000002</v>
      </c>
      <c r="Q85" s="7">
        <v>1</v>
      </c>
      <c r="R85" s="12">
        <f t="shared" si="8"/>
        <v>0.66668118662588616</v>
      </c>
      <c r="S85" s="5"/>
      <c r="T85" s="6">
        <v>69.382000000000005</v>
      </c>
      <c r="U85" s="6">
        <v>2479</v>
      </c>
      <c r="V85" s="6">
        <v>3942.1684</v>
      </c>
      <c r="W85" s="7">
        <v>1</v>
      </c>
      <c r="X85" s="12">
        <f t="shared" si="9"/>
        <v>0.62884173086060957</v>
      </c>
      <c r="AA85" s="9">
        <v>69.387100000000004</v>
      </c>
      <c r="AB85" s="9">
        <v>3165</v>
      </c>
      <c r="AC85" s="9">
        <v>5514.6491999999998</v>
      </c>
      <c r="AD85" s="10">
        <v>1</v>
      </c>
      <c r="AE85" s="13">
        <f t="shared" si="10"/>
        <v>0.57392589903996072</v>
      </c>
      <c r="AF85" s="8"/>
      <c r="AG85" s="9">
        <v>69.384600000000006</v>
      </c>
      <c r="AH85" s="9">
        <v>580</v>
      </c>
      <c r="AI85" s="9">
        <v>3423.3651</v>
      </c>
      <c r="AJ85" s="10">
        <v>1</v>
      </c>
      <c r="AK85" s="13">
        <f t="shared" si="11"/>
        <v>0.1694239390358919</v>
      </c>
    </row>
    <row r="86" spans="1:37" x14ac:dyDescent="0.4">
      <c r="A86" s="3">
        <v>69.398899999999998</v>
      </c>
      <c r="B86" s="3">
        <v>3887</v>
      </c>
      <c r="C86" s="3">
        <v>6686.4363000000003</v>
      </c>
      <c r="D86" s="4">
        <v>1</v>
      </c>
      <c r="E86" s="11">
        <f t="shared" si="6"/>
        <v>0.58132610939552354</v>
      </c>
      <c r="F86" s="2"/>
      <c r="G86" s="3">
        <v>69.399000000000001</v>
      </c>
      <c r="H86" s="3">
        <v>3540</v>
      </c>
      <c r="I86" s="3">
        <v>6036.33</v>
      </c>
      <c r="J86" s="4">
        <v>1</v>
      </c>
      <c r="K86" s="11">
        <f t="shared" si="7"/>
        <v>0.58644905099621791</v>
      </c>
      <c r="N86" s="6">
        <v>69.392200000000003</v>
      </c>
      <c r="O86" s="6">
        <v>3657</v>
      </c>
      <c r="P86" s="6">
        <v>4741.8019999999997</v>
      </c>
      <c r="Q86" s="7">
        <v>1</v>
      </c>
      <c r="R86" s="12">
        <f t="shared" si="8"/>
        <v>0.7712257913763586</v>
      </c>
      <c r="S86" s="5"/>
      <c r="T86" s="6">
        <v>69.391999999999996</v>
      </c>
      <c r="U86" s="6">
        <v>2841</v>
      </c>
      <c r="V86" s="6">
        <v>3941.8114999999998</v>
      </c>
      <c r="W86" s="7">
        <v>1</v>
      </c>
      <c r="X86" s="12">
        <f t="shared" si="9"/>
        <v>0.72073461655890958</v>
      </c>
      <c r="AA86" s="9">
        <v>69.397099999999995</v>
      </c>
      <c r="AB86" s="9">
        <v>3700</v>
      </c>
      <c r="AC86" s="9">
        <v>5515.6154999999999</v>
      </c>
      <c r="AD86" s="10">
        <v>1</v>
      </c>
      <c r="AE86" s="13">
        <f t="shared" si="10"/>
        <v>0.6708226851563529</v>
      </c>
      <c r="AF86" s="8"/>
      <c r="AG86" s="9">
        <v>69.394599999999997</v>
      </c>
      <c r="AH86" s="9">
        <v>664</v>
      </c>
      <c r="AI86" s="9">
        <v>3423.6631000000002</v>
      </c>
      <c r="AJ86" s="10">
        <v>1</v>
      </c>
      <c r="AK86" s="13">
        <f t="shared" si="11"/>
        <v>0.19394431654212704</v>
      </c>
    </row>
    <row r="87" spans="1:37" x14ac:dyDescent="0.4">
      <c r="A87" s="3">
        <v>69.408900000000003</v>
      </c>
      <c r="B87" s="3">
        <v>4510</v>
      </c>
      <c r="C87" s="3">
        <v>6688.9171999999999</v>
      </c>
      <c r="D87" s="4">
        <v>1</v>
      </c>
      <c r="E87" s="11">
        <f t="shared" si="6"/>
        <v>0.67424963789355918</v>
      </c>
      <c r="F87" s="2"/>
      <c r="G87" s="3">
        <v>69.409000000000006</v>
      </c>
      <c r="H87" s="3">
        <v>4030</v>
      </c>
      <c r="I87" s="3">
        <v>6033.0123999999996</v>
      </c>
      <c r="J87" s="4">
        <v>1</v>
      </c>
      <c r="K87" s="11">
        <f t="shared" si="7"/>
        <v>0.66799133381525955</v>
      </c>
      <c r="N87" s="6">
        <v>69.402199999999993</v>
      </c>
      <c r="O87" s="6">
        <v>4407</v>
      </c>
      <c r="P87" s="6">
        <v>4739.3209999999999</v>
      </c>
      <c r="Q87" s="7">
        <v>1</v>
      </c>
      <c r="R87" s="12">
        <f t="shared" si="8"/>
        <v>0.92988003977785005</v>
      </c>
      <c r="S87" s="5"/>
      <c r="T87" s="6">
        <v>69.402000000000001</v>
      </c>
      <c r="U87" s="6">
        <v>3515</v>
      </c>
      <c r="V87" s="6">
        <v>3939.8368999999998</v>
      </c>
      <c r="W87" s="7">
        <v>1</v>
      </c>
      <c r="X87" s="12">
        <f t="shared" si="9"/>
        <v>0.89216891186536174</v>
      </c>
      <c r="AA87" s="9">
        <v>69.4071</v>
      </c>
      <c r="AB87" s="9">
        <v>4078</v>
      </c>
      <c r="AC87" s="9">
        <v>5514.9422999999997</v>
      </c>
      <c r="AD87" s="10">
        <v>1</v>
      </c>
      <c r="AE87" s="13">
        <f t="shared" si="10"/>
        <v>0.73944563300326827</v>
      </c>
      <c r="AF87" s="8"/>
      <c r="AG87" s="9">
        <v>69.404600000000002</v>
      </c>
      <c r="AH87" s="9">
        <v>790</v>
      </c>
      <c r="AI87" s="9">
        <v>3423.1390000000001</v>
      </c>
      <c r="AJ87" s="10">
        <v>1</v>
      </c>
      <c r="AK87" s="13">
        <f t="shared" si="11"/>
        <v>0.23078233165524389</v>
      </c>
    </row>
    <row r="88" spans="1:37" x14ac:dyDescent="0.4">
      <c r="A88" s="3">
        <v>69.418899999999994</v>
      </c>
      <c r="B88" s="3">
        <v>5104</v>
      </c>
      <c r="C88" s="3">
        <v>6685.4943000000003</v>
      </c>
      <c r="D88" s="4">
        <v>1</v>
      </c>
      <c r="E88" s="11">
        <f t="shared" si="6"/>
        <v>0.76344392366021463</v>
      </c>
      <c r="F88" s="2"/>
      <c r="G88" s="3">
        <v>69.418999999999997</v>
      </c>
      <c r="H88" s="3">
        <v>4489</v>
      </c>
      <c r="I88" s="3">
        <v>6036.0766999999996</v>
      </c>
      <c r="J88" s="4">
        <v>1</v>
      </c>
      <c r="K88" s="11">
        <f t="shared" si="7"/>
        <v>0.74369498982675286</v>
      </c>
      <c r="N88" s="6">
        <v>69.412199999999999</v>
      </c>
      <c r="O88" s="6">
        <v>5568</v>
      </c>
      <c r="P88" s="6">
        <v>4734.5928999999996</v>
      </c>
      <c r="Q88" s="7">
        <v>1</v>
      </c>
      <c r="R88" s="12">
        <f t="shared" si="8"/>
        <v>1.1760250812693949</v>
      </c>
      <c r="S88" s="5"/>
      <c r="T88" s="6">
        <v>69.412000000000006</v>
      </c>
      <c r="U88" s="6">
        <v>4558</v>
      </c>
      <c r="V88" s="6">
        <v>3940.3687</v>
      </c>
      <c r="W88" s="7">
        <v>1</v>
      </c>
      <c r="X88" s="12">
        <f t="shared" si="9"/>
        <v>1.156744545250296</v>
      </c>
      <c r="AA88" s="9">
        <v>69.417100000000005</v>
      </c>
      <c r="AB88" s="9">
        <v>4494</v>
      </c>
      <c r="AC88" s="9">
        <v>5513.8226000000004</v>
      </c>
      <c r="AD88" s="10">
        <v>1</v>
      </c>
      <c r="AE88" s="13">
        <f t="shared" si="10"/>
        <v>0.81504254416890376</v>
      </c>
      <c r="AF88" s="8"/>
      <c r="AG88" s="9">
        <v>69.414599999999993</v>
      </c>
      <c r="AH88" s="9">
        <v>789</v>
      </c>
      <c r="AI88" s="9">
        <v>3423.2109</v>
      </c>
      <c r="AJ88" s="10">
        <v>1</v>
      </c>
      <c r="AK88" s="13">
        <f t="shared" si="11"/>
        <v>0.2304853609808265</v>
      </c>
    </row>
    <row r="89" spans="1:37" x14ac:dyDescent="0.4">
      <c r="A89" s="3">
        <v>69.428899999999999</v>
      </c>
      <c r="B89" s="3">
        <v>5771</v>
      </c>
      <c r="C89" s="3">
        <v>6685.9982</v>
      </c>
      <c r="D89" s="4">
        <v>1</v>
      </c>
      <c r="E89" s="11">
        <f t="shared" si="6"/>
        <v>0.86314710644103976</v>
      </c>
      <c r="F89" s="2"/>
      <c r="G89" s="3">
        <v>69.429000000000002</v>
      </c>
      <c r="H89" s="3">
        <v>4987</v>
      </c>
      <c r="I89" s="3">
        <v>6033.8209999999999</v>
      </c>
      <c r="J89" s="4">
        <v>1</v>
      </c>
      <c r="K89" s="11">
        <f t="shared" si="7"/>
        <v>0.82650778006175529</v>
      </c>
      <c r="N89" s="6">
        <v>69.422200000000004</v>
      </c>
      <c r="O89" s="6">
        <v>6969</v>
      </c>
      <c r="P89" s="6">
        <v>4728.8845000000001</v>
      </c>
      <c r="Q89" s="7">
        <v>1</v>
      </c>
      <c r="R89" s="12">
        <f t="shared" si="8"/>
        <v>1.4737090745185255</v>
      </c>
      <c r="S89" s="5"/>
      <c r="T89" s="6">
        <v>69.421999999999997</v>
      </c>
      <c r="U89" s="6">
        <v>5692</v>
      </c>
      <c r="V89" s="6">
        <v>3938.5871999999999</v>
      </c>
      <c r="W89" s="7">
        <v>1</v>
      </c>
      <c r="X89" s="12">
        <f t="shared" si="9"/>
        <v>1.4451882644619369</v>
      </c>
      <c r="AA89" s="9">
        <v>69.427099999999996</v>
      </c>
      <c r="AB89" s="9">
        <v>5028</v>
      </c>
      <c r="AC89" s="9">
        <v>5516.0874999999996</v>
      </c>
      <c r="AD89" s="10">
        <v>1</v>
      </c>
      <c r="AE89" s="13">
        <f t="shared" si="10"/>
        <v>0.91151563494959065</v>
      </c>
      <c r="AF89" s="8"/>
      <c r="AG89" s="9">
        <v>69.424599999999998</v>
      </c>
      <c r="AH89" s="9">
        <v>927</v>
      </c>
      <c r="AI89" s="9">
        <v>3422.0201999999999</v>
      </c>
      <c r="AJ89" s="10">
        <v>1</v>
      </c>
      <c r="AK89" s="13">
        <f t="shared" si="11"/>
        <v>0.27089261483611349</v>
      </c>
    </row>
    <row r="90" spans="1:37" x14ac:dyDescent="0.4">
      <c r="A90" s="3">
        <v>69.438900000000004</v>
      </c>
      <c r="B90" s="3">
        <v>6544</v>
      </c>
      <c r="C90" s="3">
        <v>6686.4390000000003</v>
      </c>
      <c r="D90" s="4">
        <v>1</v>
      </c>
      <c r="E90" s="11">
        <f t="shared" si="6"/>
        <v>0.97869733052227048</v>
      </c>
      <c r="F90" s="2"/>
      <c r="G90" s="3">
        <v>69.438999999999993</v>
      </c>
      <c r="H90" s="3">
        <v>5490</v>
      </c>
      <c r="I90" s="3">
        <v>6032.9606999999996</v>
      </c>
      <c r="J90" s="4">
        <v>1</v>
      </c>
      <c r="K90" s="11">
        <f t="shared" si="7"/>
        <v>0.9100009552523689</v>
      </c>
      <c r="N90" s="6">
        <v>69.432199999999995</v>
      </c>
      <c r="O90" s="6">
        <v>8764</v>
      </c>
      <c r="P90" s="6">
        <v>4723.9107999999997</v>
      </c>
      <c r="Q90" s="7">
        <v>1</v>
      </c>
      <c r="R90" s="12">
        <f t="shared" si="8"/>
        <v>1.855242482563388</v>
      </c>
      <c r="S90" s="5"/>
      <c r="T90" s="6">
        <v>69.432000000000002</v>
      </c>
      <c r="U90" s="6">
        <v>7098</v>
      </c>
      <c r="V90" s="6">
        <v>3940.2905999999998</v>
      </c>
      <c r="W90" s="7">
        <v>1</v>
      </c>
      <c r="X90" s="12">
        <f t="shared" si="9"/>
        <v>1.8013899786985255</v>
      </c>
      <c r="AA90" s="9">
        <v>69.437100000000001</v>
      </c>
      <c r="AB90" s="9">
        <v>5712</v>
      </c>
      <c r="AC90" s="9">
        <v>5513.0814</v>
      </c>
      <c r="AD90" s="10">
        <v>1</v>
      </c>
      <c r="AE90" s="13">
        <f t="shared" si="10"/>
        <v>1.0360812013405063</v>
      </c>
      <c r="AF90" s="8"/>
      <c r="AG90" s="9">
        <v>69.434600000000003</v>
      </c>
      <c r="AH90" s="9">
        <v>1118</v>
      </c>
      <c r="AI90" s="9">
        <v>3422.5011</v>
      </c>
      <c r="AJ90" s="10">
        <v>1</v>
      </c>
      <c r="AK90" s="13">
        <f t="shared" si="11"/>
        <v>0.32666169194218814</v>
      </c>
    </row>
    <row r="91" spans="1:37" x14ac:dyDescent="0.4">
      <c r="A91" s="3">
        <v>69.448899999999995</v>
      </c>
      <c r="B91" s="3">
        <v>7555</v>
      </c>
      <c r="C91" s="3">
        <v>6685.5434999999998</v>
      </c>
      <c r="D91" s="4">
        <v>1</v>
      </c>
      <c r="E91" s="11">
        <f t="shared" si="6"/>
        <v>1.1300502345097299</v>
      </c>
      <c r="F91" s="2"/>
      <c r="G91" s="3">
        <v>69.448999999999998</v>
      </c>
      <c r="H91" s="3">
        <v>6308</v>
      </c>
      <c r="I91" s="3">
        <v>6031.2129000000004</v>
      </c>
      <c r="J91" s="4">
        <v>1</v>
      </c>
      <c r="K91" s="11">
        <f t="shared" si="7"/>
        <v>1.0458924439560076</v>
      </c>
      <c r="N91" s="6">
        <v>69.4422</v>
      </c>
      <c r="O91" s="6">
        <v>11584</v>
      </c>
      <c r="P91" s="6">
        <v>4721.4371000000001</v>
      </c>
      <c r="Q91" s="7">
        <v>1</v>
      </c>
      <c r="R91" s="12">
        <f t="shared" si="8"/>
        <v>2.4534902731204444</v>
      </c>
      <c r="S91" s="5"/>
      <c r="T91" s="6">
        <v>69.441999999999993</v>
      </c>
      <c r="U91" s="6">
        <v>9051</v>
      </c>
      <c r="V91" s="6">
        <v>3939.4461999999999</v>
      </c>
      <c r="W91" s="7">
        <v>1</v>
      </c>
      <c r="X91" s="12">
        <f t="shared" si="9"/>
        <v>2.2975310590610429</v>
      </c>
      <c r="AA91" s="9">
        <v>69.447100000000006</v>
      </c>
      <c r="AB91" s="9">
        <v>6669</v>
      </c>
      <c r="AC91" s="9">
        <v>5513.2682000000004</v>
      </c>
      <c r="AD91" s="10">
        <v>1</v>
      </c>
      <c r="AE91" s="13">
        <f t="shared" si="10"/>
        <v>1.2096273495274543</v>
      </c>
      <c r="AF91" s="8"/>
      <c r="AG91" s="9">
        <v>69.444599999999994</v>
      </c>
      <c r="AH91" s="9">
        <v>1319</v>
      </c>
      <c r="AI91" s="9">
        <v>3419.6880000000001</v>
      </c>
      <c r="AJ91" s="10">
        <v>1</v>
      </c>
      <c r="AK91" s="13">
        <f t="shared" si="11"/>
        <v>0.3857077019891873</v>
      </c>
    </row>
    <row r="92" spans="1:37" x14ac:dyDescent="0.4">
      <c r="A92" s="3">
        <v>69.4589</v>
      </c>
      <c r="B92" s="3">
        <v>8827</v>
      </c>
      <c r="C92" s="3">
        <v>6685.1686</v>
      </c>
      <c r="D92" s="4">
        <v>1</v>
      </c>
      <c r="E92" s="11">
        <f t="shared" si="6"/>
        <v>1.3203855471947259</v>
      </c>
      <c r="F92" s="2"/>
      <c r="G92" s="3">
        <v>69.459000000000003</v>
      </c>
      <c r="H92" s="3">
        <v>7263</v>
      </c>
      <c r="I92" s="3">
        <v>6028.2745000000004</v>
      </c>
      <c r="J92" s="4">
        <v>1</v>
      </c>
      <c r="K92" s="11">
        <f t="shared" si="7"/>
        <v>1.2048223749598661</v>
      </c>
      <c r="N92" s="6">
        <v>69.452200000000005</v>
      </c>
      <c r="O92" s="6">
        <v>14825</v>
      </c>
      <c r="P92" s="6">
        <v>4717.8630000000003</v>
      </c>
      <c r="Q92" s="7">
        <v>1</v>
      </c>
      <c r="R92" s="12">
        <f t="shared" si="8"/>
        <v>3.1423125258194227</v>
      </c>
      <c r="S92" s="5"/>
      <c r="T92" s="6">
        <v>69.451999999999998</v>
      </c>
      <c r="U92" s="6">
        <v>11915</v>
      </c>
      <c r="V92" s="6">
        <v>3938.8690999999999</v>
      </c>
      <c r="W92" s="7">
        <v>1</v>
      </c>
      <c r="X92" s="12">
        <f t="shared" si="9"/>
        <v>3.0249799365000478</v>
      </c>
      <c r="AA92" s="9">
        <v>69.457099999999997</v>
      </c>
      <c r="AB92" s="9">
        <v>7705</v>
      </c>
      <c r="AC92" s="9">
        <v>5512.3703999999998</v>
      </c>
      <c r="AD92" s="10">
        <v>1</v>
      </c>
      <c r="AE92" s="13">
        <f t="shared" si="10"/>
        <v>1.3977652880510352</v>
      </c>
      <c r="AF92" s="8"/>
      <c r="AG92" s="9">
        <v>69.454599999999999</v>
      </c>
      <c r="AH92" s="9">
        <v>1315</v>
      </c>
      <c r="AI92" s="9">
        <v>3419.3883999999998</v>
      </c>
      <c r="AJ92" s="10">
        <v>1</v>
      </c>
      <c r="AK92" s="13">
        <f t="shared" si="11"/>
        <v>0.38457169709062594</v>
      </c>
    </row>
    <row r="93" spans="1:37" x14ac:dyDescent="0.4">
      <c r="A93" s="3">
        <v>69.468900000000005</v>
      </c>
      <c r="B93" s="3">
        <v>10584</v>
      </c>
      <c r="C93" s="3">
        <v>6684.2837</v>
      </c>
      <c r="D93" s="4">
        <v>1</v>
      </c>
      <c r="E93" s="11">
        <f t="shared" si="6"/>
        <v>1.5834157368275676</v>
      </c>
      <c r="F93" s="2"/>
      <c r="G93" s="3">
        <v>69.468999999999994</v>
      </c>
      <c r="H93" s="3">
        <v>8347</v>
      </c>
      <c r="I93" s="3">
        <v>6027.5203000000001</v>
      </c>
      <c r="J93" s="4">
        <v>1</v>
      </c>
      <c r="K93" s="11">
        <f t="shared" si="7"/>
        <v>1.384814913024847</v>
      </c>
      <c r="N93" s="6">
        <v>69.462199999999996</v>
      </c>
      <c r="O93" s="6">
        <v>19660</v>
      </c>
      <c r="P93" s="6">
        <v>4718.5697</v>
      </c>
      <c r="Q93" s="7">
        <v>1</v>
      </c>
      <c r="R93" s="12">
        <f t="shared" si="8"/>
        <v>4.1665168154663474</v>
      </c>
      <c r="S93" s="5"/>
      <c r="T93" s="6">
        <v>69.462000000000003</v>
      </c>
      <c r="U93" s="6">
        <v>16155</v>
      </c>
      <c r="V93" s="6">
        <v>3939.2710999999999</v>
      </c>
      <c r="W93" s="7">
        <v>1</v>
      </c>
      <c r="X93" s="12">
        <f t="shared" si="9"/>
        <v>4.1010124944180664</v>
      </c>
      <c r="AA93" s="9">
        <v>69.467100000000002</v>
      </c>
      <c r="AB93" s="9">
        <v>9033</v>
      </c>
      <c r="AC93" s="9">
        <v>5509.7341999999999</v>
      </c>
      <c r="AD93" s="10">
        <v>1</v>
      </c>
      <c r="AE93" s="13">
        <f t="shared" si="10"/>
        <v>1.6394620270429743</v>
      </c>
      <c r="AF93" s="8"/>
      <c r="AG93" s="9">
        <v>69.464600000000004</v>
      </c>
      <c r="AH93" s="9">
        <v>1730</v>
      </c>
      <c r="AI93" s="9">
        <v>3419.2764999999999</v>
      </c>
      <c r="AJ93" s="10">
        <v>1</v>
      </c>
      <c r="AK93" s="13">
        <f t="shared" si="11"/>
        <v>0.50595498784611304</v>
      </c>
    </row>
    <row r="94" spans="1:37" x14ac:dyDescent="0.4">
      <c r="A94" s="3">
        <v>69.478899999999996</v>
      </c>
      <c r="B94" s="3">
        <v>12781</v>
      </c>
      <c r="C94" s="3">
        <v>6680.5388000000003</v>
      </c>
      <c r="D94" s="4">
        <v>1</v>
      </c>
      <c r="E94" s="11">
        <f t="shared" si="6"/>
        <v>1.9131690395990215</v>
      </c>
      <c r="F94" s="2"/>
      <c r="G94" s="3">
        <v>69.478999999999999</v>
      </c>
      <c r="H94" s="3">
        <v>9421</v>
      </c>
      <c r="I94" s="3">
        <v>6027.625</v>
      </c>
      <c r="J94" s="4">
        <v>1</v>
      </c>
      <c r="K94" s="11">
        <f t="shared" si="7"/>
        <v>1.5629704900354617</v>
      </c>
      <c r="N94" s="6">
        <v>69.472200000000001</v>
      </c>
      <c r="O94" s="6">
        <v>27352</v>
      </c>
      <c r="P94" s="6">
        <v>4719.7026999999998</v>
      </c>
      <c r="Q94" s="7">
        <v>1</v>
      </c>
      <c r="R94" s="12">
        <f t="shared" si="8"/>
        <v>5.7952802832263144</v>
      </c>
      <c r="S94" s="5"/>
      <c r="T94" s="6">
        <v>69.471999999999994</v>
      </c>
      <c r="U94" s="6">
        <v>21977</v>
      </c>
      <c r="V94" s="6">
        <v>3940.1563000000001</v>
      </c>
      <c r="W94" s="7">
        <v>1</v>
      </c>
      <c r="X94" s="12">
        <f t="shared" si="9"/>
        <v>5.5776975141823684</v>
      </c>
      <c r="AA94" s="9">
        <v>69.477099999999993</v>
      </c>
      <c r="AB94" s="9">
        <v>11014</v>
      </c>
      <c r="AC94" s="9">
        <v>5509.2521999999999</v>
      </c>
      <c r="AD94" s="10">
        <v>1</v>
      </c>
      <c r="AE94" s="13">
        <f t="shared" si="10"/>
        <v>1.9991823935742132</v>
      </c>
      <c r="AF94" s="8"/>
      <c r="AG94" s="9">
        <v>69.474599999999995</v>
      </c>
      <c r="AH94" s="9">
        <v>1928</v>
      </c>
      <c r="AI94" s="9">
        <v>3419.6707999999999</v>
      </c>
      <c r="AJ94" s="10">
        <v>1</v>
      </c>
      <c r="AK94" s="13">
        <f t="shared" si="11"/>
        <v>0.56379695963716747</v>
      </c>
    </row>
    <row r="95" spans="1:37" x14ac:dyDescent="0.4">
      <c r="A95" s="3">
        <v>69.488900000000001</v>
      </c>
      <c r="B95" s="3">
        <v>15307</v>
      </c>
      <c r="C95" s="3">
        <v>6682.3725000000004</v>
      </c>
      <c r="D95" s="4">
        <v>1</v>
      </c>
      <c r="E95" s="11">
        <f t="shared" si="6"/>
        <v>2.2906535066699738</v>
      </c>
      <c r="F95" s="2"/>
      <c r="G95" s="3">
        <v>69.489000000000004</v>
      </c>
      <c r="H95" s="3">
        <v>11440</v>
      </c>
      <c r="I95" s="3">
        <v>6027.6118999999999</v>
      </c>
      <c r="J95" s="4">
        <v>1</v>
      </c>
      <c r="K95" s="11">
        <f t="shared" si="7"/>
        <v>1.8979324133327165</v>
      </c>
      <c r="N95" s="6">
        <v>69.482200000000006</v>
      </c>
      <c r="O95" s="6">
        <v>38185</v>
      </c>
      <c r="P95" s="6">
        <v>4718.5658999999996</v>
      </c>
      <c r="Q95" s="7">
        <v>1</v>
      </c>
      <c r="R95" s="12">
        <f t="shared" si="8"/>
        <v>8.0925011559126485</v>
      </c>
      <c r="S95" s="5"/>
      <c r="T95" s="6">
        <v>69.481999999999999</v>
      </c>
      <c r="U95" s="6">
        <v>30876</v>
      </c>
      <c r="V95" s="6">
        <v>3941.1170000000002</v>
      </c>
      <c r="W95" s="7">
        <v>1</v>
      </c>
      <c r="X95" s="12">
        <f t="shared" si="9"/>
        <v>7.8343271717129941</v>
      </c>
      <c r="AA95" s="9">
        <v>69.487099999999998</v>
      </c>
      <c r="AB95" s="9">
        <v>13329</v>
      </c>
      <c r="AC95" s="9">
        <v>5500.3365000000003</v>
      </c>
      <c r="AD95" s="10">
        <v>1</v>
      </c>
      <c r="AE95" s="13">
        <f t="shared" si="10"/>
        <v>2.4233062831701297</v>
      </c>
      <c r="AF95" s="8"/>
      <c r="AG95" s="9">
        <v>69.4846</v>
      </c>
      <c r="AH95" s="9">
        <v>2380</v>
      </c>
      <c r="AI95" s="9">
        <v>3418.4292</v>
      </c>
      <c r="AJ95" s="10">
        <v>1</v>
      </c>
      <c r="AK95" s="13">
        <f t="shared" si="11"/>
        <v>0.69622620822452608</v>
      </c>
    </row>
    <row r="96" spans="1:37" x14ac:dyDescent="0.4">
      <c r="A96" s="3">
        <v>69.498900000000006</v>
      </c>
      <c r="B96" s="3">
        <v>19246</v>
      </c>
      <c r="C96" s="3">
        <v>6682.1342999999997</v>
      </c>
      <c r="D96" s="4">
        <v>1</v>
      </c>
      <c r="E96" s="11">
        <f t="shared" si="6"/>
        <v>2.8802174778199237</v>
      </c>
      <c r="F96" s="2"/>
      <c r="G96" s="3">
        <v>69.498999999999995</v>
      </c>
      <c r="H96" s="3">
        <v>14305</v>
      </c>
      <c r="I96" s="3">
        <v>6026.7496000000001</v>
      </c>
      <c r="J96" s="4">
        <v>1</v>
      </c>
      <c r="K96" s="11">
        <f t="shared" si="7"/>
        <v>2.3735845935925393</v>
      </c>
      <c r="N96" s="6">
        <v>69.492199999999997</v>
      </c>
      <c r="O96" s="6">
        <v>54308</v>
      </c>
      <c r="P96" s="6">
        <v>4721.1639999999998</v>
      </c>
      <c r="Q96" s="7">
        <v>1</v>
      </c>
      <c r="R96" s="12">
        <f t="shared" si="8"/>
        <v>11.503095423077868</v>
      </c>
      <c r="S96" s="5"/>
      <c r="T96" s="6">
        <v>69.492000000000004</v>
      </c>
      <c r="U96" s="6">
        <v>43904</v>
      </c>
      <c r="V96" s="6">
        <v>3943.2891</v>
      </c>
      <c r="W96" s="7">
        <v>1</v>
      </c>
      <c r="X96" s="12">
        <f t="shared" si="9"/>
        <v>11.133852701796579</v>
      </c>
      <c r="AA96" s="9">
        <v>69.497100000000003</v>
      </c>
      <c r="AB96" s="9">
        <v>16412</v>
      </c>
      <c r="AC96" s="9">
        <v>5498.5729000000001</v>
      </c>
      <c r="AD96" s="10">
        <v>1</v>
      </c>
      <c r="AE96" s="13">
        <f t="shared" si="10"/>
        <v>2.9847744675713948</v>
      </c>
      <c r="AF96" s="8"/>
      <c r="AG96" s="9">
        <v>69.494600000000005</v>
      </c>
      <c r="AH96" s="9">
        <v>2777</v>
      </c>
      <c r="AI96" s="9">
        <v>3418.3407000000002</v>
      </c>
      <c r="AJ96" s="10">
        <v>1</v>
      </c>
      <c r="AK96" s="13">
        <f t="shared" si="11"/>
        <v>0.81238245210607585</v>
      </c>
    </row>
    <row r="97" spans="1:37" x14ac:dyDescent="0.4">
      <c r="A97" s="3">
        <v>69.508899999999997</v>
      </c>
      <c r="B97" s="3">
        <v>24825</v>
      </c>
      <c r="C97" s="3">
        <v>6682.9327000000003</v>
      </c>
      <c r="D97" s="4">
        <v>1</v>
      </c>
      <c r="E97" s="11">
        <f t="shared" si="6"/>
        <v>3.7146865177918071</v>
      </c>
      <c r="F97" s="2"/>
      <c r="G97" s="3">
        <v>69.509</v>
      </c>
      <c r="H97" s="3">
        <v>18103</v>
      </c>
      <c r="I97" s="3">
        <v>6029.4763000000003</v>
      </c>
      <c r="J97" s="4">
        <v>1</v>
      </c>
      <c r="K97" s="11">
        <f t="shared" si="7"/>
        <v>3.0024166443775555</v>
      </c>
      <c r="N97" s="6">
        <v>69.502200000000002</v>
      </c>
      <c r="O97" s="6">
        <v>80688</v>
      </c>
      <c r="P97" s="6">
        <v>4720.7572</v>
      </c>
      <c r="Q97" s="7">
        <v>1</v>
      </c>
      <c r="R97" s="12">
        <f t="shared" si="8"/>
        <v>17.092173264068737</v>
      </c>
      <c r="S97" s="5"/>
      <c r="T97" s="6">
        <v>69.501999999999995</v>
      </c>
      <c r="U97" s="6">
        <v>65487</v>
      </c>
      <c r="V97" s="6">
        <v>3942.9195</v>
      </c>
      <c r="W97" s="7">
        <v>1</v>
      </c>
      <c r="X97" s="12">
        <f t="shared" si="9"/>
        <v>16.608759067995173</v>
      </c>
      <c r="AA97" s="9">
        <v>69.507099999999994</v>
      </c>
      <c r="AB97" s="9">
        <v>21029</v>
      </c>
      <c r="AC97" s="9">
        <v>5496.3877000000002</v>
      </c>
      <c r="AD97" s="10">
        <v>1</v>
      </c>
      <c r="AE97" s="13">
        <f t="shared" si="10"/>
        <v>3.8259673712609463</v>
      </c>
      <c r="AF97" s="8"/>
      <c r="AG97" s="9">
        <v>69.504599999999996</v>
      </c>
      <c r="AH97" s="9">
        <v>3529</v>
      </c>
      <c r="AI97" s="9">
        <v>3418.98</v>
      </c>
      <c r="AJ97" s="10">
        <v>1</v>
      </c>
      <c r="AK97" s="13">
        <f t="shared" si="11"/>
        <v>1.0321791879449427</v>
      </c>
    </row>
    <row r="98" spans="1:37" x14ac:dyDescent="0.4">
      <c r="A98" s="3">
        <v>69.518900000000002</v>
      </c>
      <c r="B98" s="3">
        <v>33268</v>
      </c>
      <c r="C98" s="3">
        <v>6685.1692999999996</v>
      </c>
      <c r="D98" s="4">
        <v>1</v>
      </c>
      <c r="E98" s="11">
        <f t="shared" si="6"/>
        <v>4.9763885560833891</v>
      </c>
      <c r="F98" s="2"/>
      <c r="G98" s="3">
        <v>69.519000000000005</v>
      </c>
      <c r="H98" s="3">
        <v>22880</v>
      </c>
      <c r="I98" s="3">
        <v>6027.9841999999999</v>
      </c>
      <c r="J98" s="4">
        <v>1</v>
      </c>
      <c r="K98" s="11">
        <f t="shared" si="7"/>
        <v>3.7956303866888041</v>
      </c>
      <c r="N98" s="6">
        <v>69.512200000000007</v>
      </c>
      <c r="O98" s="6">
        <v>125782</v>
      </c>
      <c r="P98" s="6">
        <v>4718.3802999999998</v>
      </c>
      <c r="Q98" s="7">
        <v>1</v>
      </c>
      <c r="R98" s="12">
        <f t="shared" si="8"/>
        <v>26.657876644661307</v>
      </c>
      <c r="S98" s="5"/>
      <c r="T98" s="6">
        <v>69.512</v>
      </c>
      <c r="U98" s="6">
        <v>103510</v>
      </c>
      <c r="V98" s="6">
        <v>3943.0425</v>
      </c>
      <c r="W98" s="7">
        <v>1</v>
      </c>
      <c r="X98" s="12">
        <f t="shared" si="9"/>
        <v>26.251302135343455</v>
      </c>
      <c r="AA98" s="9">
        <v>69.517099999999999</v>
      </c>
      <c r="AB98" s="9">
        <v>27701</v>
      </c>
      <c r="AC98" s="9">
        <v>5493.6900999999998</v>
      </c>
      <c r="AD98" s="10">
        <v>1</v>
      </c>
      <c r="AE98" s="13">
        <f t="shared" si="10"/>
        <v>5.0423302908913632</v>
      </c>
      <c r="AF98" s="8"/>
      <c r="AG98" s="9">
        <v>69.514600000000002</v>
      </c>
      <c r="AH98" s="9">
        <v>4394</v>
      </c>
      <c r="AI98" s="9">
        <v>3418.4805999999999</v>
      </c>
      <c r="AJ98" s="10">
        <v>1</v>
      </c>
      <c r="AK98" s="13">
        <f t="shared" si="11"/>
        <v>1.2853663700768114</v>
      </c>
    </row>
    <row r="99" spans="1:37" x14ac:dyDescent="0.4">
      <c r="A99" s="3">
        <v>69.528899999999993</v>
      </c>
      <c r="B99" s="3">
        <v>46746</v>
      </c>
      <c r="C99" s="3">
        <v>6681.7314999999999</v>
      </c>
      <c r="D99" s="4">
        <v>1</v>
      </c>
      <c r="E99" s="11">
        <f t="shared" si="6"/>
        <v>6.9960907588100483</v>
      </c>
      <c r="F99" s="2"/>
      <c r="G99" s="3">
        <v>69.528999999999996</v>
      </c>
      <c r="H99" s="3">
        <v>30680</v>
      </c>
      <c r="I99" s="3">
        <v>6029.1009999999997</v>
      </c>
      <c r="J99" s="4">
        <v>1</v>
      </c>
      <c r="K99" s="11">
        <f t="shared" si="7"/>
        <v>5.0886525205001547</v>
      </c>
      <c r="N99" s="6">
        <v>69.522199999999998</v>
      </c>
      <c r="O99" s="6">
        <v>208165</v>
      </c>
      <c r="P99" s="6">
        <v>4722.3248999999996</v>
      </c>
      <c r="Q99" s="7">
        <v>1</v>
      </c>
      <c r="R99" s="12">
        <f t="shared" si="8"/>
        <v>44.081041522577159</v>
      </c>
      <c r="S99" s="5"/>
      <c r="T99" s="6">
        <v>69.522000000000006</v>
      </c>
      <c r="U99" s="6">
        <v>170417</v>
      </c>
      <c r="V99" s="6">
        <v>3945.5832999999998</v>
      </c>
      <c r="W99" s="7">
        <v>1</v>
      </c>
      <c r="X99" s="12">
        <f t="shared" si="9"/>
        <v>43.191839340966396</v>
      </c>
      <c r="AA99" s="9">
        <v>69.527100000000004</v>
      </c>
      <c r="AB99" s="9">
        <v>39140</v>
      </c>
      <c r="AC99" s="9">
        <v>5492.1454000000003</v>
      </c>
      <c r="AD99" s="10">
        <v>1</v>
      </c>
      <c r="AE99" s="13">
        <f t="shared" si="10"/>
        <v>7.126541114516014</v>
      </c>
      <c r="AF99" s="8"/>
      <c r="AG99" s="9">
        <v>69.524600000000007</v>
      </c>
      <c r="AH99" s="9">
        <v>5901</v>
      </c>
      <c r="AI99" s="9">
        <v>3418.1518000000001</v>
      </c>
      <c r="AJ99" s="10">
        <v>1</v>
      </c>
      <c r="AK99" s="13">
        <f t="shared" si="11"/>
        <v>1.726371543826696</v>
      </c>
    </row>
    <row r="100" spans="1:37" x14ac:dyDescent="0.4">
      <c r="A100" s="3">
        <v>69.538899999999998</v>
      </c>
      <c r="B100" s="3">
        <v>70446</v>
      </c>
      <c r="C100" s="3">
        <v>6680.3487999999998</v>
      </c>
      <c r="D100" s="4">
        <v>1</v>
      </c>
      <c r="E100" s="11">
        <f t="shared" si="6"/>
        <v>10.545257756600973</v>
      </c>
      <c r="F100" s="2"/>
      <c r="G100" s="3">
        <v>69.539000000000001</v>
      </c>
      <c r="H100" s="3">
        <v>42935</v>
      </c>
      <c r="I100" s="3">
        <v>6030.3593000000001</v>
      </c>
      <c r="J100" s="4">
        <v>1</v>
      </c>
      <c r="K100" s="11">
        <f t="shared" si="7"/>
        <v>7.1198079358223314</v>
      </c>
      <c r="N100" s="6">
        <v>69.532200000000003</v>
      </c>
      <c r="O100" s="6">
        <v>371190</v>
      </c>
      <c r="P100" s="6">
        <v>4724.0244000000002</v>
      </c>
      <c r="Q100" s="7">
        <v>1</v>
      </c>
      <c r="R100" s="12">
        <f t="shared" si="8"/>
        <v>78.574954015902193</v>
      </c>
      <c r="S100" s="5"/>
      <c r="T100" s="6">
        <v>69.531999999999996</v>
      </c>
      <c r="U100" s="6">
        <v>310247</v>
      </c>
      <c r="V100" s="6">
        <v>3944.8537999999999</v>
      </c>
      <c r="W100" s="7">
        <v>1</v>
      </c>
      <c r="X100" s="12">
        <f t="shared" si="9"/>
        <v>78.646007109312905</v>
      </c>
      <c r="AA100" s="9">
        <v>69.537099999999995</v>
      </c>
      <c r="AB100" s="9">
        <v>58535</v>
      </c>
      <c r="AC100" s="9">
        <v>5491.7681000000002</v>
      </c>
      <c r="AD100" s="10">
        <v>1</v>
      </c>
      <c r="AE100" s="13">
        <f t="shared" si="10"/>
        <v>10.658680216304107</v>
      </c>
      <c r="AF100" s="8"/>
      <c r="AG100" s="9">
        <v>69.534599999999998</v>
      </c>
      <c r="AH100" s="9">
        <v>8592</v>
      </c>
      <c r="AI100" s="9">
        <v>3418.7586999999999</v>
      </c>
      <c r="AJ100" s="10">
        <v>1</v>
      </c>
      <c r="AK100" s="13">
        <f t="shared" si="11"/>
        <v>2.5131928731910795</v>
      </c>
    </row>
    <row r="101" spans="1:37" x14ac:dyDescent="0.4">
      <c r="A101" s="3">
        <v>69.548900000000003</v>
      </c>
      <c r="B101" s="3">
        <v>118833</v>
      </c>
      <c r="C101" s="3">
        <v>6679.4853999999996</v>
      </c>
      <c r="D101" s="4">
        <v>1</v>
      </c>
      <c r="E101" s="11">
        <f t="shared" si="6"/>
        <v>17.790741783790711</v>
      </c>
      <c r="F101" s="2"/>
      <c r="G101" s="3">
        <v>69.549000000000007</v>
      </c>
      <c r="H101" s="3">
        <v>66655</v>
      </c>
      <c r="I101" s="3">
        <v>6031.5227999999997</v>
      </c>
      <c r="J101" s="4">
        <v>1</v>
      </c>
      <c r="K101" s="11">
        <f t="shared" si="7"/>
        <v>11.051106364051215</v>
      </c>
      <c r="N101" s="6">
        <v>69.542199999999994</v>
      </c>
      <c r="O101" s="6">
        <v>722272</v>
      </c>
      <c r="P101" s="6">
        <v>4723.7187999999996</v>
      </c>
      <c r="Q101" s="7">
        <v>1</v>
      </c>
      <c r="R101" s="12">
        <f t="shared" si="8"/>
        <v>152.9032591863851</v>
      </c>
      <c r="S101" s="5"/>
      <c r="T101" s="6">
        <v>69.542000000000002</v>
      </c>
      <c r="U101" s="6">
        <v>612974</v>
      </c>
      <c r="V101" s="6">
        <v>3944.0924</v>
      </c>
      <c r="W101" s="7">
        <v>1</v>
      </c>
      <c r="X101" s="12">
        <f t="shared" si="9"/>
        <v>155.41573011829033</v>
      </c>
      <c r="AA101" s="9">
        <v>69.5471</v>
      </c>
      <c r="AB101" s="9">
        <v>96724</v>
      </c>
      <c r="AC101" s="9">
        <v>5493.7947000000004</v>
      </c>
      <c r="AD101" s="10">
        <v>1</v>
      </c>
      <c r="AE101" s="13">
        <f t="shared" si="10"/>
        <v>17.606045599046499</v>
      </c>
      <c r="AF101" s="8"/>
      <c r="AG101" s="9">
        <v>69.544600000000003</v>
      </c>
      <c r="AH101" s="9">
        <v>13420</v>
      </c>
      <c r="AI101" s="9">
        <v>3419.4838</v>
      </c>
      <c r="AJ101" s="10">
        <v>1</v>
      </c>
      <c r="AK101" s="13">
        <f t="shared" si="11"/>
        <v>3.924568965643294</v>
      </c>
    </row>
    <row r="102" spans="1:37" x14ac:dyDescent="0.4">
      <c r="A102" s="3">
        <v>69.558899999999994</v>
      </c>
      <c r="B102" s="3">
        <v>244939</v>
      </c>
      <c r="C102" s="3">
        <v>6679.0999000000002</v>
      </c>
      <c r="D102" s="4">
        <v>1</v>
      </c>
      <c r="E102" s="11">
        <f t="shared" si="6"/>
        <v>36.672456418865664</v>
      </c>
      <c r="F102" s="2"/>
      <c r="G102" s="3">
        <v>69.558999999999997</v>
      </c>
      <c r="H102" s="3">
        <v>113021</v>
      </c>
      <c r="I102" s="3">
        <v>6031.8468000000003</v>
      </c>
      <c r="J102" s="4">
        <v>1</v>
      </c>
      <c r="K102" s="11">
        <f t="shared" si="7"/>
        <v>18.737379072691301</v>
      </c>
      <c r="N102" s="6">
        <v>69.552199999999999</v>
      </c>
      <c r="O102" s="6">
        <v>1641520</v>
      </c>
      <c r="P102" s="6">
        <v>4722.1004999999996</v>
      </c>
      <c r="Q102" s="7">
        <v>1</v>
      </c>
      <c r="R102" s="12">
        <f t="shared" si="8"/>
        <v>347.62496054457125</v>
      </c>
      <c r="S102" s="5"/>
      <c r="T102" s="6">
        <v>69.552000000000007</v>
      </c>
      <c r="U102" s="6">
        <v>1420741</v>
      </c>
      <c r="V102" s="6">
        <v>3945.1003999999998</v>
      </c>
      <c r="W102" s="7">
        <v>1</v>
      </c>
      <c r="X102" s="12">
        <f t="shared" si="9"/>
        <v>360.12797038067777</v>
      </c>
      <c r="AA102" s="9">
        <v>69.557100000000005</v>
      </c>
      <c r="AB102" s="9">
        <v>195979</v>
      </c>
      <c r="AC102" s="9">
        <v>5490.8711999999996</v>
      </c>
      <c r="AD102" s="10">
        <v>1</v>
      </c>
      <c r="AE102" s="13">
        <f t="shared" si="10"/>
        <v>35.691786032059909</v>
      </c>
      <c r="AF102" s="8"/>
      <c r="AG102" s="9">
        <v>69.554599999999994</v>
      </c>
      <c r="AH102" s="9">
        <v>24471</v>
      </c>
      <c r="AI102" s="9">
        <v>3416.8180000000002</v>
      </c>
      <c r="AJ102" s="10">
        <v>1</v>
      </c>
      <c r="AK102" s="13">
        <f t="shared" si="11"/>
        <v>7.1619266814913756</v>
      </c>
    </row>
    <row r="103" spans="1:37" x14ac:dyDescent="0.4">
      <c r="A103" s="3">
        <v>69.568899999999999</v>
      </c>
      <c r="B103" s="3">
        <v>851508</v>
      </c>
      <c r="C103" s="3">
        <v>6677.2293</v>
      </c>
      <c r="D103" s="4">
        <v>1</v>
      </c>
      <c r="E103" s="11">
        <f t="shared" si="6"/>
        <v>127.52415137218667</v>
      </c>
      <c r="F103" s="2"/>
      <c r="G103" s="3">
        <v>69.569000000000003</v>
      </c>
      <c r="H103" s="3">
        <v>240981</v>
      </c>
      <c r="I103" s="3">
        <v>6031.7237999999998</v>
      </c>
      <c r="J103" s="4">
        <v>1</v>
      </c>
      <c r="K103" s="11">
        <f t="shared" si="7"/>
        <v>39.952260413515617</v>
      </c>
      <c r="N103" s="6">
        <v>69.562200000000004</v>
      </c>
      <c r="O103" s="6">
        <v>4971138</v>
      </c>
      <c r="P103" s="6">
        <v>4719.5315000000001</v>
      </c>
      <c r="Q103" s="7">
        <v>1</v>
      </c>
      <c r="R103" s="12">
        <f t="shared" si="8"/>
        <v>1053.311753507737</v>
      </c>
      <c r="S103" s="5"/>
      <c r="T103" s="6">
        <v>69.561999999999998</v>
      </c>
      <c r="U103" s="6">
        <v>5011676</v>
      </c>
      <c r="V103" s="6">
        <v>3945.5306</v>
      </c>
      <c r="W103" s="7">
        <v>1</v>
      </c>
      <c r="X103" s="12">
        <f t="shared" si="9"/>
        <v>1270.2159755141679</v>
      </c>
      <c r="AA103" s="9">
        <v>69.567099999999996</v>
      </c>
      <c r="AB103" s="9">
        <v>667966</v>
      </c>
      <c r="AC103" s="9">
        <v>5490.4169000000002</v>
      </c>
      <c r="AD103" s="10">
        <v>1</v>
      </c>
      <c r="AE103" s="13">
        <f t="shared" si="10"/>
        <v>121.66034240496381</v>
      </c>
      <c r="AF103" s="8"/>
      <c r="AG103" s="9">
        <v>69.564599999999999</v>
      </c>
      <c r="AH103" s="9">
        <v>64193</v>
      </c>
      <c r="AI103" s="9">
        <v>3417.2361000000001</v>
      </c>
      <c r="AJ103" s="10">
        <v>1</v>
      </c>
      <c r="AK103" s="13">
        <f t="shared" si="11"/>
        <v>18.785064338984363</v>
      </c>
    </row>
    <row r="104" spans="1:37" x14ac:dyDescent="0.4">
      <c r="A104" s="3">
        <v>69.578900000000004</v>
      </c>
      <c r="B104" s="3">
        <v>1019241</v>
      </c>
      <c r="C104" s="3">
        <v>6674.2304999999997</v>
      </c>
      <c r="D104" s="4">
        <v>53.984200000000001</v>
      </c>
      <c r="E104" s="11">
        <f t="shared" si="6"/>
        <v>8244.0829683961329</v>
      </c>
      <c r="F104" s="2"/>
      <c r="G104" s="3">
        <v>69.578999999999994</v>
      </c>
      <c r="H104" s="3">
        <v>20947</v>
      </c>
      <c r="I104" s="3">
        <v>6030.8543</v>
      </c>
      <c r="J104" s="4">
        <v>53.984200000000001</v>
      </c>
      <c r="K104" s="11">
        <f t="shared" si="7"/>
        <v>187.50362405538468</v>
      </c>
      <c r="N104" s="6">
        <v>69.572199999999995</v>
      </c>
      <c r="O104" s="6">
        <v>416934</v>
      </c>
      <c r="P104" s="6">
        <v>4719.7773999999999</v>
      </c>
      <c r="Q104" s="7">
        <v>53.984200000000001</v>
      </c>
      <c r="R104" s="12">
        <f t="shared" si="8"/>
        <v>4768.8368614163874</v>
      </c>
      <c r="S104" s="5"/>
      <c r="T104" s="6">
        <v>69.572000000000003</v>
      </c>
      <c r="U104" s="6">
        <v>462627</v>
      </c>
      <c r="V104" s="6">
        <v>3943.3163</v>
      </c>
      <c r="W104" s="7">
        <v>53.984200000000001</v>
      </c>
      <c r="X104" s="12">
        <f t="shared" si="9"/>
        <v>6333.3870766085902</v>
      </c>
      <c r="AA104" s="9">
        <v>69.577100000000002</v>
      </c>
      <c r="AB104" s="9">
        <v>753374</v>
      </c>
      <c r="AC104" s="9">
        <v>5487.6760999999997</v>
      </c>
      <c r="AD104" s="10">
        <v>53.984200000000001</v>
      </c>
      <c r="AE104" s="13">
        <f t="shared" si="10"/>
        <v>7411.2050255298418</v>
      </c>
      <c r="AF104" s="8"/>
      <c r="AG104" s="9">
        <v>69.574600000000004</v>
      </c>
      <c r="AH104" s="9">
        <v>32798</v>
      </c>
      <c r="AI104" s="9">
        <v>3418.0383999999999</v>
      </c>
      <c r="AJ104" s="10">
        <v>53.984200000000001</v>
      </c>
      <c r="AK104" s="13">
        <f t="shared" si="11"/>
        <v>518.00874782448318</v>
      </c>
    </row>
    <row r="105" spans="1:37" x14ac:dyDescent="0.4">
      <c r="A105" s="3">
        <v>69.588899999999995</v>
      </c>
      <c r="B105" s="3">
        <v>1905465</v>
      </c>
      <c r="C105" s="3">
        <v>6672.3208999999997</v>
      </c>
      <c r="D105" s="4">
        <v>53.984200000000001</v>
      </c>
      <c r="E105" s="11">
        <f t="shared" si="6"/>
        <v>15416.675126191849</v>
      </c>
      <c r="F105" s="2"/>
      <c r="G105" s="3">
        <v>69.588999999999999</v>
      </c>
      <c r="H105" s="3">
        <v>1312654</v>
      </c>
      <c r="I105" s="3">
        <v>6032.2112999999999</v>
      </c>
      <c r="J105" s="4">
        <v>53.984200000000001</v>
      </c>
      <c r="K105" s="11">
        <f t="shared" si="7"/>
        <v>11747.363038625652</v>
      </c>
      <c r="N105" s="6">
        <v>69.5822</v>
      </c>
      <c r="O105" s="6">
        <v>1210944</v>
      </c>
      <c r="P105" s="6">
        <v>4717.0186000000003</v>
      </c>
      <c r="Q105" s="7">
        <v>53.984200000000001</v>
      </c>
      <c r="R105" s="12">
        <f t="shared" si="8"/>
        <v>13858.720651387723</v>
      </c>
      <c r="S105" s="5"/>
      <c r="T105" s="6">
        <v>69.581999999999994</v>
      </c>
      <c r="U105" s="6">
        <v>715040</v>
      </c>
      <c r="V105" s="6">
        <v>3943.7909</v>
      </c>
      <c r="W105" s="7">
        <v>53.984200000000001</v>
      </c>
      <c r="X105" s="12">
        <f t="shared" si="9"/>
        <v>9787.7558285354335</v>
      </c>
      <c r="AA105" s="9">
        <v>69.587100000000007</v>
      </c>
      <c r="AB105" s="9">
        <v>1794074</v>
      </c>
      <c r="AC105" s="9">
        <v>5486.2776000000003</v>
      </c>
      <c r="AD105" s="10">
        <v>53.984200000000001</v>
      </c>
      <c r="AE105" s="13">
        <f t="shared" si="10"/>
        <v>17653.435843421412</v>
      </c>
      <c r="AF105" s="8"/>
      <c r="AG105" s="9">
        <v>69.584599999999995</v>
      </c>
      <c r="AH105" s="9">
        <v>378650</v>
      </c>
      <c r="AI105" s="9">
        <v>3419.1795999999999</v>
      </c>
      <c r="AJ105" s="10">
        <v>53.984200000000001</v>
      </c>
      <c r="AK105" s="13">
        <f t="shared" si="11"/>
        <v>5978.369001148697</v>
      </c>
    </row>
    <row r="106" spans="1:37" x14ac:dyDescent="0.4">
      <c r="A106" s="3">
        <v>69.5989</v>
      </c>
      <c r="B106" s="3">
        <v>23759</v>
      </c>
      <c r="C106" s="3">
        <v>6667.6477999999997</v>
      </c>
      <c r="D106" s="4">
        <v>53.984200000000001</v>
      </c>
      <c r="E106" s="11">
        <f t="shared" si="6"/>
        <v>192.36328106592552</v>
      </c>
      <c r="F106" s="2"/>
      <c r="G106" s="3">
        <v>69.599000000000004</v>
      </c>
      <c r="H106" s="3">
        <v>650357</v>
      </c>
      <c r="I106" s="3">
        <v>6032.7192999999997</v>
      </c>
      <c r="J106" s="4">
        <v>53.984200000000001</v>
      </c>
      <c r="K106" s="11">
        <f t="shared" si="7"/>
        <v>5819.7639594137927</v>
      </c>
      <c r="N106" s="6">
        <v>69.592200000000005</v>
      </c>
      <c r="O106" s="6">
        <v>612192</v>
      </c>
      <c r="P106" s="6">
        <v>4715.5658000000003</v>
      </c>
      <c r="Q106" s="7">
        <v>53.984200000000001</v>
      </c>
      <c r="R106" s="12">
        <f t="shared" si="8"/>
        <v>7008.4262987911225</v>
      </c>
      <c r="S106" s="5"/>
      <c r="T106" s="6">
        <v>69.591999999999999</v>
      </c>
      <c r="U106" s="6">
        <v>249629</v>
      </c>
      <c r="V106" s="6">
        <v>3942.3544999999999</v>
      </c>
      <c r="W106" s="7">
        <v>53.984200000000001</v>
      </c>
      <c r="X106" s="12">
        <f t="shared" si="9"/>
        <v>3418.2673987841531</v>
      </c>
      <c r="AA106" s="9">
        <v>69.597099999999998</v>
      </c>
      <c r="AB106" s="9">
        <v>22532</v>
      </c>
      <c r="AC106" s="9">
        <v>5489.4656000000004</v>
      </c>
      <c r="AD106" s="10">
        <v>53.984200000000001</v>
      </c>
      <c r="AE106" s="13">
        <f t="shared" si="10"/>
        <v>221.58295233692692</v>
      </c>
      <c r="AF106" s="8"/>
      <c r="AG106" s="9">
        <v>69.5946</v>
      </c>
      <c r="AH106" s="9">
        <v>159144</v>
      </c>
      <c r="AI106" s="9">
        <v>3415.9771999999998</v>
      </c>
      <c r="AJ106" s="10">
        <v>53.984200000000001</v>
      </c>
      <c r="AK106" s="13">
        <f t="shared" si="11"/>
        <v>2515.0230876248238</v>
      </c>
    </row>
    <row r="107" spans="1:37" x14ac:dyDescent="0.4">
      <c r="A107" s="3">
        <v>69.608900000000006</v>
      </c>
      <c r="B107" s="3">
        <v>290326</v>
      </c>
      <c r="C107" s="3">
        <v>6666.7644</v>
      </c>
      <c r="D107" s="4">
        <v>1</v>
      </c>
      <c r="E107" s="11">
        <f t="shared" si="6"/>
        <v>43.548261582485203</v>
      </c>
      <c r="F107" s="2"/>
      <c r="G107" s="3">
        <v>69.608999999999995</v>
      </c>
      <c r="H107" s="3">
        <v>628306</v>
      </c>
      <c r="I107" s="3">
        <v>6030.5290000000005</v>
      </c>
      <c r="J107" s="4">
        <v>1</v>
      </c>
      <c r="K107" s="11">
        <f t="shared" si="7"/>
        <v>104.1875430828705</v>
      </c>
      <c r="N107" s="6">
        <v>69.602199999999996</v>
      </c>
      <c r="O107" s="6">
        <v>6222359</v>
      </c>
      <c r="P107" s="6">
        <v>4711.1175000000003</v>
      </c>
      <c r="Q107" s="7">
        <v>1</v>
      </c>
      <c r="R107" s="12">
        <f t="shared" si="8"/>
        <v>1320.7819588452207</v>
      </c>
      <c r="S107" s="5"/>
      <c r="T107" s="6">
        <v>69.602000000000004</v>
      </c>
      <c r="U107" s="6">
        <v>2883469</v>
      </c>
      <c r="V107" s="6">
        <v>3942.0041000000001</v>
      </c>
      <c r="W107" s="7">
        <v>1</v>
      </c>
      <c r="X107" s="12">
        <f t="shared" si="9"/>
        <v>731.47285666191976</v>
      </c>
      <c r="AA107" s="9">
        <v>69.607100000000003</v>
      </c>
      <c r="AB107" s="9">
        <v>257541</v>
      </c>
      <c r="AC107" s="9">
        <v>5491.5829000000003</v>
      </c>
      <c r="AD107" s="10">
        <v>1</v>
      </c>
      <c r="AE107" s="13">
        <f t="shared" si="10"/>
        <v>46.897407303092884</v>
      </c>
      <c r="AF107" s="8"/>
      <c r="AG107" s="9">
        <v>69.604600000000005</v>
      </c>
      <c r="AH107" s="9">
        <v>262875</v>
      </c>
      <c r="AI107" s="9">
        <v>3417.4989</v>
      </c>
      <c r="AJ107" s="10">
        <v>1</v>
      </c>
      <c r="AK107" s="13">
        <f t="shared" si="11"/>
        <v>76.920288108944234</v>
      </c>
    </row>
    <row r="108" spans="1:37" x14ac:dyDescent="0.4">
      <c r="A108" s="3">
        <v>69.618899999999996</v>
      </c>
      <c r="B108" s="3">
        <v>132317</v>
      </c>
      <c r="C108" s="3">
        <v>6671.2694000000001</v>
      </c>
      <c r="D108" s="4">
        <v>1</v>
      </c>
      <c r="E108" s="11">
        <f t="shared" si="6"/>
        <v>19.833856507128914</v>
      </c>
      <c r="F108" s="2"/>
      <c r="G108" s="3">
        <v>69.619</v>
      </c>
      <c r="H108" s="3">
        <v>187279</v>
      </c>
      <c r="I108" s="3">
        <v>6029.7746999999999</v>
      </c>
      <c r="J108" s="4">
        <v>1</v>
      </c>
      <c r="K108" s="11">
        <f t="shared" si="7"/>
        <v>31.059037744809935</v>
      </c>
      <c r="N108" s="6">
        <v>69.612200000000001</v>
      </c>
      <c r="O108" s="6">
        <v>1666272</v>
      </c>
      <c r="P108" s="6">
        <v>4706.0338000000002</v>
      </c>
      <c r="Q108" s="7">
        <v>1</v>
      </c>
      <c r="R108" s="12">
        <f t="shared" si="8"/>
        <v>354.07140509700548</v>
      </c>
      <c r="S108" s="5"/>
      <c r="T108" s="6">
        <v>69.611999999999995</v>
      </c>
      <c r="U108" s="6">
        <v>878095</v>
      </c>
      <c r="V108" s="6">
        <v>3942.3164999999999</v>
      </c>
      <c r="W108" s="7">
        <v>1</v>
      </c>
      <c r="X108" s="12">
        <f t="shared" si="9"/>
        <v>222.7357950585652</v>
      </c>
      <c r="AA108" s="9">
        <v>69.617099999999994</v>
      </c>
      <c r="AB108" s="9">
        <v>116397</v>
      </c>
      <c r="AC108" s="9">
        <v>5492.8527999999997</v>
      </c>
      <c r="AD108" s="10">
        <v>1</v>
      </c>
      <c r="AE108" s="13">
        <f t="shared" si="10"/>
        <v>21.190627937453559</v>
      </c>
      <c r="AF108" s="8"/>
      <c r="AG108" s="9">
        <v>69.614599999999996</v>
      </c>
      <c r="AH108" s="9">
        <v>60593</v>
      </c>
      <c r="AI108" s="9">
        <v>3417.2269000000001</v>
      </c>
      <c r="AJ108" s="10">
        <v>1</v>
      </c>
      <c r="AK108" s="13">
        <f t="shared" si="11"/>
        <v>17.731629117165149</v>
      </c>
    </row>
    <row r="109" spans="1:37" x14ac:dyDescent="0.4">
      <c r="A109" s="3">
        <v>69.628900000000002</v>
      </c>
      <c r="B109" s="3">
        <v>76808</v>
      </c>
      <c r="C109" s="3">
        <v>6670.7214000000004</v>
      </c>
      <c r="D109" s="4">
        <v>1</v>
      </c>
      <c r="E109" s="11">
        <f t="shared" si="6"/>
        <v>11.514196950272874</v>
      </c>
      <c r="F109" s="2"/>
      <c r="G109" s="3">
        <v>69.629000000000005</v>
      </c>
      <c r="H109" s="3">
        <v>88169</v>
      </c>
      <c r="I109" s="3">
        <v>6026.6728999999996</v>
      </c>
      <c r="J109" s="4">
        <v>1</v>
      </c>
      <c r="K109" s="11">
        <f t="shared" si="7"/>
        <v>14.629796815420331</v>
      </c>
      <c r="N109" s="6">
        <v>69.622200000000007</v>
      </c>
      <c r="O109" s="6">
        <v>592622</v>
      </c>
      <c r="P109" s="6">
        <v>4706.8319000000001</v>
      </c>
      <c r="Q109" s="7">
        <v>1</v>
      </c>
      <c r="R109" s="12">
        <f t="shared" si="8"/>
        <v>125.90676968939553</v>
      </c>
      <c r="S109" s="5"/>
      <c r="T109" s="6">
        <v>69.622</v>
      </c>
      <c r="U109" s="6">
        <v>326198</v>
      </c>
      <c r="V109" s="6">
        <v>3942.2701000000002</v>
      </c>
      <c r="W109" s="7">
        <v>1</v>
      </c>
      <c r="X109" s="12">
        <f t="shared" si="9"/>
        <v>82.743696328671135</v>
      </c>
      <c r="AA109" s="9">
        <v>69.627099999999999</v>
      </c>
      <c r="AB109" s="9">
        <v>66145</v>
      </c>
      <c r="AC109" s="9">
        <v>5495.0234</v>
      </c>
      <c r="AD109" s="10">
        <v>1</v>
      </c>
      <c r="AE109" s="13">
        <f t="shared" si="10"/>
        <v>12.037255382752328</v>
      </c>
      <c r="AF109" s="8"/>
      <c r="AG109" s="9">
        <v>69.624600000000001</v>
      </c>
      <c r="AH109" s="9">
        <v>19446</v>
      </c>
      <c r="AI109" s="9">
        <v>3415.9508999999998</v>
      </c>
      <c r="AJ109" s="10">
        <v>1</v>
      </c>
      <c r="AK109" s="13">
        <f t="shared" si="11"/>
        <v>5.6927047751184015</v>
      </c>
    </row>
    <row r="110" spans="1:37" x14ac:dyDescent="0.4">
      <c r="A110" s="3">
        <v>69.638900000000007</v>
      </c>
      <c r="B110" s="3">
        <v>50601</v>
      </c>
      <c r="C110" s="3">
        <v>6669.9432999999999</v>
      </c>
      <c r="D110" s="4">
        <v>1</v>
      </c>
      <c r="E110" s="11">
        <f t="shared" si="6"/>
        <v>7.5864213118573289</v>
      </c>
      <c r="F110" s="2"/>
      <c r="G110" s="3">
        <v>69.638999999999996</v>
      </c>
      <c r="H110" s="3">
        <v>51278</v>
      </c>
      <c r="I110" s="3">
        <v>6024.7298000000001</v>
      </c>
      <c r="J110" s="4">
        <v>1</v>
      </c>
      <c r="K110" s="11">
        <f t="shared" si="7"/>
        <v>8.5112530689758064</v>
      </c>
      <c r="N110" s="6">
        <v>69.632199999999997</v>
      </c>
      <c r="O110" s="6">
        <v>247360</v>
      </c>
      <c r="P110" s="6">
        <v>4702.4727999999996</v>
      </c>
      <c r="Q110" s="7">
        <v>1</v>
      </c>
      <c r="R110" s="12">
        <f t="shared" si="8"/>
        <v>52.602111808068308</v>
      </c>
      <c r="S110" s="5"/>
      <c r="T110" s="6">
        <v>69.632000000000005</v>
      </c>
      <c r="U110" s="6">
        <v>140384</v>
      </c>
      <c r="V110" s="6">
        <v>3940.7579000000001</v>
      </c>
      <c r="W110" s="7">
        <v>1</v>
      </c>
      <c r="X110" s="12">
        <f t="shared" si="9"/>
        <v>35.62360428180579</v>
      </c>
      <c r="AA110" s="9">
        <v>69.637100000000004</v>
      </c>
      <c r="AB110" s="9">
        <v>42567</v>
      </c>
      <c r="AC110" s="9">
        <v>5497.3603999999996</v>
      </c>
      <c r="AD110" s="10">
        <v>1</v>
      </c>
      <c r="AE110" s="13">
        <f t="shared" si="10"/>
        <v>7.7431707042528997</v>
      </c>
      <c r="AF110" s="8"/>
      <c r="AG110" s="9">
        <v>69.634600000000006</v>
      </c>
      <c r="AH110" s="9">
        <v>10635</v>
      </c>
      <c r="AI110" s="9">
        <v>3417.0936999999999</v>
      </c>
      <c r="AJ110" s="10">
        <v>1</v>
      </c>
      <c r="AK110" s="13">
        <f t="shared" si="11"/>
        <v>3.1122939356330792</v>
      </c>
    </row>
    <row r="111" spans="1:37" x14ac:dyDescent="0.4">
      <c r="A111" s="3">
        <v>69.648899999999998</v>
      </c>
      <c r="B111" s="3">
        <v>35621</v>
      </c>
      <c r="C111" s="3">
        <v>6670.4096</v>
      </c>
      <c r="D111" s="4">
        <v>1</v>
      </c>
      <c r="E111" s="11">
        <f t="shared" si="6"/>
        <v>5.3401518251592828</v>
      </c>
      <c r="F111" s="2"/>
      <c r="G111" s="3">
        <v>69.649000000000001</v>
      </c>
      <c r="H111" s="3">
        <v>34482</v>
      </c>
      <c r="I111" s="3">
        <v>6022.7804999999998</v>
      </c>
      <c r="J111" s="4">
        <v>1</v>
      </c>
      <c r="K111" s="11">
        <f t="shared" si="7"/>
        <v>5.7252626091885634</v>
      </c>
      <c r="N111" s="6">
        <v>69.642200000000003</v>
      </c>
      <c r="O111" s="6">
        <v>118993</v>
      </c>
      <c r="P111" s="6">
        <v>4702.3948</v>
      </c>
      <c r="Q111" s="7">
        <v>1</v>
      </c>
      <c r="R111" s="12">
        <f t="shared" si="8"/>
        <v>25.304765988597978</v>
      </c>
      <c r="S111" s="5"/>
      <c r="T111" s="6">
        <v>69.641999999999996</v>
      </c>
      <c r="U111" s="6">
        <v>70692</v>
      </c>
      <c r="V111" s="6">
        <v>3941.4694</v>
      </c>
      <c r="W111" s="7">
        <v>1</v>
      </c>
      <c r="X111" s="12">
        <f t="shared" si="9"/>
        <v>17.935443060905154</v>
      </c>
      <c r="AA111" s="9">
        <v>69.647099999999995</v>
      </c>
      <c r="AB111" s="9">
        <v>29653</v>
      </c>
      <c r="AC111" s="9">
        <v>5501.9611000000004</v>
      </c>
      <c r="AD111" s="10">
        <v>1</v>
      </c>
      <c r="AE111" s="13">
        <f t="shared" si="10"/>
        <v>5.3895328340289428</v>
      </c>
      <c r="AF111" s="8"/>
      <c r="AG111" s="9">
        <v>69.644599999999997</v>
      </c>
      <c r="AH111" s="9">
        <v>6970</v>
      </c>
      <c r="AI111" s="9">
        <v>3418.2831000000001</v>
      </c>
      <c r="AJ111" s="10">
        <v>1</v>
      </c>
      <c r="AK111" s="13">
        <f t="shared" si="11"/>
        <v>2.0390353274133437</v>
      </c>
    </row>
    <row r="112" spans="1:37" x14ac:dyDescent="0.4">
      <c r="A112" s="3">
        <v>69.658900000000003</v>
      </c>
      <c r="B112" s="3">
        <v>26968</v>
      </c>
      <c r="C112" s="3">
        <v>6666.4520000000002</v>
      </c>
      <c r="D112" s="4">
        <v>1</v>
      </c>
      <c r="E112" s="11">
        <f t="shared" si="6"/>
        <v>4.0453302596343601</v>
      </c>
      <c r="F112" s="2"/>
      <c r="G112" s="3">
        <v>69.659000000000006</v>
      </c>
      <c r="H112" s="3">
        <v>24232</v>
      </c>
      <c r="I112" s="3">
        <v>6020.7912999999999</v>
      </c>
      <c r="J112" s="4">
        <v>1</v>
      </c>
      <c r="K112" s="11">
        <f t="shared" si="7"/>
        <v>4.0247201393610839</v>
      </c>
      <c r="N112" s="6">
        <v>69.652199999999993</v>
      </c>
      <c r="O112" s="6">
        <v>63303</v>
      </c>
      <c r="P112" s="6">
        <v>4695.9228000000003</v>
      </c>
      <c r="Q112" s="7">
        <v>1</v>
      </c>
      <c r="R112" s="12">
        <f t="shared" si="8"/>
        <v>13.480417523047866</v>
      </c>
      <c r="S112" s="5"/>
      <c r="T112" s="6">
        <v>69.652000000000001</v>
      </c>
      <c r="U112" s="6">
        <v>39586</v>
      </c>
      <c r="V112" s="6">
        <v>3938.5545999999999</v>
      </c>
      <c r="W112" s="7">
        <v>1</v>
      </c>
      <c r="X112" s="12">
        <f t="shared" si="9"/>
        <v>10.050895320836736</v>
      </c>
      <c r="AA112" s="9">
        <v>69.6571</v>
      </c>
      <c r="AB112" s="9">
        <v>21260</v>
      </c>
      <c r="AC112" s="9">
        <v>5504.3008</v>
      </c>
      <c r="AD112" s="10">
        <v>1</v>
      </c>
      <c r="AE112" s="13">
        <f t="shared" si="10"/>
        <v>3.8624342623135712</v>
      </c>
      <c r="AF112" s="8"/>
      <c r="AG112" s="9">
        <v>69.654600000000002</v>
      </c>
      <c r="AH112" s="9">
        <v>5060</v>
      </c>
      <c r="AI112" s="9">
        <v>3417.9533000000001</v>
      </c>
      <c r="AJ112" s="10">
        <v>1</v>
      </c>
      <c r="AK112" s="13">
        <f t="shared" si="11"/>
        <v>1.480418120399714</v>
      </c>
    </row>
    <row r="113" spans="1:37" x14ac:dyDescent="0.4">
      <c r="A113" s="3">
        <v>69.668899999999994</v>
      </c>
      <c r="B113" s="3">
        <v>20757</v>
      </c>
      <c r="C113" s="3">
        <v>6666.5865000000003</v>
      </c>
      <c r="D113" s="4">
        <v>1</v>
      </c>
      <c r="E113" s="11">
        <f t="shared" si="6"/>
        <v>3.1135874408889763</v>
      </c>
      <c r="F113" s="2"/>
      <c r="G113" s="3">
        <v>69.668999999999997</v>
      </c>
      <c r="H113" s="3">
        <v>17354</v>
      </c>
      <c r="I113" s="3">
        <v>6020.2608</v>
      </c>
      <c r="J113" s="4">
        <v>1</v>
      </c>
      <c r="K113" s="11">
        <f t="shared" si="7"/>
        <v>2.8825993717747243</v>
      </c>
      <c r="N113" s="6">
        <v>69.662199999999999</v>
      </c>
      <c r="O113" s="6">
        <v>35873</v>
      </c>
      <c r="P113" s="6">
        <v>4693.7763000000004</v>
      </c>
      <c r="Q113" s="7">
        <v>1</v>
      </c>
      <c r="R113" s="12">
        <f t="shared" si="8"/>
        <v>7.642673554766553</v>
      </c>
      <c r="S113" s="5"/>
      <c r="T113" s="6">
        <v>69.662000000000006</v>
      </c>
      <c r="U113" s="6">
        <v>23118</v>
      </c>
      <c r="V113" s="6">
        <v>3937.6017999999999</v>
      </c>
      <c r="W113" s="7">
        <v>1</v>
      </c>
      <c r="X113" s="12">
        <f t="shared" si="9"/>
        <v>5.8710863043591663</v>
      </c>
      <c r="AA113" s="9">
        <v>69.667100000000005</v>
      </c>
      <c r="AB113" s="9">
        <v>16324</v>
      </c>
      <c r="AC113" s="9">
        <v>5504.62</v>
      </c>
      <c r="AD113" s="10">
        <v>1</v>
      </c>
      <c r="AE113" s="13">
        <f t="shared" si="10"/>
        <v>2.9655089724631312</v>
      </c>
      <c r="AF113" s="8"/>
      <c r="AG113" s="9">
        <v>69.664599999999993</v>
      </c>
      <c r="AH113" s="9">
        <v>3844</v>
      </c>
      <c r="AI113" s="9">
        <v>3417.9877000000001</v>
      </c>
      <c r="AJ113" s="10">
        <v>1</v>
      </c>
      <c r="AK113" s="13">
        <f t="shared" si="11"/>
        <v>1.1246383361765755</v>
      </c>
    </row>
    <row r="114" spans="1:37" x14ac:dyDescent="0.4">
      <c r="A114" s="3">
        <v>69.678899999999999</v>
      </c>
      <c r="B114" s="3">
        <v>16552</v>
      </c>
      <c r="C114" s="3">
        <v>6664.6463000000003</v>
      </c>
      <c r="D114" s="4">
        <v>1</v>
      </c>
      <c r="E114" s="11">
        <f t="shared" si="6"/>
        <v>2.4835526530492698</v>
      </c>
      <c r="F114" s="2"/>
      <c r="G114" s="3">
        <v>69.679000000000002</v>
      </c>
      <c r="H114" s="3">
        <v>12968</v>
      </c>
      <c r="I114" s="3">
        <v>6020.2440999999999</v>
      </c>
      <c r="J114" s="4">
        <v>1</v>
      </c>
      <c r="K114" s="11">
        <f t="shared" si="7"/>
        <v>2.1540654805010315</v>
      </c>
      <c r="N114" s="6">
        <v>69.672200000000004</v>
      </c>
      <c r="O114" s="6">
        <v>21662</v>
      </c>
      <c r="P114" s="6">
        <v>4690.1072999999997</v>
      </c>
      <c r="Q114" s="7">
        <v>1</v>
      </c>
      <c r="R114" s="12">
        <f t="shared" si="8"/>
        <v>4.6186576584292647</v>
      </c>
      <c r="S114" s="5"/>
      <c r="T114" s="6">
        <v>69.671999999999997</v>
      </c>
      <c r="U114" s="6">
        <v>14018</v>
      </c>
      <c r="V114" s="6">
        <v>3938.0308</v>
      </c>
      <c r="W114" s="7">
        <v>1</v>
      </c>
      <c r="X114" s="12">
        <f t="shared" si="9"/>
        <v>3.5596471210941267</v>
      </c>
      <c r="AA114" s="9">
        <v>69.677099999999996</v>
      </c>
      <c r="AB114" s="9">
        <v>13059</v>
      </c>
      <c r="AC114" s="9">
        <v>5504.3023999999996</v>
      </c>
      <c r="AD114" s="10">
        <v>1</v>
      </c>
      <c r="AE114" s="13">
        <f t="shared" si="10"/>
        <v>2.3725077314066176</v>
      </c>
      <c r="AF114" s="8"/>
      <c r="AG114" s="9">
        <v>69.674599999999998</v>
      </c>
      <c r="AH114" s="9">
        <v>2861</v>
      </c>
      <c r="AI114" s="9">
        <v>3416.8416999999999</v>
      </c>
      <c r="AJ114" s="10">
        <v>1</v>
      </c>
      <c r="AK114" s="13">
        <f t="shared" si="11"/>
        <v>0.83732295821606251</v>
      </c>
    </row>
    <row r="115" spans="1:37" x14ac:dyDescent="0.4">
      <c r="A115" s="3">
        <v>69.688900000000004</v>
      </c>
      <c r="B115" s="3">
        <v>13609</v>
      </c>
      <c r="C115" s="3">
        <v>6662.2713999999996</v>
      </c>
      <c r="D115" s="4">
        <v>1</v>
      </c>
      <c r="E115" s="11">
        <f t="shared" si="6"/>
        <v>2.0426967295268099</v>
      </c>
      <c r="F115" s="2"/>
      <c r="G115" s="3">
        <v>69.688999999999993</v>
      </c>
      <c r="H115" s="3">
        <v>10417</v>
      </c>
      <c r="I115" s="3">
        <v>6020.6779999999999</v>
      </c>
      <c r="J115" s="4">
        <v>1</v>
      </c>
      <c r="K115" s="11">
        <f t="shared" si="7"/>
        <v>1.7302038076110364</v>
      </c>
      <c r="N115" s="6">
        <v>69.682199999999995</v>
      </c>
      <c r="O115" s="6">
        <v>13430</v>
      </c>
      <c r="P115" s="6">
        <v>4689.1850999999997</v>
      </c>
      <c r="Q115" s="7">
        <v>1</v>
      </c>
      <c r="R115" s="12">
        <f t="shared" si="8"/>
        <v>2.8640370797049579</v>
      </c>
      <c r="S115" s="5"/>
      <c r="T115" s="6">
        <v>69.682000000000002</v>
      </c>
      <c r="U115" s="6">
        <v>8795</v>
      </c>
      <c r="V115" s="6">
        <v>3936.2233999999999</v>
      </c>
      <c r="W115" s="7">
        <v>1</v>
      </c>
      <c r="X115" s="12">
        <f t="shared" si="9"/>
        <v>2.2343752135613038</v>
      </c>
      <c r="AA115" s="9">
        <v>69.687100000000001</v>
      </c>
      <c r="AB115" s="9">
        <v>10634</v>
      </c>
      <c r="AC115" s="9">
        <v>5503.2003000000004</v>
      </c>
      <c r="AD115" s="10">
        <v>1</v>
      </c>
      <c r="AE115" s="13">
        <f t="shared" si="10"/>
        <v>1.9323301752254955</v>
      </c>
      <c r="AF115" s="8"/>
      <c r="AG115" s="9">
        <v>69.684600000000003</v>
      </c>
      <c r="AH115" s="9">
        <v>2240</v>
      </c>
      <c r="AI115" s="9">
        <v>3418.1131</v>
      </c>
      <c r="AJ115" s="10">
        <v>1</v>
      </c>
      <c r="AK115" s="13">
        <f t="shared" si="11"/>
        <v>0.65533232355594084</v>
      </c>
    </row>
    <row r="116" spans="1:37" x14ac:dyDescent="0.4">
      <c r="A116" s="3">
        <v>69.698899999999995</v>
      </c>
      <c r="B116" s="3">
        <v>11100</v>
      </c>
      <c r="C116" s="3">
        <v>6659.4094999999998</v>
      </c>
      <c r="D116" s="4">
        <v>1</v>
      </c>
      <c r="E116" s="11">
        <f t="shared" si="6"/>
        <v>1.6668144525426767</v>
      </c>
      <c r="F116" s="2"/>
      <c r="G116" s="3">
        <v>69.698999999999998</v>
      </c>
      <c r="H116" s="3">
        <v>8882</v>
      </c>
      <c r="I116" s="3">
        <v>6018.7007000000003</v>
      </c>
      <c r="J116" s="4">
        <v>1</v>
      </c>
      <c r="K116" s="11">
        <f t="shared" si="7"/>
        <v>1.4757337908495765</v>
      </c>
      <c r="N116" s="6">
        <v>69.6922</v>
      </c>
      <c r="O116" s="6">
        <v>8897</v>
      </c>
      <c r="P116" s="6">
        <v>4687.3230000000003</v>
      </c>
      <c r="Q116" s="7">
        <v>1</v>
      </c>
      <c r="R116" s="12">
        <f t="shared" si="8"/>
        <v>1.8980983388599419</v>
      </c>
      <c r="S116" s="5"/>
      <c r="T116" s="6">
        <v>69.691999999999993</v>
      </c>
      <c r="U116" s="6">
        <v>5721</v>
      </c>
      <c r="V116" s="6">
        <v>3930.3283999999999</v>
      </c>
      <c r="W116" s="7">
        <v>1</v>
      </c>
      <c r="X116" s="12">
        <f t="shared" si="9"/>
        <v>1.4556035571989354</v>
      </c>
      <c r="AA116" s="9">
        <v>69.697100000000006</v>
      </c>
      <c r="AB116" s="9">
        <v>8644</v>
      </c>
      <c r="AC116" s="9">
        <v>5497.2825999999995</v>
      </c>
      <c r="AD116" s="10">
        <v>1</v>
      </c>
      <c r="AE116" s="13">
        <f t="shared" si="10"/>
        <v>1.5724132501392598</v>
      </c>
      <c r="AF116" s="8"/>
      <c r="AG116" s="9">
        <v>69.694599999999994</v>
      </c>
      <c r="AH116" s="9">
        <v>1867</v>
      </c>
      <c r="AI116" s="9">
        <v>3417.6183999999998</v>
      </c>
      <c r="AJ116" s="10">
        <v>1</v>
      </c>
      <c r="AK116" s="13">
        <f t="shared" si="11"/>
        <v>0.54628685285636336</v>
      </c>
    </row>
    <row r="117" spans="1:37" x14ac:dyDescent="0.4">
      <c r="A117" s="3">
        <v>69.7089</v>
      </c>
      <c r="B117" s="3">
        <v>9389</v>
      </c>
      <c r="C117" s="3">
        <v>6658.7709999999997</v>
      </c>
      <c r="D117" s="4">
        <v>1</v>
      </c>
      <c r="E117" s="11">
        <f t="shared" si="6"/>
        <v>1.4100199571362344</v>
      </c>
      <c r="F117" s="2"/>
      <c r="G117" s="3">
        <v>69.709000000000003</v>
      </c>
      <c r="H117" s="3">
        <v>7502</v>
      </c>
      <c r="I117" s="3">
        <v>6019.7849999999999</v>
      </c>
      <c r="J117" s="4">
        <v>1</v>
      </c>
      <c r="K117" s="11">
        <f t="shared" si="7"/>
        <v>1.2462239099901409</v>
      </c>
      <c r="N117" s="6">
        <v>69.702200000000005</v>
      </c>
      <c r="O117" s="6">
        <v>5964</v>
      </c>
      <c r="P117" s="6">
        <v>4687.6337999999996</v>
      </c>
      <c r="Q117" s="7">
        <v>1</v>
      </c>
      <c r="R117" s="12">
        <f t="shared" si="8"/>
        <v>1.272283683934526</v>
      </c>
      <c r="S117" s="5"/>
      <c r="T117" s="6">
        <v>69.701999999999998</v>
      </c>
      <c r="U117" s="6">
        <v>3975</v>
      </c>
      <c r="V117" s="6">
        <v>3932.4072999999999</v>
      </c>
      <c r="W117" s="7">
        <v>1</v>
      </c>
      <c r="X117" s="12">
        <f t="shared" si="9"/>
        <v>1.010831202556256</v>
      </c>
      <c r="AA117" s="9">
        <v>69.707099999999997</v>
      </c>
      <c r="AB117" s="9">
        <v>7363</v>
      </c>
      <c r="AC117" s="9">
        <v>5497.9089999999997</v>
      </c>
      <c r="AD117" s="10">
        <v>1</v>
      </c>
      <c r="AE117" s="13">
        <f t="shared" si="10"/>
        <v>1.3392364260667102</v>
      </c>
      <c r="AF117" s="8"/>
      <c r="AG117" s="9">
        <v>69.704599999999999</v>
      </c>
      <c r="AH117" s="9">
        <v>1443</v>
      </c>
      <c r="AI117" s="9">
        <v>3414.0994999999998</v>
      </c>
      <c r="AJ117" s="10">
        <v>1</v>
      </c>
      <c r="AK117" s="13">
        <f t="shared" si="11"/>
        <v>0.42265903498125934</v>
      </c>
    </row>
    <row r="118" spans="1:37" x14ac:dyDescent="0.4">
      <c r="A118" s="3">
        <v>69.718900000000005</v>
      </c>
      <c r="B118" s="3">
        <v>7961</v>
      </c>
      <c r="C118" s="3">
        <v>6656.518</v>
      </c>
      <c r="D118" s="4">
        <v>1</v>
      </c>
      <c r="E118" s="11">
        <f t="shared" si="6"/>
        <v>1.1959706260840879</v>
      </c>
      <c r="F118" s="2"/>
      <c r="G118" s="3">
        <v>69.718999999999994</v>
      </c>
      <c r="H118" s="3">
        <v>6241</v>
      </c>
      <c r="I118" s="3">
        <v>6019.0843000000004</v>
      </c>
      <c r="J118" s="4">
        <v>1</v>
      </c>
      <c r="K118" s="11">
        <f t="shared" si="7"/>
        <v>1.0368686811713204</v>
      </c>
      <c r="N118" s="6">
        <v>69.712199999999996</v>
      </c>
      <c r="O118" s="6">
        <v>3995</v>
      </c>
      <c r="P118" s="6">
        <v>4688.6354000000001</v>
      </c>
      <c r="Q118" s="7">
        <v>1</v>
      </c>
      <c r="R118" s="12">
        <f t="shared" si="8"/>
        <v>0.85206028176129878</v>
      </c>
      <c r="S118" s="5"/>
      <c r="T118" s="6">
        <v>69.712000000000003</v>
      </c>
      <c r="U118" s="6">
        <v>2810</v>
      </c>
      <c r="V118" s="6">
        <v>3932.0252</v>
      </c>
      <c r="W118" s="7">
        <v>1</v>
      </c>
      <c r="X118" s="12">
        <f t="shared" si="9"/>
        <v>0.71464445344856897</v>
      </c>
      <c r="AA118" s="9">
        <v>69.717100000000002</v>
      </c>
      <c r="AB118" s="9">
        <v>6368</v>
      </c>
      <c r="AC118" s="9">
        <v>5493.7861999999996</v>
      </c>
      <c r="AD118" s="10">
        <v>1</v>
      </c>
      <c r="AE118" s="13">
        <f t="shared" si="10"/>
        <v>1.1591277432674756</v>
      </c>
      <c r="AF118" s="8"/>
      <c r="AG118" s="9">
        <v>69.714600000000004</v>
      </c>
      <c r="AH118" s="9">
        <v>1292</v>
      </c>
      <c r="AI118" s="9">
        <v>3414.3497000000002</v>
      </c>
      <c r="AJ118" s="10">
        <v>1</v>
      </c>
      <c r="AK118" s="13">
        <f t="shared" si="11"/>
        <v>0.37840295034805599</v>
      </c>
    </row>
    <row r="119" spans="1:37" x14ac:dyDescent="0.4">
      <c r="A119" s="3">
        <v>69.728899999999996</v>
      </c>
      <c r="B119" s="3">
        <v>6731</v>
      </c>
      <c r="C119" s="3">
        <v>6649.3523999999998</v>
      </c>
      <c r="D119" s="4">
        <v>1</v>
      </c>
      <c r="E119" s="11">
        <f t="shared" si="6"/>
        <v>1.0122790303609115</v>
      </c>
      <c r="F119" s="2"/>
      <c r="G119" s="3">
        <v>69.728999999999999</v>
      </c>
      <c r="H119" s="3">
        <v>5381</v>
      </c>
      <c r="I119" s="3">
        <v>6019.3334999999997</v>
      </c>
      <c r="J119" s="4">
        <v>1</v>
      </c>
      <c r="K119" s="11">
        <f t="shared" si="7"/>
        <v>0.89395279394305038</v>
      </c>
      <c r="N119" s="6">
        <v>69.722200000000001</v>
      </c>
      <c r="O119" s="6">
        <v>2960</v>
      </c>
      <c r="P119" s="6">
        <v>4695.5847999999996</v>
      </c>
      <c r="Q119" s="7">
        <v>1</v>
      </c>
      <c r="R119" s="12">
        <f t="shared" si="8"/>
        <v>0.63037941514760854</v>
      </c>
      <c r="S119" s="5"/>
      <c r="T119" s="6">
        <v>69.721999999999994</v>
      </c>
      <c r="U119" s="6">
        <v>1918</v>
      </c>
      <c r="V119" s="6">
        <v>3932.8321000000001</v>
      </c>
      <c r="W119" s="7">
        <v>1</v>
      </c>
      <c r="X119" s="12">
        <f t="shared" si="9"/>
        <v>0.48768926596179885</v>
      </c>
      <c r="AA119" s="9">
        <v>69.727099999999993</v>
      </c>
      <c r="AB119" s="9">
        <v>5687</v>
      </c>
      <c r="AC119" s="9">
        <v>5490.5195999999996</v>
      </c>
      <c r="AD119" s="10">
        <v>1</v>
      </c>
      <c r="AE119" s="13">
        <f t="shared" si="10"/>
        <v>1.0357853926976237</v>
      </c>
      <c r="AF119" s="8"/>
      <c r="AG119" s="9">
        <v>69.724599999999995</v>
      </c>
      <c r="AH119" s="9">
        <v>1093</v>
      </c>
      <c r="AI119" s="9">
        <v>3414.134</v>
      </c>
      <c r="AJ119" s="10">
        <v>1</v>
      </c>
      <c r="AK119" s="13">
        <f t="shared" si="11"/>
        <v>0.32013974846915794</v>
      </c>
    </row>
    <row r="120" spans="1:37" x14ac:dyDescent="0.4">
      <c r="A120" s="3">
        <v>69.738900000000001</v>
      </c>
      <c r="B120" s="3">
        <v>6138</v>
      </c>
      <c r="C120" s="3">
        <v>6649.3720999999996</v>
      </c>
      <c r="D120" s="4">
        <v>1</v>
      </c>
      <c r="E120" s="11">
        <f t="shared" si="6"/>
        <v>0.92309467836820269</v>
      </c>
      <c r="F120" s="2"/>
      <c r="G120" s="3">
        <v>69.739000000000004</v>
      </c>
      <c r="H120" s="3">
        <v>4626</v>
      </c>
      <c r="I120" s="3">
        <v>6022.8033999999998</v>
      </c>
      <c r="J120" s="4">
        <v>1</v>
      </c>
      <c r="K120" s="11">
        <f t="shared" si="7"/>
        <v>0.7680808574956971</v>
      </c>
      <c r="N120" s="6">
        <v>69.732200000000006</v>
      </c>
      <c r="O120" s="6">
        <v>2148</v>
      </c>
      <c r="P120" s="6">
        <v>4703.4375</v>
      </c>
      <c r="Q120" s="7">
        <v>1</v>
      </c>
      <c r="R120" s="12">
        <f t="shared" si="8"/>
        <v>0.45668726330476378</v>
      </c>
      <c r="S120" s="5"/>
      <c r="T120" s="6">
        <v>69.731999999999999</v>
      </c>
      <c r="U120" s="6">
        <v>1481</v>
      </c>
      <c r="V120" s="6">
        <v>3932.8807000000002</v>
      </c>
      <c r="W120" s="7">
        <v>1</v>
      </c>
      <c r="X120" s="12">
        <f t="shared" si="9"/>
        <v>0.37656875785731309</v>
      </c>
      <c r="AA120" s="9">
        <v>69.737099999999998</v>
      </c>
      <c r="AB120" s="9">
        <v>4904</v>
      </c>
      <c r="AC120" s="9">
        <v>5484.0537000000004</v>
      </c>
      <c r="AD120" s="10">
        <v>1</v>
      </c>
      <c r="AE120" s="13">
        <f t="shared" si="10"/>
        <v>0.89422902624020617</v>
      </c>
      <c r="AF120" s="8"/>
      <c r="AG120" s="9">
        <v>69.7346</v>
      </c>
      <c r="AH120" s="9">
        <v>924</v>
      </c>
      <c r="AI120" s="9">
        <v>3415.0805999999998</v>
      </c>
      <c r="AJ120" s="10">
        <v>1</v>
      </c>
      <c r="AK120" s="13">
        <f t="shared" si="11"/>
        <v>0.27056462444839519</v>
      </c>
    </row>
    <row r="121" spans="1:37" x14ac:dyDescent="0.4">
      <c r="A121" s="3">
        <v>69.748900000000006</v>
      </c>
      <c r="B121" s="3">
        <v>5388</v>
      </c>
      <c r="C121" s="3">
        <v>6645.9713000000002</v>
      </c>
      <c r="D121" s="4">
        <v>1</v>
      </c>
      <c r="E121" s="11">
        <f t="shared" si="6"/>
        <v>0.81071671194246653</v>
      </c>
      <c r="F121" s="2"/>
      <c r="G121" s="3">
        <v>69.748999999999995</v>
      </c>
      <c r="H121" s="3">
        <v>3994</v>
      </c>
      <c r="I121" s="3">
        <v>6022.817</v>
      </c>
      <c r="J121" s="4">
        <v>1</v>
      </c>
      <c r="K121" s="11">
        <f t="shared" si="7"/>
        <v>0.66314483737427188</v>
      </c>
      <c r="N121" s="6">
        <v>69.742199999999997</v>
      </c>
      <c r="O121" s="6">
        <v>1685</v>
      </c>
      <c r="P121" s="6">
        <v>4708.3203000000003</v>
      </c>
      <c r="Q121" s="7">
        <v>1</v>
      </c>
      <c r="R121" s="12">
        <f t="shared" si="8"/>
        <v>0.35787709684916719</v>
      </c>
      <c r="S121" s="5"/>
      <c r="T121" s="6">
        <v>69.742000000000004</v>
      </c>
      <c r="U121" s="6">
        <v>1072</v>
      </c>
      <c r="V121" s="6">
        <v>3932.2831999999999</v>
      </c>
      <c r="W121" s="7">
        <v>1</v>
      </c>
      <c r="X121" s="12">
        <f t="shared" si="9"/>
        <v>0.27261515650754758</v>
      </c>
      <c r="AA121" s="9">
        <v>69.747100000000003</v>
      </c>
      <c r="AB121" s="9">
        <v>4144</v>
      </c>
      <c r="AC121" s="9">
        <v>5479.3226000000004</v>
      </c>
      <c r="AD121" s="10">
        <v>1</v>
      </c>
      <c r="AE121" s="13">
        <f t="shared" si="10"/>
        <v>0.75629786791527842</v>
      </c>
      <c r="AF121" s="8"/>
      <c r="AG121" s="9">
        <v>69.744600000000005</v>
      </c>
      <c r="AH121" s="9">
        <v>837</v>
      </c>
      <c r="AI121" s="9">
        <v>3413.5468999999998</v>
      </c>
      <c r="AJ121" s="10">
        <v>1</v>
      </c>
      <c r="AK121" s="13">
        <f t="shared" si="11"/>
        <v>0.2451995020194391</v>
      </c>
    </row>
    <row r="122" spans="1:37" x14ac:dyDescent="0.4">
      <c r="A122" s="3">
        <v>69.758899999999997</v>
      </c>
      <c r="B122" s="3">
        <v>4780</v>
      </c>
      <c r="C122" s="3">
        <v>6645.7596999999996</v>
      </c>
      <c r="D122" s="4">
        <v>1</v>
      </c>
      <c r="E122" s="11">
        <f t="shared" si="6"/>
        <v>0.71925561798450222</v>
      </c>
      <c r="F122" s="2"/>
      <c r="G122" s="3">
        <v>69.759</v>
      </c>
      <c r="H122" s="3">
        <v>3596</v>
      </c>
      <c r="I122" s="3">
        <v>6023.9372000000003</v>
      </c>
      <c r="J122" s="4">
        <v>1</v>
      </c>
      <c r="K122" s="11">
        <f t="shared" si="7"/>
        <v>0.59695177433124635</v>
      </c>
      <c r="N122" s="6">
        <v>69.752200000000002</v>
      </c>
      <c r="O122" s="6">
        <v>1174</v>
      </c>
      <c r="P122" s="6">
        <v>4711.9345999999996</v>
      </c>
      <c r="Q122" s="7">
        <v>1</v>
      </c>
      <c r="R122" s="12">
        <f t="shared" si="8"/>
        <v>0.24915456169531727</v>
      </c>
      <c r="S122" s="5"/>
      <c r="T122" s="6">
        <v>69.751999999999995</v>
      </c>
      <c r="U122" s="6">
        <v>907</v>
      </c>
      <c r="V122" s="6">
        <v>3934.1846999999998</v>
      </c>
      <c r="W122" s="7">
        <v>1</v>
      </c>
      <c r="X122" s="12">
        <f t="shared" si="9"/>
        <v>0.23054331943286752</v>
      </c>
      <c r="AA122" s="9">
        <v>69.757099999999994</v>
      </c>
      <c r="AB122" s="9">
        <v>3707</v>
      </c>
      <c r="AC122" s="9">
        <v>5477.2017999999998</v>
      </c>
      <c r="AD122" s="10">
        <v>1</v>
      </c>
      <c r="AE122" s="13">
        <f t="shared" si="10"/>
        <v>0.67680544470718607</v>
      </c>
      <c r="AF122" s="8"/>
      <c r="AG122" s="9">
        <v>69.754599999999996</v>
      </c>
      <c r="AH122" s="9">
        <v>709</v>
      </c>
      <c r="AI122" s="9">
        <v>3412.3818000000001</v>
      </c>
      <c r="AJ122" s="10">
        <v>1</v>
      </c>
      <c r="AK122" s="13">
        <f t="shared" si="11"/>
        <v>0.20777276446615675</v>
      </c>
    </row>
    <row r="123" spans="1:37" x14ac:dyDescent="0.4">
      <c r="A123" s="3">
        <v>69.768900000000002</v>
      </c>
      <c r="B123" s="3">
        <v>4265</v>
      </c>
      <c r="C123" s="3">
        <v>6641.8346000000001</v>
      </c>
      <c r="D123" s="4">
        <v>1</v>
      </c>
      <c r="E123" s="11">
        <f t="shared" si="6"/>
        <v>0.64214185640816768</v>
      </c>
      <c r="F123" s="2"/>
      <c r="G123" s="3">
        <v>69.769000000000005</v>
      </c>
      <c r="H123" s="3">
        <v>3017</v>
      </c>
      <c r="I123" s="3">
        <v>6023.9583000000002</v>
      </c>
      <c r="J123" s="4">
        <v>1</v>
      </c>
      <c r="K123" s="11">
        <f t="shared" si="7"/>
        <v>0.50083348020519991</v>
      </c>
      <c r="N123" s="6">
        <v>69.762200000000007</v>
      </c>
      <c r="O123" s="6">
        <v>934</v>
      </c>
      <c r="P123" s="6">
        <v>4716.9517999999998</v>
      </c>
      <c r="Q123" s="7">
        <v>1</v>
      </c>
      <c r="R123" s="12">
        <f t="shared" si="8"/>
        <v>0.19800923130060394</v>
      </c>
      <c r="S123" s="5"/>
      <c r="T123" s="6">
        <v>69.762</v>
      </c>
      <c r="U123" s="6">
        <v>655</v>
      </c>
      <c r="V123" s="6">
        <v>3932.3858</v>
      </c>
      <c r="W123" s="7">
        <v>1</v>
      </c>
      <c r="X123" s="12">
        <f t="shared" si="9"/>
        <v>0.1665655490872742</v>
      </c>
      <c r="AA123" s="9">
        <v>69.767099999999999</v>
      </c>
      <c r="AB123" s="9">
        <v>3293</v>
      </c>
      <c r="AC123" s="9">
        <v>5473.15</v>
      </c>
      <c r="AD123" s="10">
        <v>1</v>
      </c>
      <c r="AE123" s="13">
        <f t="shared" si="10"/>
        <v>0.60166448937083772</v>
      </c>
      <c r="AF123" s="8"/>
      <c r="AG123" s="9">
        <v>69.764600000000002</v>
      </c>
      <c r="AH123" s="9">
        <v>621</v>
      </c>
      <c r="AI123" s="9">
        <v>3411.8631999999998</v>
      </c>
      <c r="AJ123" s="10">
        <v>1</v>
      </c>
      <c r="AK123" s="13">
        <f t="shared" si="11"/>
        <v>0.18201198688153736</v>
      </c>
    </row>
    <row r="124" spans="1:37" x14ac:dyDescent="0.4">
      <c r="A124" s="3">
        <v>69.778899999999993</v>
      </c>
      <c r="B124" s="3">
        <v>3889</v>
      </c>
      <c r="C124" s="3">
        <v>6640.5852000000004</v>
      </c>
      <c r="D124" s="4">
        <v>1</v>
      </c>
      <c r="E124" s="11">
        <f t="shared" si="6"/>
        <v>0.58564115704742403</v>
      </c>
      <c r="F124" s="2"/>
      <c r="G124" s="3">
        <v>69.778999999999996</v>
      </c>
      <c r="H124" s="3">
        <v>2618</v>
      </c>
      <c r="I124" s="3">
        <v>6022.4822999999997</v>
      </c>
      <c r="J124" s="4">
        <v>1</v>
      </c>
      <c r="K124" s="11">
        <f t="shared" si="7"/>
        <v>0.43470447393427791</v>
      </c>
      <c r="N124" s="6">
        <v>69.772199999999998</v>
      </c>
      <c r="O124" s="6">
        <v>762</v>
      </c>
      <c r="P124" s="6">
        <v>4725.3113000000003</v>
      </c>
      <c r="Q124" s="7">
        <v>1</v>
      </c>
      <c r="R124" s="12">
        <f t="shared" si="8"/>
        <v>0.16125921693243786</v>
      </c>
      <c r="S124" s="5"/>
      <c r="T124" s="6">
        <v>69.772000000000006</v>
      </c>
      <c r="U124" s="6">
        <v>542</v>
      </c>
      <c r="V124" s="6">
        <v>3934.2552000000001</v>
      </c>
      <c r="W124" s="7">
        <v>1</v>
      </c>
      <c r="X124" s="12">
        <f t="shared" si="9"/>
        <v>0.13776432194840843</v>
      </c>
      <c r="AA124" s="9">
        <v>69.777100000000004</v>
      </c>
      <c r="AB124" s="9">
        <v>3033</v>
      </c>
      <c r="AC124" s="9">
        <v>5473.0540000000001</v>
      </c>
      <c r="AD124" s="10">
        <v>1</v>
      </c>
      <c r="AE124" s="13">
        <f t="shared" si="10"/>
        <v>0.55416957333145256</v>
      </c>
      <c r="AF124" s="8"/>
      <c r="AG124" s="9">
        <v>69.774600000000007</v>
      </c>
      <c r="AH124" s="9">
        <v>537</v>
      </c>
      <c r="AI124" s="9">
        <v>3409.65</v>
      </c>
      <c r="AJ124" s="10">
        <v>1</v>
      </c>
      <c r="AK124" s="13">
        <f t="shared" si="11"/>
        <v>0.15749417095596321</v>
      </c>
    </row>
    <row r="125" spans="1:37" x14ac:dyDescent="0.4">
      <c r="A125" s="3">
        <v>69.788899999999998</v>
      </c>
      <c r="B125" s="3">
        <v>3419</v>
      </c>
      <c r="C125" s="3">
        <v>6642.2186000000002</v>
      </c>
      <c r="D125" s="4">
        <v>1</v>
      </c>
      <c r="E125" s="11">
        <f t="shared" si="6"/>
        <v>0.51473765106134872</v>
      </c>
      <c r="F125" s="2"/>
      <c r="G125" s="3">
        <v>69.789000000000001</v>
      </c>
      <c r="H125" s="3">
        <v>2383</v>
      </c>
      <c r="I125" s="3">
        <v>6022.2125999999998</v>
      </c>
      <c r="J125" s="4">
        <v>1</v>
      </c>
      <c r="K125" s="11">
        <f t="shared" si="7"/>
        <v>0.39570173925776053</v>
      </c>
      <c r="N125" s="6">
        <v>69.782200000000003</v>
      </c>
      <c r="O125" s="6">
        <v>575</v>
      </c>
      <c r="P125" s="6">
        <v>4728.7701999999999</v>
      </c>
      <c r="Q125" s="7">
        <v>1</v>
      </c>
      <c r="R125" s="12">
        <f t="shared" si="8"/>
        <v>0.12159609701482216</v>
      </c>
      <c r="S125" s="5"/>
      <c r="T125" s="6">
        <v>69.781999999999996</v>
      </c>
      <c r="U125" s="6">
        <v>429</v>
      </c>
      <c r="V125" s="6">
        <v>3934.1846</v>
      </c>
      <c r="W125" s="7">
        <v>1</v>
      </c>
      <c r="X125" s="12">
        <f t="shared" si="9"/>
        <v>0.10904419685847989</v>
      </c>
      <c r="AA125" s="9">
        <v>69.787099999999995</v>
      </c>
      <c r="AB125" s="9">
        <v>2624</v>
      </c>
      <c r="AC125" s="9">
        <v>5470.7497000000003</v>
      </c>
      <c r="AD125" s="10">
        <v>1</v>
      </c>
      <c r="AE125" s="13">
        <f t="shared" si="10"/>
        <v>0.47964175732623993</v>
      </c>
      <c r="AF125" s="8"/>
      <c r="AG125" s="9">
        <v>69.784599999999998</v>
      </c>
      <c r="AH125" s="9">
        <v>496</v>
      </c>
      <c r="AI125" s="9">
        <v>3408.9524000000001</v>
      </c>
      <c r="AJ125" s="10">
        <v>1</v>
      </c>
      <c r="AK125" s="13">
        <f t="shared" si="11"/>
        <v>0.14549924487065294</v>
      </c>
    </row>
    <row r="126" spans="1:37" x14ac:dyDescent="0.4">
      <c r="A126" s="3">
        <v>69.798900000000003</v>
      </c>
      <c r="B126" s="3">
        <v>3074</v>
      </c>
      <c r="C126" s="3">
        <v>6644.9867999999997</v>
      </c>
      <c r="D126" s="4">
        <v>1</v>
      </c>
      <c r="E126" s="11">
        <f t="shared" si="6"/>
        <v>0.46260438019229777</v>
      </c>
      <c r="F126" s="2"/>
      <c r="G126" s="3">
        <v>69.799000000000007</v>
      </c>
      <c r="H126" s="3">
        <v>2238</v>
      </c>
      <c r="I126" s="3">
        <v>6023.7651999999998</v>
      </c>
      <c r="J126" s="4">
        <v>1</v>
      </c>
      <c r="K126" s="11">
        <f t="shared" si="7"/>
        <v>0.37152842544393994</v>
      </c>
      <c r="N126" s="6">
        <v>69.792199999999994</v>
      </c>
      <c r="O126" s="6">
        <v>499</v>
      </c>
      <c r="P126" s="6">
        <v>4727.3197</v>
      </c>
      <c r="Q126" s="7">
        <v>1</v>
      </c>
      <c r="R126" s="12">
        <f t="shared" si="8"/>
        <v>0.10555664344004489</v>
      </c>
      <c r="S126" s="5"/>
      <c r="T126" s="6">
        <v>69.792000000000002</v>
      </c>
      <c r="U126" s="6">
        <v>356</v>
      </c>
      <c r="V126" s="6">
        <v>3934.2918</v>
      </c>
      <c r="W126" s="7">
        <v>1</v>
      </c>
      <c r="X126" s="12">
        <f t="shared" si="9"/>
        <v>9.0486425028260487E-2</v>
      </c>
      <c r="AA126" s="9">
        <v>69.7971</v>
      </c>
      <c r="AB126" s="9">
        <v>2359</v>
      </c>
      <c r="AC126" s="9">
        <v>5468.6367</v>
      </c>
      <c r="AD126" s="10">
        <v>1</v>
      </c>
      <c r="AE126" s="13">
        <f t="shared" si="10"/>
        <v>0.43136893697838807</v>
      </c>
      <c r="AF126" s="8"/>
      <c r="AG126" s="9">
        <v>69.794600000000003</v>
      </c>
      <c r="AH126" s="9">
        <v>420</v>
      </c>
      <c r="AI126" s="9">
        <v>3409.4398999999999</v>
      </c>
      <c r="AJ126" s="10">
        <v>1</v>
      </c>
      <c r="AK126" s="13">
        <f t="shared" si="11"/>
        <v>0.12318738922484013</v>
      </c>
    </row>
    <row r="127" spans="1:37" x14ac:dyDescent="0.4">
      <c r="A127" s="3">
        <v>69.808899999999994</v>
      </c>
      <c r="B127" s="3">
        <v>2801</v>
      </c>
      <c r="C127" s="3">
        <v>6644.3373000000001</v>
      </c>
      <c r="D127" s="4">
        <v>1</v>
      </c>
      <c r="E127" s="11">
        <f t="shared" si="6"/>
        <v>0.42156198180968324</v>
      </c>
      <c r="F127" s="2"/>
      <c r="G127" s="3">
        <v>69.808999999999997</v>
      </c>
      <c r="H127" s="3">
        <v>2000</v>
      </c>
      <c r="I127" s="3">
        <v>6019.8639999999996</v>
      </c>
      <c r="J127" s="4">
        <v>1</v>
      </c>
      <c r="K127" s="11">
        <f t="shared" si="7"/>
        <v>0.33223341922674665</v>
      </c>
      <c r="N127" s="6">
        <v>69.802199999999999</v>
      </c>
      <c r="O127" s="6">
        <v>407</v>
      </c>
      <c r="P127" s="6">
        <v>4728.8674000000001</v>
      </c>
      <c r="Q127" s="7">
        <v>1</v>
      </c>
      <c r="R127" s="12">
        <f t="shared" si="8"/>
        <v>8.6067120427187283E-2</v>
      </c>
      <c r="S127" s="5"/>
      <c r="T127" s="6">
        <v>69.802000000000007</v>
      </c>
      <c r="U127" s="6">
        <v>288</v>
      </c>
      <c r="V127" s="6">
        <v>3935.643</v>
      </c>
      <c r="W127" s="7">
        <v>1</v>
      </c>
      <c r="X127" s="12">
        <f t="shared" si="9"/>
        <v>7.3177368983924615E-2</v>
      </c>
      <c r="AA127" s="9">
        <v>69.807100000000005</v>
      </c>
      <c r="AB127" s="9">
        <v>2231</v>
      </c>
      <c r="AC127" s="9">
        <v>5465.4827999999998</v>
      </c>
      <c r="AD127" s="10">
        <v>1</v>
      </c>
      <c r="AE127" s="13">
        <f t="shared" si="10"/>
        <v>0.40819815588844227</v>
      </c>
      <c r="AF127" s="8"/>
      <c r="AG127" s="9">
        <v>69.804599999999994</v>
      </c>
      <c r="AH127" s="9">
        <v>410</v>
      </c>
      <c r="AI127" s="9">
        <v>3409.3494999999998</v>
      </c>
      <c r="AJ127" s="10">
        <v>1</v>
      </c>
      <c r="AK127" s="13">
        <f t="shared" si="11"/>
        <v>0.12025754473104035</v>
      </c>
    </row>
    <row r="128" spans="1:37" x14ac:dyDescent="0.4">
      <c r="A128" s="3">
        <v>69.818899999999999</v>
      </c>
      <c r="B128" s="3">
        <v>2638</v>
      </c>
      <c r="C128" s="3">
        <v>6646.3339999999998</v>
      </c>
      <c r="D128" s="4">
        <v>1</v>
      </c>
      <c r="E128" s="11">
        <f t="shared" si="6"/>
        <v>0.39691053744816318</v>
      </c>
      <c r="F128" s="2"/>
      <c r="G128" s="3">
        <v>69.819000000000003</v>
      </c>
      <c r="H128" s="3">
        <v>1753</v>
      </c>
      <c r="I128" s="3">
        <v>6019.0048999999999</v>
      </c>
      <c r="J128" s="4">
        <v>1</v>
      </c>
      <c r="K128" s="11">
        <f t="shared" si="7"/>
        <v>0.29124415565769018</v>
      </c>
      <c r="N128" s="6">
        <v>69.812200000000004</v>
      </c>
      <c r="O128" s="6">
        <v>336</v>
      </c>
      <c r="P128" s="6">
        <v>4730.6647000000003</v>
      </c>
      <c r="Q128" s="7">
        <v>1</v>
      </c>
      <c r="R128" s="12">
        <f t="shared" si="8"/>
        <v>7.1025959628886817E-2</v>
      </c>
      <c r="S128" s="5"/>
      <c r="T128" s="6">
        <v>69.811999999999998</v>
      </c>
      <c r="U128" s="6">
        <v>220</v>
      </c>
      <c r="V128" s="6">
        <v>3937.2015999999999</v>
      </c>
      <c r="W128" s="7">
        <v>1</v>
      </c>
      <c r="X128" s="12">
        <f t="shared" si="9"/>
        <v>5.5877250481661901E-2</v>
      </c>
      <c r="AA128" s="9">
        <v>69.817099999999996</v>
      </c>
      <c r="AB128" s="9">
        <v>2022</v>
      </c>
      <c r="AC128" s="9">
        <v>5467.8469999999998</v>
      </c>
      <c r="AD128" s="10">
        <v>1</v>
      </c>
      <c r="AE128" s="13">
        <f t="shared" si="10"/>
        <v>0.36979820393657686</v>
      </c>
      <c r="AF128" s="8"/>
      <c r="AG128" s="9">
        <v>69.814599999999999</v>
      </c>
      <c r="AH128" s="9">
        <v>356</v>
      </c>
      <c r="AI128" s="9">
        <v>3409.5558999999998</v>
      </c>
      <c r="AJ128" s="10">
        <v>1</v>
      </c>
      <c r="AK128" s="13">
        <f t="shared" si="11"/>
        <v>0.10441242509031749</v>
      </c>
    </row>
    <row r="129" spans="1:37" x14ac:dyDescent="0.4">
      <c r="A129" s="3">
        <v>69.828900000000004</v>
      </c>
      <c r="B129" s="3">
        <v>2388</v>
      </c>
      <c r="C129" s="3">
        <v>6651.2564000000002</v>
      </c>
      <c r="D129" s="4">
        <v>1</v>
      </c>
      <c r="E129" s="11">
        <f t="shared" si="6"/>
        <v>0.35902991200279094</v>
      </c>
      <c r="F129" s="2"/>
      <c r="G129" s="3">
        <v>69.828999999999994</v>
      </c>
      <c r="H129" s="3">
        <v>1520</v>
      </c>
      <c r="I129" s="3">
        <v>6017.5337</v>
      </c>
      <c r="J129" s="4">
        <v>1</v>
      </c>
      <c r="K129" s="11">
        <f t="shared" si="7"/>
        <v>0.25259517865267628</v>
      </c>
      <c r="N129" s="6">
        <v>69.822199999999995</v>
      </c>
      <c r="O129" s="6">
        <v>290</v>
      </c>
      <c r="P129" s="6">
        <v>4732.5437000000002</v>
      </c>
      <c r="Q129" s="7">
        <v>1</v>
      </c>
      <c r="R129" s="12">
        <f t="shared" si="8"/>
        <v>6.1277828242769311E-2</v>
      </c>
      <c r="S129" s="5"/>
      <c r="T129" s="6">
        <v>69.822000000000003</v>
      </c>
      <c r="U129" s="6">
        <v>205</v>
      </c>
      <c r="V129" s="6">
        <v>3934.9924999999998</v>
      </c>
      <c r="W129" s="7">
        <v>1</v>
      </c>
      <c r="X129" s="12">
        <f t="shared" si="9"/>
        <v>5.2096668545111587E-2</v>
      </c>
      <c r="AA129" s="9">
        <v>69.827100000000002</v>
      </c>
      <c r="AB129" s="9">
        <v>1834</v>
      </c>
      <c r="AC129" s="9">
        <v>5467.5965999999999</v>
      </c>
      <c r="AD129" s="10">
        <v>1</v>
      </c>
      <c r="AE129" s="13">
        <f t="shared" si="10"/>
        <v>0.33543074483585716</v>
      </c>
      <c r="AF129" s="8"/>
      <c r="AG129" s="9">
        <v>69.824600000000004</v>
      </c>
      <c r="AH129" s="9">
        <v>321</v>
      </c>
      <c r="AI129" s="9">
        <v>3407.5594000000001</v>
      </c>
      <c r="AJ129" s="10">
        <v>1</v>
      </c>
      <c r="AK129" s="13">
        <f t="shared" si="11"/>
        <v>9.4202319701308795E-2</v>
      </c>
    </row>
    <row r="130" spans="1:37" x14ac:dyDescent="0.4">
      <c r="A130" s="3">
        <v>69.838899999999995</v>
      </c>
      <c r="B130" s="3">
        <v>2151</v>
      </c>
      <c r="C130" s="3">
        <v>6647.8220000000001</v>
      </c>
      <c r="D130" s="4">
        <v>1</v>
      </c>
      <c r="E130" s="11">
        <f t="shared" si="6"/>
        <v>0.32356462011166964</v>
      </c>
      <c r="F130" s="2"/>
      <c r="G130" s="3">
        <v>69.838999999999999</v>
      </c>
      <c r="H130" s="3">
        <v>1396</v>
      </c>
      <c r="I130" s="3">
        <v>6015.9282000000003</v>
      </c>
      <c r="J130" s="4">
        <v>1</v>
      </c>
      <c r="K130" s="11">
        <f t="shared" si="7"/>
        <v>0.23205064182780638</v>
      </c>
      <c r="N130" s="6">
        <v>69.8322</v>
      </c>
      <c r="O130" s="6">
        <v>229</v>
      </c>
      <c r="P130" s="6">
        <v>4733.2506000000003</v>
      </c>
      <c r="Q130" s="7">
        <v>1</v>
      </c>
      <c r="R130" s="12">
        <f t="shared" si="8"/>
        <v>4.8381127337732761E-2</v>
      </c>
      <c r="S130" s="5"/>
      <c r="T130" s="6">
        <v>69.831999999999994</v>
      </c>
      <c r="U130" s="6">
        <v>155</v>
      </c>
      <c r="V130" s="6">
        <v>3935.6053000000002</v>
      </c>
      <c r="W130" s="7">
        <v>1</v>
      </c>
      <c r="X130" s="12">
        <f t="shared" si="9"/>
        <v>3.9384030710599968E-2</v>
      </c>
      <c r="AA130" s="9">
        <v>69.837100000000007</v>
      </c>
      <c r="AB130" s="9">
        <v>1756</v>
      </c>
      <c r="AC130" s="9">
        <v>5466.1841999999997</v>
      </c>
      <c r="AD130" s="10">
        <v>1</v>
      </c>
      <c r="AE130" s="13">
        <f t="shared" si="10"/>
        <v>0.32124786427797292</v>
      </c>
      <c r="AF130" s="8"/>
      <c r="AG130" s="9">
        <v>69.834599999999995</v>
      </c>
      <c r="AH130" s="9">
        <v>298</v>
      </c>
      <c r="AI130" s="9">
        <v>3409.5927999999999</v>
      </c>
      <c r="AJ130" s="10">
        <v>1</v>
      </c>
      <c r="AK130" s="13">
        <f t="shared" si="11"/>
        <v>8.740046612017717E-2</v>
      </c>
    </row>
    <row r="131" spans="1:37" x14ac:dyDescent="0.4">
      <c r="A131" s="3">
        <v>69.8489</v>
      </c>
      <c r="B131" s="3">
        <v>2009</v>
      </c>
      <c r="C131" s="3">
        <v>6645.8783000000003</v>
      </c>
      <c r="D131" s="4">
        <v>1</v>
      </c>
      <c r="E131" s="11">
        <f t="shared" si="6"/>
        <v>0.30229262549090014</v>
      </c>
      <c r="F131" s="2"/>
      <c r="G131" s="3">
        <v>69.849000000000004</v>
      </c>
      <c r="H131" s="3">
        <v>1231</v>
      </c>
      <c r="I131" s="3">
        <v>6015.2740999999996</v>
      </c>
      <c r="J131" s="4">
        <v>1</v>
      </c>
      <c r="K131" s="11">
        <f t="shared" si="7"/>
        <v>0.204645703510003</v>
      </c>
      <c r="N131" s="6">
        <v>69.842200000000005</v>
      </c>
      <c r="O131" s="6">
        <v>188</v>
      </c>
      <c r="P131" s="6">
        <v>4734.4256999999998</v>
      </c>
      <c r="Q131" s="7">
        <v>1</v>
      </c>
      <c r="R131" s="12">
        <f t="shared" si="8"/>
        <v>3.9709145715392684E-2</v>
      </c>
      <c r="S131" s="5"/>
      <c r="T131" s="6">
        <v>69.841999999999999</v>
      </c>
      <c r="U131" s="6">
        <v>142</v>
      </c>
      <c r="V131" s="6">
        <v>3935.1430999999998</v>
      </c>
      <c r="W131" s="7">
        <v>1</v>
      </c>
      <c r="X131" s="12">
        <f t="shared" si="9"/>
        <v>3.608509179755115E-2</v>
      </c>
      <c r="AA131" s="9">
        <v>69.847099999999998</v>
      </c>
      <c r="AB131" s="9">
        <v>1536</v>
      </c>
      <c r="AC131" s="9">
        <v>5467.9987000000001</v>
      </c>
      <c r="AD131" s="10">
        <v>1</v>
      </c>
      <c r="AE131" s="13">
        <f t="shared" si="10"/>
        <v>0.28090716261508986</v>
      </c>
      <c r="AF131" s="8"/>
      <c r="AG131" s="9">
        <v>69.8446</v>
      </c>
      <c r="AH131" s="9">
        <v>297</v>
      </c>
      <c r="AI131" s="9">
        <v>3408.1271999999999</v>
      </c>
      <c r="AJ131" s="10">
        <v>1</v>
      </c>
      <c r="AK131" s="13">
        <f t="shared" si="11"/>
        <v>8.7144634742506097E-2</v>
      </c>
    </row>
    <row r="132" spans="1:37" x14ac:dyDescent="0.4">
      <c r="A132" s="3">
        <v>69.858900000000006</v>
      </c>
      <c r="B132" s="3">
        <v>1910</v>
      </c>
      <c r="C132" s="3">
        <v>6648.0819000000001</v>
      </c>
      <c r="D132" s="4">
        <v>1</v>
      </c>
      <c r="E132" s="11">
        <f t="shared" si="6"/>
        <v>0.2873009130648646</v>
      </c>
      <c r="F132" s="2"/>
      <c r="G132" s="3">
        <v>69.858999999999995</v>
      </c>
      <c r="H132" s="3">
        <v>1073</v>
      </c>
      <c r="I132" s="3">
        <v>6015.1088</v>
      </c>
      <c r="J132" s="4">
        <v>1</v>
      </c>
      <c r="K132" s="11">
        <f t="shared" si="7"/>
        <v>0.17838413828857094</v>
      </c>
      <c r="N132" s="6">
        <v>69.852199999999996</v>
      </c>
      <c r="O132" s="6">
        <v>146</v>
      </c>
      <c r="P132" s="6">
        <v>4735.6927999999998</v>
      </c>
      <c r="Q132" s="7">
        <v>1</v>
      </c>
      <c r="R132" s="12">
        <f t="shared" si="8"/>
        <v>3.082970246718706E-2</v>
      </c>
      <c r="S132" s="5"/>
      <c r="T132" s="6">
        <v>69.852000000000004</v>
      </c>
      <c r="U132" s="6">
        <v>126</v>
      </c>
      <c r="V132" s="6">
        <v>3935.6228000000001</v>
      </c>
      <c r="W132" s="7">
        <v>1</v>
      </c>
      <c r="X132" s="12">
        <f t="shared" si="9"/>
        <v>3.201526325134614E-2</v>
      </c>
      <c r="AA132" s="9">
        <v>69.857100000000003</v>
      </c>
      <c r="AB132" s="9">
        <v>1424</v>
      </c>
      <c r="AC132" s="9">
        <v>5464.0281000000004</v>
      </c>
      <c r="AD132" s="10">
        <v>1</v>
      </c>
      <c r="AE132" s="13">
        <f t="shared" si="10"/>
        <v>0.26061359384297456</v>
      </c>
      <c r="AF132" s="8"/>
      <c r="AG132" s="9">
        <v>69.854600000000005</v>
      </c>
      <c r="AH132" s="9">
        <v>247</v>
      </c>
      <c r="AI132" s="9">
        <v>3408.3407999999999</v>
      </c>
      <c r="AJ132" s="10">
        <v>1</v>
      </c>
      <c r="AK132" s="13">
        <f t="shared" si="11"/>
        <v>7.246927889370687E-2</v>
      </c>
    </row>
    <row r="133" spans="1:37" x14ac:dyDescent="0.4">
      <c r="A133" s="3">
        <v>69.868899999999996</v>
      </c>
      <c r="B133" s="3">
        <v>1789</v>
      </c>
      <c r="C133" s="3">
        <v>6645.8217999999997</v>
      </c>
      <c r="D133" s="4">
        <v>1</v>
      </c>
      <c r="E133" s="11">
        <f t="shared" si="6"/>
        <v>0.26919168973203583</v>
      </c>
      <c r="F133" s="2"/>
      <c r="G133" s="3">
        <v>69.869</v>
      </c>
      <c r="H133" s="3">
        <v>933</v>
      </c>
      <c r="I133" s="3">
        <v>6014.0243</v>
      </c>
      <c r="J133" s="4">
        <v>1</v>
      </c>
      <c r="K133" s="11">
        <f t="shared" si="7"/>
        <v>0.15513738446317885</v>
      </c>
      <c r="N133" s="6">
        <v>69.862200000000001</v>
      </c>
      <c r="O133" s="6">
        <v>126</v>
      </c>
      <c r="P133" s="6">
        <v>4736.1917000000003</v>
      </c>
      <c r="Q133" s="7">
        <v>1</v>
      </c>
      <c r="R133" s="12">
        <f t="shared" si="8"/>
        <v>2.6603652888458885E-2</v>
      </c>
      <c r="S133" s="5"/>
      <c r="T133" s="6">
        <v>69.861999999999995</v>
      </c>
      <c r="U133" s="6">
        <v>108</v>
      </c>
      <c r="V133" s="6">
        <v>3934.6424999999999</v>
      </c>
      <c r="W133" s="7">
        <v>1</v>
      </c>
      <c r="X133" s="12">
        <f t="shared" si="9"/>
        <v>2.7448491190749859E-2</v>
      </c>
      <c r="AA133" s="9">
        <v>69.867099999999994</v>
      </c>
      <c r="AB133" s="9">
        <v>1334</v>
      </c>
      <c r="AC133" s="9">
        <v>5466.8085000000001</v>
      </c>
      <c r="AD133" s="10">
        <v>1</v>
      </c>
      <c r="AE133" s="13">
        <f t="shared" si="10"/>
        <v>0.24401805916559907</v>
      </c>
      <c r="AF133" s="8"/>
      <c r="AG133" s="9">
        <v>69.864599999999996</v>
      </c>
      <c r="AH133" s="9">
        <v>233</v>
      </c>
      <c r="AI133" s="9">
        <v>3405.2271999999998</v>
      </c>
      <c r="AJ133" s="10">
        <v>1</v>
      </c>
      <c r="AK133" s="13">
        <f t="shared" si="11"/>
        <v>6.8424215570696723E-2</v>
      </c>
    </row>
    <row r="134" spans="1:37" x14ac:dyDescent="0.4">
      <c r="A134" s="3">
        <v>69.878900000000002</v>
      </c>
      <c r="B134" s="3">
        <v>1663</v>
      </c>
      <c r="C134" s="3">
        <v>6648.1048000000001</v>
      </c>
      <c r="D134" s="4">
        <v>1</v>
      </c>
      <c r="E134" s="11">
        <f t="shared" ref="E134:E197" si="12">B134/C134*D134</f>
        <v>0.2501464778353073</v>
      </c>
      <c r="F134" s="2"/>
      <c r="G134" s="3">
        <v>69.879000000000005</v>
      </c>
      <c r="H134" s="3">
        <v>839</v>
      </c>
      <c r="I134" s="3">
        <v>6015.1984000000002</v>
      </c>
      <c r="J134" s="4">
        <v>1</v>
      </c>
      <c r="K134" s="11">
        <f t="shared" ref="K134:K197" si="13">H134/I134*J134</f>
        <v>0.1394800211411148</v>
      </c>
      <c r="N134" s="6">
        <v>69.872200000000007</v>
      </c>
      <c r="O134" s="6">
        <v>116</v>
      </c>
      <c r="P134" s="6">
        <v>4734.1077999999998</v>
      </c>
      <c r="Q134" s="7">
        <v>1</v>
      </c>
      <c r="R134" s="12">
        <f t="shared" ref="R134:R197" si="14">O134/P134*Q134</f>
        <v>2.45030330741518E-2</v>
      </c>
      <c r="S134" s="5"/>
      <c r="T134" s="6">
        <v>69.872</v>
      </c>
      <c r="U134" s="6">
        <v>104</v>
      </c>
      <c r="V134" s="6">
        <v>3934.1622000000002</v>
      </c>
      <c r="W134" s="7">
        <v>1</v>
      </c>
      <c r="X134" s="12">
        <f t="shared" ref="X134:X197" si="15">U134/V134*W134</f>
        <v>2.6435107327298299E-2</v>
      </c>
      <c r="AA134" s="9">
        <v>69.877099999999999</v>
      </c>
      <c r="AB134" s="9">
        <v>1210</v>
      </c>
      <c r="AC134" s="9">
        <v>5465.8324000000002</v>
      </c>
      <c r="AD134" s="10">
        <v>1</v>
      </c>
      <c r="AE134" s="13">
        <f t="shared" ref="AE134:AE197" si="16">AB134/AC134*AD134</f>
        <v>0.22137524743715156</v>
      </c>
      <c r="AF134" s="8"/>
      <c r="AG134" s="9">
        <v>69.874600000000001</v>
      </c>
      <c r="AH134" s="9">
        <v>219</v>
      </c>
      <c r="AI134" s="9">
        <v>3404.9059000000002</v>
      </c>
      <c r="AJ134" s="10">
        <v>1</v>
      </c>
      <c r="AK134" s="13">
        <f t="shared" ref="AK134:AK197" si="17">AH134/AI134*AJ134</f>
        <v>6.4318958124510869E-2</v>
      </c>
    </row>
    <row r="135" spans="1:37" x14ac:dyDescent="0.4">
      <c r="A135" s="3">
        <v>69.888900000000007</v>
      </c>
      <c r="B135" s="3">
        <v>1591</v>
      </c>
      <c r="C135" s="3">
        <v>6645.6742000000004</v>
      </c>
      <c r="D135" s="4">
        <v>1</v>
      </c>
      <c r="E135" s="11">
        <f t="shared" si="12"/>
        <v>0.23940385160620722</v>
      </c>
      <c r="F135" s="2"/>
      <c r="G135" s="3">
        <v>69.888999999999996</v>
      </c>
      <c r="H135" s="3">
        <v>745</v>
      </c>
      <c r="I135" s="3">
        <v>6016.0771999999997</v>
      </c>
      <c r="J135" s="4">
        <v>1</v>
      </c>
      <c r="K135" s="11">
        <f t="shared" si="13"/>
        <v>0.12383484706612476</v>
      </c>
      <c r="N135" s="6">
        <v>69.882199999999997</v>
      </c>
      <c r="O135" s="6">
        <v>100</v>
      </c>
      <c r="P135" s="6">
        <v>4737.4076999999997</v>
      </c>
      <c r="Q135" s="7">
        <v>1</v>
      </c>
      <c r="R135" s="12">
        <f t="shared" si="14"/>
        <v>2.1108590675022545E-2</v>
      </c>
      <c r="S135" s="5"/>
      <c r="T135" s="6">
        <v>69.882000000000005</v>
      </c>
      <c r="U135" s="6">
        <v>60</v>
      </c>
      <c r="V135" s="6">
        <v>3933.4180999999999</v>
      </c>
      <c r="W135" s="7">
        <v>1</v>
      </c>
      <c r="X135" s="12">
        <f t="shared" si="15"/>
        <v>1.5253908553479224E-2</v>
      </c>
      <c r="AA135" s="9">
        <v>69.887100000000004</v>
      </c>
      <c r="AB135" s="9">
        <v>1122</v>
      </c>
      <c r="AC135" s="9">
        <v>5470.2484999999997</v>
      </c>
      <c r="AD135" s="10">
        <v>1</v>
      </c>
      <c r="AE135" s="13">
        <f t="shared" si="16"/>
        <v>0.2051095119353353</v>
      </c>
      <c r="AF135" s="8"/>
      <c r="AG135" s="9">
        <v>69.884600000000006</v>
      </c>
      <c r="AH135" s="9">
        <v>196</v>
      </c>
      <c r="AI135" s="9">
        <v>3405.6069000000002</v>
      </c>
      <c r="AJ135" s="10">
        <v>1</v>
      </c>
      <c r="AK135" s="13">
        <f t="shared" si="17"/>
        <v>5.7552150249636849E-2</v>
      </c>
    </row>
    <row r="136" spans="1:37" x14ac:dyDescent="0.4">
      <c r="A136" s="3">
        <v>69.898899999999998</v>
      </c>
      <c r="B136" s="3">
        <v>1463</v>
      </c>
      <c r="C136" s="3">
        <v>6644.2390999999998</v>
      </c>
      <c r="D136" s="4">
        <v>1</v>
      </c>
      <c r="E136" s="11">
        <f t="shared" si="12"/>
        <v>0.2201907514135065</v>
      </c>
      <c r="F136" s="2"/>
      <c r="G136" s="3">
        <v>69.899000000000001</v>
      </c>
      <c r="H136" s="3">
        <v>741</v>
      </c>
      <c r="I136" s="3">
        <v>6012.6842999999999</v>
      </c>
      <c r="J136" s="4">
        <v>1</v>
      </c>
      <c r="K136" s="11">
        <f t="shared" si="13"/>
        <v>0.12323946560773198</v>
      </c>
      <c r="N136" s="6">
        <v>69.892200000000003</v>
      </c>
      <c r="O136" s="6">
        <v>68</v>
      </c>
      <c r="P136" s="6">
        <v>4739.0982999999997</v>
      </c>
      <c r="Q136" s="7">
        <v>1</v>
      </c>
      <c r="R136" s="12">
        <f t="shared" si="14"/>
        <v>1.4348721148071565E-2</v>
      </c>
      <c r="S136" s="5"/>
      <c r="T136" s="6">
        <v>69.891999999999996</v>
      </c>
      <c r="U136" s="6">
        <v>53</v>
      </c>
      <c r="V136" s="6">
        <v>3932.567</v>
      </c>
      <c r="W136" s="7">
        <v>1</v>
      </c>
      <c r="X136" s="12">
        <f t="shared" si="15"/>
        <v>1.3477202041312964E-2</v>
      </c>
      <c r="AA136" s="9">
        <v>69.897099999999995</v>
      </c>
      <c r="AB136" s="9">
        <v>1059</v>
      </c>
      <c r="AC136" s="9">
        <v>5469.1165000000001</v>
      </c>
      <c r="AD136" s="10">
        <v>1</v>
      </c>
      <c r="AE136" s="13">
        <f t="shared" si="16"/>
        <v>0.19363273757287855</v>
      </c>
      <c r="AF136" s="8"/>
      <c r="AG136" s="9">
        <v>69.894599999999997</v>
      </c>
      <c r="AH136" s="9">
        <v>165</v>
      </c>
      <c r="AI136" s="9">
        <v>3402.8595999999998</v>
      </c>
      <c r="AJ136" s="10">
        <v>1</v>
      </c>
      <c r="AK136" s="13">
        <f t="shared" si="17"/>
        <v>4.8488629974624872E-2</v>
      </c>
    </row>
    <row r="137" spans="1:37" x14ac:dyDescent="0.4">
      <c r="A137" s="3">
        <v>69.908900000000003</v>
      </c>
      <c r="B137" s="3">
        <v>1422</v>
      </c>
      <c r="C137" s="3">
        <v>6644.1994999999997</v>
      </c>
      <c r="D137" s="4">
        <v>1</v>
      </c>
      <c r="E137" s="11">
        <f t="shared" si="12"/>
        <v>0.21402126772382438</v>
      </c>
      <c r="F137" s="2"/>
      <c r="G137" s="3">
        <v>69.909000000000006</v>
      </c>
      <c r="H137" s="3">
        <v>677</v>
      </c>
      <c r="I137" s="3">
        <v>6012.6774999999998</v>
      </c>
      <c r="J137" s="4">
        <v>1</v>
      </c>
      <c r="K137" s="11">
        <f t="shared" si="13"/>
        <v>0.11259542857570526</v>
      </c>
      <c r="N137" s="6">
        <v>69.902199999999993</v>
      </c>
      <c r="O137" s="6">
        <v>83</v>
      </c>
      <c r="P137" s="6">
        <v>4737.9233000000004</v>
      </c>
      <c r="Q137" s="7">
        <v>1</v>
      </c>
      <c r="R137" s="12">
        <f t="shared" si="14"/>
        <v>1.7518223648745009E-2</v>
      </c>
      <c r="S137" s="5"/>
      <c r="T137" s="6">
        <v>69.902000000000001</v>
      </c>
      <c r="U137" s="6">
        <v>61</v>
      </c>
      <c r="V137" s="6">
        <v>3933.3445999999999</v>
      </c>
      <c r="W137" s="7">
        <v>1</v>
      </c>
      <c r="X137" s="12">
        <f t="shared" si="15"/>
        <v>1.5508430153818713E-2</v>
      </c>
      <c r="AA137" s="9">
        <v>69.9071</v>
      </c>
      <c r="AB137" s="9">
        <v>988</v>
      </c>
      <c r="AC137" s="9">
        <v>5471.0762000000004</v>
      </c>
      <c r="AD137" s="10">
        <v>1</v>
      </c>
      <c r="AE137" s="13">
        <f t="shared" si="16"/>
        <v>0.18058604265098702</v>
      </c>
      <c r="AF137" s="8"/>
      <c r="AG137" s="9">
        <v>69.904600000000002</v>
      </c>
      <c r="AH137" s="9">
        <v>173</v>
      </c>
      <c r="AI137" s="9">
        <v>3403.0047</v>
      </c>
      <c r="AJ137" s="10">
        <v>1</v>
      </c>
      <c r="AK137" s="13">
        <f t="shared" si="17"/>
        <v>5.0837426113457908E-2</v>
      </c>
    </row>
    <row r="138" spans="1:37" x14ac:dyDescent="0.4">
      <c r="A138" s="3">
        <v>69.918899999999994</v>
      </c>
      <c r="B138" s="3">
        <v>1300</v>
      </c>
      <c r="C138" s="3">
        <v>6642.9543999999996</v>
      </c>
      <c r="D138" s="4">
        <v>1</v>
      </c>
      <c r="E138" s="11">
        <f t="shared" si="12"/>
        <v>0.19569605957252997</v>
      </c>
      <c r="F138" s="2"/>
      <c r="G138" s="3">
        <v>69.918999999999997</v>
      </c>
      <c r="H138" s="3">
        <v>583</v>
      </c>
      <c r="I138" s="3">
        <v>6011.2249000000002</v>
      </c>
      <c r="J138" s="4">
        <v>1</v>
      </c>
      <c r="K138" s="11">
        <f t="shared" si="13"/>
        <v>9.6985225091145724E-2</v>
      </c>
      <c r="N138" s="6">
        <v>69.912199999999999</v>
      </c>
      <c r="O138" s="6">
        <v>62</v>
      </c>
      <c r="P138" s="6">
        <v>4741.1224000000002</v>
      </c>
      <c r="Q138" s="7">
        <v>1</v>
      </c>
      <c r="R138" s="12">
        <f t="shared" si="14"/>
        <v>1.3077072213955074E-2</v>
      </c>
      <c r="S138" s="5"/>
      <c r="T138" s="6">
        <v>69.912000000000006</v>
      </c>
      <c r="U138" s="6">
        <v>43</v>
      </c>
      <c r="V138" s="6">
        <v>3935.7024999999999</v>
      </c>
      <c r="W138" s="7">
        <v>1</v>
      </c>
      <c r="X138" s="12">
        <f t="shared" si="15"/>
        <v>1.0925622554042131E-2</v>
      </c>
      <c r="AA138" s="9">
        <v>69.917100000000005</v>
      </c>
      <c r="AB138" s="9">
        <v>926</v>
      </c>
      <c r="AC138" s="9">
        <v>5471.6194999999998</v>
      </c>
      <c r="AD138" s="10">
        <v>1</v>
      </c>
      <c r="AE138" s="13">
        <f t="shared" si="16"/>
        <v>0.16923691422621767</v>
      </c>
      <c r="AF138" s="8"/>
      <c r="AG138" s="9">
        <v>69.914599999999993</v>
      </c>
      <c r="AH138" s="9">
        <v>120</v>
      </c>
      <c r="AI138" s="9">
        <v>3402.3166999999999</v>
      </c>
      <c r="AJ138" s="10">
        <v>1</v>
      </c>
      <c r="AK138" s="13">
        <f t="shared" si="17"/>
        <v>3.5270085233394061E-2</v>
      </c>
    </row>
    <row r="139" spans="1:37" x14ac:dyDescent="0.4">
      <c r="A139" s="3">
        <v>69.928899999999999</v>
      </c>
      <c r="B139" s="3">
        <v>1294</v>
      </c>
      <c r="C139" s="3">
        <v>6642.1698999999999</v>
      </c>
      <c r="D139" s="4">
        <v>1</v>
      </c>
      <c r="E139" s="11">
        <f t="shared" si="12"/>
        <v>0.19481585377694119</v>
      </c>
      <c r="F139" s="2"/>
      <c r="G139" s="3">
        <v>69.929000000000002</v>
      </c>
      <c r="H139" s="3">
        <v>527</v>
      </c>
      <c r="I139" s="3">
        <v>6010.6378999999997</v>
      </c>
      <c r="J139" s="4">
        <v>1</v>
      </c>
      <c r="K139" s="11">
        <f t="shared" si="13"/>
        <v>8.7677881910004932E-2</v>
      </c>
      <c r="N139" s="6">
        <v>69.922200000000004</v>
      </c>
      <c r="O139" s="6">
        <v>63</v>
      </c>
      <c r="P139" s="6">
        <v>4739.9813000000004</v>
      </c>
      <c r="Q139" s="7">
        <v>1</v>
      </c>
      <c r="R139" s="12">
        <f t="shared" si="14"/>
        <v>1.3291191676220325E-2</v>
      </c>
      <c r="S139" s="5"/>
      <c r="T139" s="6">
        <v>69.921999999999997</v>
      </c>
      <c r="U139" s="6">
        <v>49</v>
      </c>
      <c r="V139" s="6">
        <v>3935.2964999999999</v>
      </c>
      <c r="W139" s="7">
        <v>1</v>
      </c>
      <c r="X139" s="12">
        <f t="shared" si="15"/>
        <v>1.2451412492044754E-2</v>
      </c>
      <c r="AA139" s="9">
        <v>69.927099999999996</v>
      </c>
      <c r="AB139" s="9">
        <v>856</v>
      </c>
      <c r="AC139" s="9">
        <v>5469.1773999999996</v>
      </c>
      <c r="AD139" s="10">
        <v>1</v>
      </c>
      <c r="AE139" s="13">
        <f t="shared" si="16"/>
        <v>0.15651348226517575</v>
      </c>
      <c r="AF139" s="8"/>
      <c r="AG139" s="9">
        <v>69.924599999999998</v>
      </c>
      <c r="AH139" s="9">
        <v>124</v>
      </c>
      <c r="AI139" s="9">
        <v>3402.9811</v>
      </c>
      <c r="AJ139" s="10">
        <v>1</v>
      </c>
      <c r="AK139" s="13">
        <f t="shared" si="17"/>
        <v>3.6438639050919208E-2</v>
      </c>
    </row>
    <row r="140" spans="1:37" x14ac:dyDescent="0.4">
      <c r="A140" s="3">
        <v>69.938900000000004</v>
      </c>
      <c r="B140" s="3">
        <v>1216</v>
      </c>
      <c r="C140" s="3">
        <v>6638.2106999999996</v>
      </c>
      <c r="D140" s="4">
        <v>1</v>
      </c>
      <c r="E140" s="11">
        <f t="shared" si="12"/>
        <v>0.1831818926747836</v>
      </c>
      <c r="F140" s="2"/>
      <c r="G140" s="3">
        <v>69.938999999999993</v>
      </c>
      <c r="H140" s="3">
        <v>469</v>
      </c>
      <c r="I140" s="3">
        <v>6012.0895</v>
      </c>
      <c r="J140" s="4">
        <v>1</v>
      </c>
      <c r="K140" s="11">
        <f t="shared" si="13"/>
        <v>7.8009484057081982E-2</v>
      </c>
      <c r="N140" s="6">
        <v>69.932199999999995</v>
      </c>
      <c r="O140" s="6">
        <v>47</v>
      </c>
      <c r="P140" s="6">
        <v>4740.3909000000003</v>
      </c>
      <c r="Q140" s="7">
        <v>1</v>
      </c>
      <c r="R140" s="12">
        <f t="shared" si="14"/>
        <v>9.9147941575872985E-3</v>
      </c>
      <c r="S140" s="5"/>
      <c r="T140" s="6">
        <v>69.932000000000002</v>
      </c>
      <c r="U140" s="6">
        <v>36</v>
      </c>
      <c r="V140" s="6">
        <v>3932.962</v>
      </c>
      <c r="W140" s="7">
        <v>1</v>
      </c>
      <c r="X140" s="12">
        <f t="shared" si="15"/>
        <v>9.1534065165135084E-3</v>
      </c>
      <c r="AA140" s="9">
        <v>69.937100000000001</v>
      </c>
      <c r="AB140" s="9">
        <v>748</v>
      </c>
      <c r="AC140" s="9">
        <v>5467.6525000000001</v>
      </c>
      <c r="AD140" s="10">
        <v>1</v>
      </c>
      <c r="AE140" s="13">
        <f t="shared" si="16"/>
        <v>0.13680459758552688</v>
      </c>
      <c r="AF140" s="8"/>
      <c r="AG140" s="9">
        <v>69.934600000000003</v>
      </c>
      <c r="AH140" s="9">
        <v>111</v>
      </c>
      <c r="AI140" s="9">
        <v>3401.4211</v>
      </c>
      <c r="AJ140" s="10">
        <v>1</v>
      </c>
      <c r="AK140" s="13">
        <f t="shared" si="17"/>
        <v>3.2633419014187925E-2</v>
      </c>
    </row>
    <row r="141" spans="1:37" x14ac:dyDescent="0.4">
      <c r="A141" s="3">
        <v>69.948899999999995</v>
      </c>
      <c r="B141" s="3">
        <v>1165</v>
      </c>
      <c r="C141" s="3">
        <v>6635.5501999999997</v>
      </c>
      <c r="D141" s="4">
        <v>1</v>
      </c>
      <c r="E141" s="11">
        <f t="shared" si="12"/>
        <v>0.17556946521179209</v>
      </c>
      <c r="F141" s="2"/>
      <c r="G141" s="3">
        <v>69.948999999999998</v>
      </c>
      <c r="H141" s="3">
        <v>398</v>
      </c>
      <c r="I141" s="3">
        <v>6011.6475</v>
      </c>
      <c r="J141" s="4">
        <v>1</v>
      </c>
      <c r="K141" s="11">
        <f t="shared" si="13"/>
        <v>6.6204813239631899E-2</v>
      </c>
      <c r="N141" s="6">
        <v>69.9422</v>
      </c>
      <c r="O141" s="6">
        <v>40</v>
      </c>
      <c r="P141" s="6">
        <v>4739.4225999999999</v>
      </c>
      <c r="Q141" s="7">
        <v>1</v>
      </c>
      <c r="R141" s="12">
        <f t="shared" si="14"/>
        <v>8.4398466598019778E-3</v>
      </c>
      <c r="S141" s="5"/>
      <c r="T141" s="6">
        <v>69.941999999999993</v>
      </c>
      <c r="U141" s="6">
        <v>34</v>
      </c>
      <c r="V141" s="6">
        <v>3933.4823000000001</v>
      </c>
      <c r="W141" s="7">
        <v>1</v>
      </c>
      <c r="X141" s="12">
        <f t="shared" si="15"/>
        <v>8.6437404332542697E-3</v>
      </c>
      <c r="AA141" s="9">
        <v>69.947100000000006</v>
      </c>
      <c r="AB141" s="9">
        <v>750</v>
      </c>
      <c r="AC141" s="9">
        <v>5466.8341</v>
      </c>
      <c r="AD141" s="10">
        <v>1</v>
      </c>
      <c r="AE141" s="13">
        <f t="shared" si="16"/>
        <v>0.13719092006102765</v>
      </c>
      <c r="AF141" s="8"/>
      <c r="AG141" s="9">
        <v>69.944599999999994</v>
      </c>
      <c r="AH141" s="9">
        <v>114</v>
      </c>
      <c r="AI141" s="9">
        <v>3401.81</v>
      </c>
      <c r="AJ141" s="10">
        <v>1</v>
      </c>
      <c r="AK141" s="13">
        <f t="shared" si="17"/>
        <v>3.3511571780904872E-2</v>
      </c>
    </row>
    <row r="142" spans="1:37" x14ac:dyDescent="0.4">
      <c r="A142" s="3">
        <v>69.9589</v>
      </c>
      <c r="B142" s="3">
        <v>1124</v>
      </c>
      <c r="C142" s="3">
        <v>6633.6405999999997</v>
      </c>
      <c r="D142" s="4">
        <v>1</v>
      </c>
      <c r="E142" s="11">
        <f t="shared" si="12"/>
        <v>0.16943938747601128</v>
      </c>
      <c r="F142" s="2"/>
      <c r="G142" s="3">
        <v>69.959000000000003</v>
      </c>
      <c r="H142" s="3">
        <v>327</v>
      </c>
      <c r="I142" s="3">
        <v>6012.9530999999997</v>
      </c>
      <c r="J142" s="4">
        <v>1</v>
      </c>
      <c r="K142" s="11">
        <f t="shared" si="13"/>
        <v>5.43825961323397E-2</v>
      </c>
      <c r="N142" s="6">
        <v>69.952200000000005</v>
      </c>
      <c r="O142" s="6">
        <v>31</v>
      </c>
      <c r="P142" s="6">
        <v>4740.9337999999998</v>
      </c>
      <c r="Q142" s="7">
        <v>1</v>
      </c>
      <c r="R142" s="12">
        <f t="shared" si="14"/>
        <v>6.5387962177409021E-3</v>
      </c>
      <c r="S142" s="5"/>
      <c r="T142" s="6">
        <v>69.951999999999998</v>
      </c>
      <c r="U142" s="6">
        <v>35</v>
      </c>
      <c r="V142" s="6">
        <v>3934.9694</v>
      </c>
      <c r="W142" s="7">
        <v>1</v>
      </c>
      <c r="X142" s="12">
        <f t="shared" si="15"/>
        <v>8.8946053811752648E-3</v>
      </c>
      <c r="AA142" s="9">
        <v>69.957099999999997</v>
      </c>
      <c r="AB142" s="9">
        <v>700</v>
      </c>
      <c r="AC142" s="9">
        <v>5465.9773999999998</v>
      </c>
      <c r="AD142" s="10">
        <v>1</v>
      </c>
      <c r="AE142" s="13">
        <f t="shared" si="16"/>
        <v>0.12806492760105448</v>
      </c>
      <c r="AF142" s="8"/>
      <c r="AG142" s="9">
        <v>69.954599999999999</v>
      </c>
      <c r="AH142" s="9">
        <v>116</v>
      </c>
      <c r="AI142" s="9">
        <v>3403.5524999999998</v>
      </c>
      <c r="AJ142" s="10">
        <v>1</v>
      </c>
      <c r="AK142" s="13">
        <f t="shared" si="17"/>
        <v>3.4082036342909357E-2</v>
      </c>
    </row>
    <row r="143" spans="1:37" x14ac:dyDescent="0.4">
      <c r="A143" s="3">
        <v>69.968900000000005</v>
      </c>
      <c r="B143" s="3">
        <v>1047</v>
      </c>
      <c r="C143" s="3">
        <v>6633.2915999999996</v>
      </c>
      <c r="D143" s="4">
        <v>1</v>
      </c>
      <c r="E143" s="11">
        <f t="shared" si="12"/>
        <v>0.15784018902470684</v>
      </c>
      <c r="F143" s="2"/>
      <c r="G143" s="3">
        <v>69.968999999999994</v>
      </c>
      <c r="H143" s="3">
        <v>318</v>
      </c>
      <c r="I143" s="3">
        <v>6013.4385000000002</v>
      </c>
      <c r="J143" s="4">
        <v>1</v>
      </c>
      <c r="K143" s="11">
        <f t="shared" si="13"/>
        <v>5.2881558529284035E-2</v>
      </c>
      <c r="N143" s="6">
        <v>69.962199999999996</v>
      </c>
      <c r="O143" s="6">
        <v>31</v>
      </c>
      <c r="P143" s="6">
        <v>4740.5158000000001</v>
      </c>
      <c r="Q143" s="7">
        <v>1</v>
      </c>
      <c r="R143" s="12">
        <f t="shared" si="14"/>
        <v>6.5393727830207844E-3</v>
      </c>
      <c r="S143" s="5"/>
      <c r="T143" s="6">
        <v>69.962000000000003</v>
      </c>
      <c r="U143" s="6">
        <v>24</v>
      </c>
      <c r="V143" s="6">
        <v>3933.1795999999999</v>
      </c>
      <c r="W143" s="7">
        <v>1</v>
      </c>
      <c r="X143" s="12">
        <f t="shared" si="15"/>
        <v>6.1019334077701409E-3</v>
      </c>
      <c r="AA143" s="9">
        <v>69.967100000000002</v>
      </c>
      <c r="AB143" s="9">
        <v>589</v>
      </c>
      <c r="AC143" s="9">
        <v>5465.5204999999996</v>
      </c>
      <c r="AD143" s="10">
        <v>1</v>
      </c>
      <c r="AE143" s="13">
        <f t="shared" si="16"/>
        <v>0.10776649726224612</v>
      </c>
      <c r="AF143" s="8"/>
      <c r="AG143" s="9">
        <v>69.964600000000004</v>
      </c>
      <c r="AH143" s="9">
        <v>115</v>
      </c>
      <c r="AI143" s="9">
        <v>3403.4531000000002</v>
      </c>
      <c r="AJ143" s="10">
        <v>1</v>
      </c>
      <c r="AK143" s="13">
        <f t="shared" si="17"/>
        <v>3.3789212491278343E-2</v>
      </c>
    </row>
    <row r="144" spans="1:37" x14ac:dyDescent="0.4">
      <c r="A144" s="3">
        <v>69.978899999999996</v>
      </c>
      <c r="B144" s="3">
        <v>910</v>
      </c>
      <c r="C144" s="3">
        <v>6631.6324999999997</v>
      </c>
      <c r="D144" s="4">
        <v>1</v>
      </c>
      <c r="E144" s="11">
        <f t="shared" si="12"/>
        <v>0.137221114107273</v>
      </c>
      <c r="F144" s="2"/>
      <c r="G144" s="3">
        <v>69.978999999999999</v>
      </c>
      <c r="H144" s="3">
        <v>277</v>
      </c>
      <c r="I144" s="3">
        <v>6014.7089999999998</v>
      </c>
      <c r="J144" s="4">
        <v>1</v>
      </c>
      <c r="K144" s="11">
        <f t="shared" si="13"/>
        <v>4.6053765859661706E-2</v>
      </c>
      <c r="N144" s="6">
        <v>69.972200000000001</v>
      </c>
      <c r="O144" s="6">
        <v>28</v>
      </c>
      <c r="P144" s="6">
        <v>4735.6594999999998</v>
      </c>
      <c r="Q144" s="7">
        <v>1</v>
      </c>
      <c r="R144" s="12">
        <f t="shared" si="14"/>
        <v>5.9125872542145404E-3</v>
      </c>
      <c r="S144" s="5"/>
      <c r="T144" s="6">
        <v>69.971999999999994</v>
      </c>
      <c r="U144" s="6">
        <v>40</v>
      </c>
      <c r="V144" s="6">
        <v>3932.9609</v>
      </c>
      <c r="W144" s="7">
        <v>1</v>
      </c>
      <c r="X144" s="12">
        <f t="shared" si="15"/>
        <v>1.017045452956321E-2</v>
      </c>
      <c r="AA144" s="9">
        <v>69.977099999999993</v>
      </c>
      <c r="AB144" s="9">
        <v>661</v>
      </c>
      <c r="AC144" s="9">
        <v>5462.3131000000003</v>
      </c>
      <c r="AD144" s="10">
        <v>1</v>
      </c>
      <c r="AE144" s="13">
        <f t="shared" si="16"/>
        <v>0.12101100539256894</v>
      </c>
      <c r="AF144" s="8"/>
      <c r="AG144" s="9">
        <v>69.974599999999995</v>
      </c>
      <c r="AH144" s="9">
        <v>85</v>
      </c>
      <c r="AI144" s="9">
        <v>3400.8939</v>
      </c>
      <c r="AJ144" s="10">
        <v>1</v>
      </c>
      <c r="AK144" s="13">
        <f t="shared" si="17"/>
        <v>2.4993428933493045E-2</v>
      </c>
    </row>
    <row r="145" spans="1:37" x14ac:dyDescent="0.4">
      <c r="A145" s="3">
        <v>69.988900000000001</v>
      </c>
      <c r="B145" s="3">
        <v>874</v>
      </c>
      <c r="C145" s="3">
        <v>6628.8437000000004</v>
      </c>
      <c r="D145" s="4">
        <v>1</v>
      </c>
      <c r="E145" s="11">
        <f t="shared" si="12"/>
        <v>0.13184803256109356</v>
      </c>
      <c r="F145" s="2"/>
      <c r="G145" s="3">
        <v>69.989000000000004</v>
      </c>
      <c r="H145" s="3">
        <v>289</v>
      </c>
      <c r="I145" s="3">
        <v>6014.5839999999998</v>
      </c>
      <c r="J145" s="4">
        <v>1</v>
      </c>
      <c r="K145" s="11">
        <f t="shared" si="13"/>
        <v>4.8049873440956181E-2</v>
      </c>
      <c r="N145" s="6">
        <v>69.982200000000006</v>
      </c>
      <c r="O145" s="6">
        <v>33</v>
      </c>
      <c r="P145" s="6">
        <v>4731.2703000000001</v>
      </c>
      <c r="Q145" s="7">
        <v>1</v>
      </c>
      <c r="R145" s="12">
        <f t="shared" si="14"/>
        <v>6.9748709981756907E-3</v>
      </c>
      <c r="S145" s="5"/>
      <c r="T145" s="6">
        <v>69.981999999999999</v>
      </c>
      <c r="U145" s="6">
        <v>19</v>
      </c>
      <c r="V145" s="6">
        <v>3932.2372999999998</v>
      </c>
      <c r="W145" s="7">
        <v>1</v>
      </c>
      <c r="X145" s="12">
        <f t="shared" si="15"/>
        <v>4.8318548832238586E-3</v>
      </c>
      <c r="AA145" s="9">
        <v>69.987099999999998</v>
      </c>
      <c r="AB145" s="9">
        <v>563</v>
      </c>
      <c r="AC145" s="9">
        <v>5463.6643000000004</v>
      </c>
      <c r="AD145" s="10">
        <v>1</v>
      </c>
      <c r="AE145" s="13">
        <f t="shared" si="16"/>
        <v>0.10304439824386721</v>
      </c>
      <c r="AF145" s="8"/>
      <c r="AG145" s="9">
        <v>69.9846</v>
      </c>
      <c r="AH145" s="9">
        <v>71</v>
      </c>
      <c r="AI145" s="9">
        <v>3402.799</v>
      </c>
      <c r="AJ145" s="10">
        <v>1</v>
      </c>
      <c r="AK145" s="13">
        <f t="shared" si="17"/>
        <v>2.0865175991881979E-2</v>
      </c>
    </row>
    <row r="146" spans="1:37" x14ac:dyDescent="0.4">
      <c r="A146" s="3">
        <v>69.998900000000006</v>
      </c>
      <c r="B146" s="3">
        <v>837</v>
      </c>
      <c r="C146" s="3">
        <v>6627.7644</v>
      </c>
      <c r="D146" s="4">
        <v>1</v>
      </c>
      <c r="E146" s="11">
        <f t="shared" si="12"/>
        <v>0.12628692715751935</v>
      </c>
      <c r="F146" s="2"/>
      <c r="G146" s="3">
        <v>69.998999999999995</v>
      </c>
      <c r="H146" s="3">
        <v>251</v>
      </c>
      <c r="I146" s="3">
        <v>6012.9574000000002</v>
      </c>
      <c r="J146" s="4">
        <v>1</v>
      </c>
      <c r="K146" s="11">
        <f t="shared" si="13"/>
        <v>4.1743186139984956E-2</v>
      </c>
      <c r="N146" s="6">
        <v>69.992199999999997</v>
      </c>
      <c r="O146" s="6">
        <v>23</v>
      </c>
      <c r="P146" s="6">
        <v>4728.9049000000005</v>
      </c>
      <c r="Q146" s="7">
        <v>1</v>
      </c>
      <c r="R146" s="12">
        <f t="shared" si="14"/>
        <v>4.8637053369375216E-3</v>
      </c>
      <c r="S146" s="5"/>
      <c r="T146" s="6">
        <v>69.992000000000004</v>
      </c>
      <c r="U146" s="6">
        <v>19</v>
      </c>
      <c r="V146" s="6">
        <v>3931.5945000000002</v>
      </c>
      <c r="W146" s="7">
        <v>1</v>
      </c>
      <c r="X146" s="12">
        <f t="shared" si="15"/>
        <v>4.8326448722013421E-3</v>
      </c>
      <c r="AA146" s="9">
        <v>69.997100000000003</v>
      </c>
      <c r="AB146" s="9">
        <v>550</v>
      </c>
      <c r="AC146" s="9">
        <v>5460.8968000000004</v>
      </c>
      <c r="AD146" s="10">
        <v>1</v>
      </c>
      <c r="AE146" s="13">
        <f t="shared" si="16"/>
        <v>0.10071605821227018</v>
      </c>
      <c r="AF146" s="8"/>
      <c r="AG146" s="9">
        <v>69.994600000000005</v>
      </c>
      <c r="AH146" s="9">
        <v>63</v>
      </c>
      <c r="AI146" s="9">
        <v>3403.5167000000001</v>
      </c>
      <c r="AJ146" s="10">
        <v>1</v>
      </c>
      <c r="AK146" s="13">
        <f t="shared" si="17"/>
        <v>1.8510266160880008E-2</v>
      </c>
    </row>
    <row r="147" spans="1:37" x14ac:dyDescent="0.4">
      <c r="A147" s="3">
        <v>70.008899999999997</v>
      </c>
      <c r="B147" s="3">
        <v>810</v>
      </c>
      <c r="C147" s="3">
        <v>6628.4188999999997</v>
      </c>
      <c r="D147" s="4">
        <v>1</v>
      </c>
      <c r="E147" s="11">
        <f t="shared" si="12"/>
        <v>0.12220108780391054</v>
      </c>
      <c r="F147" s="2"/>
      <c r="G147" s="3">
        <v>70.009</v>
      </c>
      <c r="H147" s="3">
        <v>204</v>
      </c>
      <c r="I147" s="3">
        <v>6013.2916999999998</v>
      </c>
      <c r="J147" s="4">
        <v>1</v>
      </c>
      <c r="K147" s="11">
        <f t="shared" si="13"/>
        <v>3.3924846852182479E-2</v>
      </c>
      <c r="N147" s="6">
        <v>70.002200000000002</v>
      </c>
      <c r="O147" s="6">
        <v>28</v>
      </c>
      <c r="P147" s="6">
        <v>4728.4538000000002</v>
      </c>
      <c r="Q147" s="7">
        <v>1</v>
      </c>
      <c r="R147" s="12">
        <f t="shared" si="14"/>
        <v>5.9215974575029156E-3</v>
      </c>
      <c r="S147" s="5"/>
      <c r="T147" s="6">
        <v>70.001999999999995</v>
      </c>
      <c r="U147" s="6">
        <v>14</v>
      </c>
      <c r="V147" s="6">
        <v>3932.0315000000001</v>
      </c>
      <c r="W147" s="7">
        <v>1</v>
      </c>
      <c r="X147" s="12">
        <f t="shared" si="15"/>
        <v>3.5605004690323562E-3</v>
      </c>
      <c r="AA147" s="9">
        <v>70.007099999999994</v>
      </c>
      <c r="AB147" s="9">
        <v>545</v>
      </c>
      <c r="AC147" s="9">
        <v>5463.0165999999999</v>
      </c>
      <c r="AD147" s="10">
        <v>1</v>
      </c>
      <c r="AE147" s="13">
        <f t="shared" si="16"/>
        <v>9.9761732373282563E-2</v>
      </c>
      <c r="AF147" s="8"/>
      <c r="AG147" s="9">
        <v>70.004599999999996</v>
      </c>
      <c r="AH147" s="9">
        <v>72</v>
      </c>
      <c r="AI147" s="9">
        <v>3403.5012999999999</v>
      </c>
      <c r="AJ147" s="10">
        <v>1</v>
      </c>
      <c r="AK147" s="13">
        <f t="shared" si="17"/>
        <v>2.1154685617425797E-2</v>
      </c>
    </row>
    <row r="148" spans="1:37" x14ac:dyDescent="0.4">
      <c r="A148" s="3">
        <v>70.018900000000002</v>
      </c>
      <c r="B148" s="3">
        <v>717</v>
      </c>
      <c r="C148" s="3">
        <v>6630.6077999999998</v>
      </c>
      <c r="D148" s="4">
        <v>1</v>
      </c>
      <c r="E148" s="11">
        <f t="shared" si="12"/>
        <v>0.10813488320030028</v>
      </c>
      <c r="F148" s="2"/>
      <c r="G148" s="3">
        <v>70.019000000000005</v>
      </c>
      <c r="H148" s="3">
        <v>172</v>
      </c>
      <c r="I148" s="3">
        <v>6010.6864999999998</v>
      </c>
      <c r="J148" s="4">
        <v>1</v>
      </c>
      <c r="K148" s="11">
        <f t="shared" si="13"/>
        <v>2.861569972082224E-2</v>
      </c>
      <c r="N148" s="6">
        <v>70.012200000000007</v>
      </c>
      <c r="O148" s="6">
        <v>20</v>
      </c>
      <c r="P148" s="6">
        <v>4727.7485999999999</v>
      </c>
      <c r="Q148" s="7">
        <v>1</v>
      </c>
      <c r="R148" s="12">
        <f t="shared" si="14"/>
        <v>4.2303433816256644E-3</v>
      </c>
      <c r="S148" s="5"/>
      <c r="T148" s="6">
        <v>70.012</v>
      </c>
      <c r="U148" s="6">
        <v>15</v>
      </c>
      <c r="V148" s="6">
        <v>3931.3478</v>
      </c>
      <c r="W148" s="7">
        <v>1</v>
      </c>
      <c r="X148" s="12">
        <f t="shared" si="15"/>
        <v>3.8154853661128635E-3</v>
      </c>
      <c r="AA148" s="9">
        <v>70.017099999999999</v>
      </c>
      <c r="AB148" s="9">
        <v>515</v>
      </c>
      <c r="AC148" s="9">
        <v>5462.7353000000003</v>
      </c>
      <c r="AD148" s="10">
        <v>1</v>
      </c>
      <c r="AE148" s="13">
        <f t="shared" si="16"/>
        <v>9.4275115252243677E-2</v>
      </c>
      <c r="AF148" s="8"/>
      <c r="AG148" s="9">
        <v>70.014600000000002</v>
      </c>
      <c r="AH148" s="9">
        <v>64</v>
      </c>
      <c r="AI148" s="9">
        <v>3405.5264000000002</v>
      </c>
      <c r="AJ148" s="10">
        <v>1</v>
      </c>
      <c r="AK148" s="13">
        <f t="shared" si="17"/>
        <v>1.879298307597909E-2</v>
      </c>
    </row>
    <row r="149" spans="1:37" x14ac:dyDescent="0.4">
      <c r="A149" s="3">
        <v>70.028899999999993</v>
      </c>
      <c r="B149" s="3">
        <v>778</v>
      </c>
      <c r="C149" s="3">
        <v>6629.0609999999997</v>
      </c>
      <c r="D149" s="4">
        <v>1</v>
      </c>
      <c r="E149" s="11">
        <f t="shared" si="12"/>
        <v>0.11736202155931286</v>
      </c>
      <c r="F149" s="2"/>
      <c r="G149" s="3">
        <v>70.028999999999996</v>
      </c>
      <c r="H149" s="3">
        <v>164</v>
      </c>
      <c r="I149" s="3">
        <v>6009.2819</v>
      </c>
      <c r="J149" s="4">
        <v>1</v>
      </c>
      <c r="K149" s="11">
        <f t="shared" si="13"/>
        <v>2.7291114434155602E-2</v>
      </c>
      <c r="N149" s="6">
        <v>70.022199999999998</v>
      </c>
      <c r="O149" s="6">
        <v>18</v>
      </c>
      <c r="P149" s="6">
        <v>4726.1424999999999</v>
      </c>
      <c r="Q149" s="7">
        <v>1</v>
      </c>
      <c r="R149" s="12">
        <f t="shared" si="14"/>
        <v>3.8086028933744594E-3</v>
      </c>
      <c r="S149" s="5"/>
      <c r="T149" s="6">
        <v>70.022000000000006</v>
      </c>
      <c r="U149" s="6">
        <v>21</v>
      </c>
      <c r="V149" s="6">
        <v>3931.8433</v>
      </c>
      <c r="W149" s="7">
        <v>1</v>
      </c>
      <c r="X149" s="12">
        <f t="shared" si="15"/>
        <v>5.3410063417328969E-3</v>
      </c>
      <c r="AA149" s="9">
        <v>70.027100000000004</v>
      </c>
      <c r="AB149" s="9">
        <v>483</v>
      </c>
      <c r="AC149" s="9">
        <v>5462.3757999999998</v>
      </c>
      <c r="AD149" s="10">
        <v>1</v>
      </c>
      <c r="AE149" s="13">
        <f t="shared" si="16"/>
        <v>8.8423063092802956E-2</v>
      </c>
      <c r="AF149" s="8"/>
      <c r="AG149" s="9">
        <v>70.024600000000007</v>
      </c>
      <c r="AH149" s="9">
        <v>61</v>
      </c>
      <c r="AI149" s="9">
        <v>3404.6770999999999</v>
      </c>
      <c r="AJ149" s="10">
        <v>1</v>
      </c>
      <c r="AK149" s="13">
        <f t="shared" si="17"/>
        <v>1.791653017550475E-2</v>
      </c>
    </row>
    <row r="150" spans="1:37" x14ac:dyDescent="0.4">
      <c r="A150" s="3">
        <v>70.038899999999998</v>
      </c>
      <c r="B150" s="3">
        <v>712</v>
      </c>
      <c r="C150" s="3">
        <v>6630.8235000000004</v>
      </c>
      <c r="D150" s="4">
        <v>1</v>
      </c>
      <c r="E150" s="11">
        <f t="shared" si="12"/>
        <v>0.10737731143047315</v>
      </c>
      <c r="F150" s="2"/>
      <c r="G150" s="3">
        <v>70.039000000000001</v>
      </c>
      <c r="H150" s="3">
        <v>152</v>
      </c>
      <c r="I150" s="3">
        <v>6007.3858</v>
      </c>
      <c r="J150" s="4">
        <v>1</v>
      </c>
      <c r="K150" s="11">
        <f t="shared" si="13"/>
        <v>2.5302187184315681E-2</v>
      </c>
      <c r="N150" s="6">
        <v>70.032200000000003</v>
      </c>
      <c r="O150" s="6">
        <v>16</v>
      </c>
      <c r="P150" s="6">
        <v>4720.4044999999996</v>
      </c>
      <c r="Q150" s="7">
        <v>1</v>
      </c>
      <c r="R150" s="12">
        <f t="shared" si="14"/>
        <v>3.3895400277666886E-3</v>
      </c>
      <c r="S150" s="5"/>
      <c r="T150" s="6">
        <v>70.031999999999996</v>
      </c>
      <c r="U150" s="6">
        <v>21</v>
      </c>
      <c r="V150" s="6">
        <v>3932.915</v>
      </c>
      <c r="W150" s="7">
        <v>1</v>
      </c>
      <c r="X150" s="12">
        <f t="shared" si="15"/>
        <v>5.3395509437656292E-3</v>
      </c>
      <c r="AA150" s="9">
        <v>70.037099999999995</v>
      </c>
      <c r="AB150" s="9">
        <v>478</v>
      </c>
      <c r="AC150" s="9">
        <v>5461.0198</v>
      </c>
      <c r="AD150" s="10">
        <v>1</v>
      </c>
      <c r="AE150" s="13">
        <f t="shared" si="16"/>
        <v>8.7529439098536138E-2</v>
      </c>
      <c r="AF150" s="8"/>
      <c r="AG150" s="9">
        <v>70.034599999999998</v>
      </c>
      <c r="AH150" s="9">
        <v>47</v>
      </c>
      <c r="AI150" s="9">
        <v>3406.9335000000001</v>
      </c>
      <c r="AJ150" s="10">
        <v>1</v>
      </c>
      <c r="AK150" s="13">
        <f t="shared" si="17"/>
        <v>1.3795396945669764E-2</v>
      </c>
    </row>
    <row r="151" spans="1:37" x14ac:dyDescent="0.4">
      <c r="A151" s="3">
        <v>70.048900000000003</v>
      </c>
      <c r="B151" s="3">
        <v>682</v>
      </c>
      <c r="C151" s="3">
        <v>6628.3786</v>
      </c>
      <c r="D151" s="4">
        <v>1</v>
      </c>
      <c r="E151" s="11">
        <f t="shared" si="12"/>
        <v>0.10289092418468673</v>
      </c>
      <c r="F151" s="2"/>
      <c r="G151" s="3">
        <v>70.049000000000007</v>
      </c>
      <c r="H151" s="3">
        <v>139</v>
      </c>
      <c r="I151" s="3">
        <v>6007.1139000000003</v>
      </c>
      <c r="J151" s="4">
        <v>1</v>
      </c>
      <c r="K151" s="11">
        <f t="shared" si="13"/>
        <v>2.3139231636676638E-2</v>
      </c>
      <c r="N151" s="6">
        <v>70.042199999999994</v>
      </c>
      <c r="O151" s="6">
        <v>17</v>
      </c>
      <c r="P151" s="6">
        <v>4722.3209999999999</v>
      </c>
      <c r="Q151" s="7">
        <v>1</v>
      </c>
      <c r="R151" s="12">
        <f t="shared" si="14"/>
        <v>3.599924698045728E-3</v>
      </c>
      <c r="S151" s="5"/>
      <c r="T151" s="6">
        <v>70.042000000000002</v>
      </c>
      <c r="U151" s="6">
        <v>8</v>
      </c>
      <c r="V151" s="6">
        <v>3932.2768999999998</v>
      </c>
      <c r="W151" s="7">
        <v>1</v>
      </c>
      <c r="X151" s="12">
        <f t="shared" si="15"/>
        <v>2.0344447259042211E-3</v>
      </c>
      <c r="AA151" s="9">
        <v>70.0471</v>
      </c>
      <c r="AB151" s="9">
        <v>452</v>
      </c>
      <c r="AC151" s="9">
        <v>5466.4241000000002</v>
      </c>
      <c r="AD151" s="10">
        <v>1</v>
      </c>
      <c r="AE151" s="13">
        <f t="shared" si="16"/>
        <v>8.2686595794863413E-2</v>
      </c>
      <c r="AF151" s="8"/>
      <c r="AG151" s="9">
        <v>70.044600000000003</v>
      </c>
      <c r="AH151" s="9">
        <v>39</v>
      </c>
      <c r="AI151" s="9">
        <v>3405.6527000000001</v>
      </c>
      <c r="AJ151" s="10">
        <v>1</v>
      </c>
      <c r="AK151" s="13">
        <f t="shared" si="17"/>
        <v>1.1451549360861134E-2</v>
      </c>
    </row>
    <row r="152" spans="1:37" x14ac:dyDescent="0.4">
      <c r="A152" s="3">
        <v>70.058899999999994</v>
      </c>
      <c r="B152" s="3">
        <v>673</v>
      </c>
      <c r="C152" s="3">
        <v>6627.3504999999996</v>
      </c>
      <c r="D152" s="4">
        <v>1</v>
      </c>
      <c r="E152" s="11">
        <f t="shared" si="12"/>
        <v>0.10154887688526509</v>
      </c>
      <c r="F152" s="2"/>
      <c r="G152" s="3">
        <v>70.058999999999997</v>
      </c>
      <c r="H152" s="3">
        <v>102</v>
      </c>
      <c r="I152" s="3">
        <v>6010.2717000000002</v>
      </c>
      <c r="J152" s="4">
        <v>1</v>
      </c>
      <c r="K152" s="11">
        <f t="shared" si="13"/>
        <v>1.6970946587988693E-2</v>
      </c>
      <c r="N152" s="6">
        <v>70.052199999999999</v>
      </c>
      <c r="O152" s="6">
        <v>13</v>
      </c>
      <c r="P152" s="6">
        <v>4720.7487000000001</v>
      </c>
      <c r="Q152" s="7">
        <v>1</v>
      </c>
      <c r="R152" s="12">
        <f t="shared" si="14"/>
        <v>2.7538004723699867E-3</v>
      </c>
      <c r="S152" s="5"/>
      <c r="T152" s="6">
        <v>70.052000000000007</v>
      </c>
      <c r="U152" s="6">
        <v>8</v>
      </c>
      <c r="V152" s="6">
        <v>3932.2204999999999</v>
      </c>
      <c r="W152" s="7">
        <v>1</v>
      </c>
      <c r="X152" s="12">
        <f t="shared" si="15"/>
        <v>2.0344739060284131E-3</v>
      </c>
      <c r="AA152" s="9">
        <v>70.057100000000005</v>
      </c>
      <c r="AB152" s="9">
        <v>387</v>
      </c>
      <c r="AC152" s="9">
        <v>5463.4829</v>
      </c>
      <c r="AD152" s="10">
        <v>1</v>
      </c>
      <c r="AE152" s="13">
        <f t="shared" si="16"/>
        <v>7.0833936352212246E-2</v>
      </c>
      <c r="AF152" s="8"/>
      <c r="AG152" s="9">
        <v>70.054599999999994</v>
      </c>
      <c r="AH152" s="9">
        <v>47</v>
      </c>
      <c r="AI152" s="9">
        <v>3406.0839000000001</v>
      </c>
      <c r="AJ152" s="10">
        <v>1</v>
      </c>
      <c r="AK152" s="13">
        <f t="shared" si="17"/>
        <v>1.3798838014530411E-2</v>
      </c>
    </row>
    <row r="153" spans="1:37" x14ac:dyDescent="0.4">
      <c r="A153" s="3">
        <v>70.068899999999999</v>
      </c>
      <c r="B153" s="3">
        <v>616</v>
      </c>
      <c r="C153" s="3">
        <v>6625.9432999999999</v>
      </c>
      <c r="D153" s="4">
        <v>1</v>
      </c>
      <c r="E153" s="11">
        <f t="shared" si="12"/>
        <v>9.2967894850533958E-2</v>
      </c>
      <c r="F153" s="2"/>
      <c r="G153" s="3">
        <v>70.069000000000003</v>
      </c>
      <c r="H153" s="3">
        <v>79</v>
      </c>
      <c r="I153" s="3">
        <v>6009.2631000000001</v>
      </c>
      <c r="J153" s="4">
        <v>1</v>
      </c>
      <c r="K153" s="11">
        <f t="shared" si="13"/>
        <v>1.3146370642350474E-2</v>
      </c>
      <c r="N153" s="6">
        <v>70.062200000000004</v>
      </c>
      <c r="O153" s="6">
        <v>9</v>
      </c>
      <c r="P153" s="6">
        <v>4716.9101000000001</v>
      </c>
      <c r="Q153" s="7">
        <v>1</v>
      </c>
      <c r="R153" s="12">
        <f t="shared" si="14"/>
        <v>1.9080287326230787E-3</v>
      </c>
      <c r="S153" s="5"/>
      <c r="T153" s="6">
        <v>70.061999999999998</v>
      </c>
      <c r="U153" s="6">
        <v>11</v>
      </c>
      <c r="V153" s="6">
        <v>3932.9488999999999</v>
      </c>
      <c r="W153" s="7">
        <v>1</v>
      </c>
      <c r="X153" s="12">
        <f t="shared" si="15"/>
        <v>2.7968835293029105E-3</v>
      </c>
      <c r="AA153" s="9">
        <v>70.067099999999996</v>
      </c>
      <c r="AB153" s="9">
        <v>415</v>
      </c>
      <c r="AC153" s="9">
        <v>5461.5352999999996</v>
      </c>
      <c r="AD153" s="10">
        <v>1</v>
      </c>
      <c r="AE153" s="13">
        <f t="shared" si="16"/>
        <v>7.5985959479196272E-2</v>
      </c>
      <c r="AF153" s="8"/>
      <c r="AG153" s="9">
        <v>70.064599999999999</v>
      </c>
      <c r="AH153" s="9">
        <v>54</v>
      </c>
      <c r="AI153" s="9">
        <v>3406.9196999999999</v>
      </c>
      <c r="AJ153" s="10">
        <v>1</v>
      </c>
      <c r="AK153" s="13">
        <f t="shared" si="17"/>
        <v>1.5850094735135673E-2</v>
      </c>
    </row>
    <row r="154" spans="1:37" x14ac:dyDescent="0.4">
      <c r="A154" s="3">
        <v>70.078900000000004</v>
      </c>
      <c r="B154" s="3">
        <v>589</v>
      </c>
      <c r="C154" s="3">
        <v>6619.7173000000003</v>
      </c>
      <c r="D154" s="4">
        <v>1</v>
      </c>
      <c r="E154" s="11">
        <f t="shared" si="12"/>
        <v>8.8976609318346569E-2</v>
      </c>
      <c r="F154" s="2"/>
      <c r="G154" s="3">
        <v>70.078999999999994</v>
      </c>
      <c r="H154" s="3">
        <v>90</v>
      </c>
      <c r="I154" s="3">
        <v>6009.9694</v>
      </c>
      <c r="J154" s="4">
        <v>1</v>
      </c>
      <c r="K154" s="11">
        <f t="shared" si="13"/>
        <v>1.4975117843362064E-2</v>
      </c>
      <c r="N154" s="6">
        <v>70.072199999999995</v>
      </c>
      <c r="O154" s="6">
        <v>13</v>
      </c>
      <c r="P154" s="6">
        <v>4715.8923999999997</v>
      </c>
      <c r="Q154" s="7">
        <v>1</v>
      </c>
      <c r="R154" s="12">
        <f t="shared" si="14"/>
        <v>2.756636262523717E-3</v>
      </c>
      <c r="S154" s="5"/>
      <c r="T154" s="6">
        <v>70.072000000000003</v>
      </c>
      <c r="U154" s="6">
        <v>10</v>
      </c>
      <c r="V154" s="6">
        <v>3933.154</v>
      </c>
      <c r="W154" s="7">
        <v>1</v>
      </c>
      <c r="X154" s="12">
        <f t="shared" si="15"/>
        <v>2.5424888016080732E-3</v>
      </c>
      <c r="AA154" s="9">
        <v>70.077100000000002</v>
      </c>
      <c r="AB154" s="9">
        <v>371</v>
      </c>
      <c r="AC154" s="9">
        <v>5463.5380999999998</v>
      </c>
      <c r="AD154" s="10">
        <v>1</v>
      </c>
      <c r="AE154" s="13">
        <f t="shared" si="16"/>
        <v>6.7904715444374777E-2</v>
      </c>
      <c r="AF154" s="8"/>
      <c r="AG154" s="9">
        <v>70.074600000000004</v>
      </c>
      <c r="AH154" s="9">
        <v>36</v>
      </c>
      <c r="AI154" s="9">
        <v>3407.518</v>
      </c>
      <c r="AJ154" s="10">
        <v>1</v>
      </c>
      <c r="AK154" s="13">
        <f t="shared" si="17"/>
        <v>1.056487449222572E-2</v>
      </c>
    </row>
    <row r="155" spans="1:37" x14ac:dyDescent="0.4">
      <c r="A155" s="3">
        <v>70.088899999999995</v>
      </c>
      <c r="B155" s="3">
        <v>587</v>
      </c>
      <c r="C155" s="3">
        <v>6615.1648999999998</v>
      </c>
      <c r="D155" s="4">
        <v>1</v>
      </c>
      <c r="E155" s="11">
        <f t="shared" si="12"/>
        <v>8.8735505293299641E-2</v>
      </c>
      <c r="F155" s="2"/>
      <c r="G155" s="3">
        <v>70.088999999999999</v>
      </c>
      <c r="H155" s="3">
        <v>90</v>
      </c>
      <c r="I155" s="3">
        <v>6009.0384999999997</v>
      </c>
      <c r="J155" s="4">
        <v>1</v>
      </c>
      <c r="K155" s="11">
        <f t="shared" si="13"/>
        <v>1.4977437738167263E-2</v>
      </c>
      <c r="N155" s="6">
        <v>70.0822</v>
      </c>
      <c r="O155" s="6">
        <v>12</v>
      </c>
      <c r="P155" s="6">
        <v>4717.0622999999996</v>
      </c>
      <c r="Q155" s="7">
        <v>1</v>
      </c>
      <c r="R155" s="12">
        <f t="shared" si="14"/>
        <v>2.5439562246188695E-3</v>
      </c>
      <c r="S155" s="5"/>
      <c r="T155" s="6">
        <v>70.081999999999994</v>
      </c>
      <c r="U155" s="6">
        <v>4</v>
      </c>
      <c r="V155" s="6">
        <v>3932.7698</v>
      </c>
      <c r="W155" s="7">
        <v>1</v>
      </c>
      <c r="X155" s="12">
        <f t="shared" si="15"/>
        <v>1.0170948729315405E-3</v>
      </c>
      <c r="AA155" s="9">
        <v>70.087100000000007</v>
      </c>
      <c r="AB155" s="9">
        <v>373</v>
      </c>
      <c r="AC155" s="9">
        <v>5461.4336999999996</v>
      </c>
      <c r="AD155" s="10">
        <v>1</v>
      </c>
      <c r="AE155" s="13">
        <f t="shared" si="16"/>
        <v>6.8297084701403596E-2</v>
      </c>
      <c r="AF155" s="8"/>
      <c r="AG155" s="9">
        <v>70.084599999999995</v>
      </c>
      <c r="AH155" s="9">
        <v>39</v>
      </c>
      <c r="AI155" s="9">
        <v>3407.3238000000001</v>
      </c>
      <c r="AJ155" s="10">
        <v>1</v>
      </c>
      <c r="AK155" s="13">
        <f t="shared" si="17"/>
        <v>1.1445933022273961E-2</v>
      </c>
    </row>
    <row r="156" spans="1:37" x14ac:dyDescent="0.4">
      <c r="A156" s="3">
        <v>70.0989</v>
      </c>
      <c r="B156" s="3">
        <v>559</v>
      </c>
      <c r="C156" s="3">
        <v>6612.9979999999996</v>
      </c>
      <c r="D156" s="4">
        <v>1</v>
      </c>
      <c r="E156" s="11">
        <f t="shared" si="12"/>
        <v>8.4530495850747275E-2</v>
      </c>
      <c r="F156" s="2"/>
      <c r="G156" s="3">
        <v>70.099000000000004</v>
      </c>
      <c r="H156" s="3">
        <v>82</v>
      </c>
      <c r="I156" s="3">
        <v>6007.8225000000002</v>
      </c>
      <c r="J156" s="4">
        <v>1</v>
      </c>
      <c r="K156" s="11">
        <f t="shared" si="13"/>
        <v>1.3648871949862033E-2</v>
      </c>
      <c r="N156" s="6">
        <v>70.092200000000005</v>
      </c>
      <c r="O156" s="6">
        <v>9</v>
      </c>
      <c r="P156" s="6">
        <v>4715.9840000000004</v>
      </c>
      <c r="Q156" s="7">
        <v>1</v>
      </c>
      <c r="R156" s="12">
        <f t="shared" si="14"/>
        <v>1.9084034212160175E-3</v>
      </c>
      <c r="S156" s="5"/>
      <c r="T156" s="6">
        <v>70.091999999999999</v>
      </c>
      <c r="U156" s="6">
        <v>11</v>
      </c>
      <c r="V156" s="6">
        <v>3919.4292</v>
      </c>
      <c r="W156" s="7">
        <v>1</v>
      </c>
      <c r="X156" s="12">
        <f t="shared" si="15"/>
        <v>2.8065311142755176E-3</v>
      </c>
      <c r="AA156" s="9">
        <v>70.097099999999998</v>
      </c>
      <c r="AB156" s="9">
        <v>343</v>
      </c>
      <c r="AC156" s="9">
        <v>5463.1252000000004</v>
      </c>
      <c r="AD156" s="10">
        <v>1</v>
      </c>
      <c r="AE156" s="13">
        <f t="shared" si="16"/>
        <v>6.2784576125035532E-2</v>
      </c>
      <c r="AF156" s="8"/>
      <c r="AG156" s="9">
        <v>70.0946</v>
      </c>
      <c r="AH156" s="9">
        <v>34</v>
      </c>
      <c r="AI156" s="9">
        <v>3407.7388999999998</v>
      </c>
      <c r="AJ156" s="10">
        <v>1</v>
      </c>
      <c r="AK156" s="13">
        <f t="shared" si="17"/>
        <v>9.9772902202102404E-3</v>
      </c>
    </row>
    <row r="157" spans="1:37" x14ac:dyDescent="0.4">
      <c r="A157" s="3">
        <v>70.108900000000006</v>
      </c>
      <c r="B157" s="3">
        <v>537</v>
      </c>
      <c r="C157" s="3">
        <v>6612.4378999999999</v>
      </c>
      <c r="D157" s="4">
        <v>1</v>
      </c>
      <c r="E157" s="11">
        <f t="shared" si="12"/>
        <v>8.1210592541065676E-2</v>
      </c>
      <c r="F157" s="2"/>
      <c r="G157" s="3">
        <v>70.108999999999995</v>
      </c>
      <c r="H157" s="3">
        <v>71</v>
      </c>
      <c r="I157" s="3">
        <v>6006.5686999999998</v>
      </c>
      <c r="J157" s="4">
        <v>1</v>
      </c>
      <c r="K157" s="11">
        <f t="shared" si="13"/>
        <v>1.1820392564560196E-2</v>
      </c>
      <c r="N157" s="6">
        <v>70.102199999999996</v>
      </c>
      <c r="O157" s="6">
        <v>5</v>
      </c>
      <c r="P157" s="6">
        <v>4718.5355</v>
      </c>
      <c r="Q157" s="7">
        <v>1</v>
      </c>
      <c r="R157" s="12">
        <f t="shared" si="14"/>
        <v>1.0596508175047109E-3</v>
      </c>
      <c r="S157" s="5"/>
      <c r="T157" s="6">
        <v>70.102000000000004</v>
      </c>
      <c r="U157" s="6">
        <v>8</v>
      </c>
      <c r="V157" s="6">
        <v>3928.0005000000001</v>
      </c>
      <c r="W157" s="7">
        <v>1</v>
      </c>
      <c r="X157" s="12">
        <f t="shared" si="15"/>
        <v>2.0366596185514741E-3</v>
      </c>
      <c r="AA157" s="9">
        <v>70.107100000000003</v>
      </c>
      <c r="AB157" s="9">
        <v>326</v>
      </c>
      <c r="AC157" s="9">
        <v>5464.2568000000001</v>
      </c>
      <c r="AD157" s="10">
        <v>1</v>
      </c>
      <c r="AE157" s="13">
        <f t="shared" si="16"/>
        <v>5.9660446412401411E-2</v>
      </c>
      <c r="AF157" s="8"/>
      <c r="AG157" s="9">
        <v>70.104600000000005</v>
      </c>
      <c r="AH157" s="9">
        <v>39</v>
      </c>
      <c r="AI157" s="9">
        <v>3408.1179999999999</v>
      </c>
      <c r="AJ157" s="10">
        <v>1</v>
      </c>
      <c r="AK157" s="13">
        <f t="shared" si="17"/>
        <v>1.1443265755469735E-2</v>
      </c>
    </row>
    <row r="158" spans="1:37" x14ac:dyDescent="0.4">
      <c r="A158" s="3">
        <v>70.118899999999996</v>
      </c>
      <c r="B158" s="3">
        <v>469</v>
      </c>
      <c r="C158" s="3">
        <v>6611.2178000000004</v>
      </c>
      <c r="D158" s="4">
        <v>1</v>
      </c>
      <c r="E158" s="11">
        <f t="shared" si="12"/>
        <v>7.0940031653472374E-2</v>
      </c>
      <c r="F158" s="2"/>
      <c r="G158" s="3">
        <v>70.119</v>
      </c>
      <c r="H158" s="3">
        <v>79</v>
      </c>
      <c r="I158" s="3">
        <v>6006.2705999999998</v>
      </c>
      <c r="J158" s="4">
        <v>1</v>
      </c>
      <c r="K158" s="11">
        <f t="shared" si="13"/>
        <v>1.3152920549400489E-2</v>
      </c>
      <c r="N158" s="6">
        <v>70.112200000000001</v>
      </c>
      <c r="O158" s="6">
        <v>7</v>
      </c>
      <c r="P158" s="6">
        <v>4719.8586999999998</v>
      </c>
      <c r="Q158" s="7">
        <v>1</v>
      </c>
      <c r="R158" s="12">
        <f t="shared" si="14"/>
        <v>1.4830952460504804E-3</v>
      </c>
      <c r="S158" s="5"/>
      <c r="T158" s="6">
        <v>70.111999999999995</v>
      </c>
      <c r="U158" s="6">
        <v>13</v>
      </c>
      <c r="V158" s="6">
        <v>3934.3571000000002</v>
      </c>
      <c r="W158" s="7">
        <v>1</v>
      </c>
      <c r="X158" s="12">
        <f t="shared" si="15"/>
        <v>3.3042247232718145E-3</v>
      </c>
      <c r="AA158" s="9">
        <v>70.117099999999994</v>
      </c>
      <c r="AB158" s="9">
        <v>311</v>
      </c>
      <c r="AC158" s="9">
        <v>5464.4919</v>
      </c>
      <c r="AD158" s="10">
        <v>1</v>
      </c>
      <c r="AE158" s="13">
        <f t="shared" si="16"/>
        <v>5.6912885166871596E-2</v>
      </c>
      <c r="AF158" s="8"/>
      <c r="AG158" s="9">
        <v>70.114599999999996</v>
      </c>
      <c r="AH158" s="9">
        <v>28</v>
      </c>
      <c r="AI158" s="9">
        <v>3407.7082999999998</v>
      </c>
      <c r="AJ158" s="10">
        <v>1</v>
      </c>
      <c r="AK158" s="13">
        <f t="shared" si="17"/>
        <v>8.2166657281082418E-3</v>
      </c>
    </row>
    <row r="159" spans="1:37" x14ac:dyDescent="0.4">
      <c r="A159" s="3">
        <v>70.128900000000002</v>
      </c>
      <c r="B159" s="3">
        <v>437</v>
      </c>
      <c r="C159" s="3">
        <v>6611.2299000000003</v>
      </c>
      <c r="D159" s="4">
        <v>1</v>
      </c>
      <c r="E159" s="11">
        <f t="shared" si="12"/>
        <v>6.6099652653131905E-2</v>
      </c>
      <c r="F159" s="2"/>
      <c r="G159" s="3">
        <v>70.129000000000005</v>
      </c>
      <c r="H159" s="3">
        <v>62</v>
      </c>
      <c r="I159" s="3">
        <v>6006.5522000000001</v>
      </c>
      <c r="J159" s="4">
        <v>1</v>
      </c>
      <c r="K159" s="11">
        <f t="shared" si="13"/>
        <v>1.032206129832685E-2</v>
      </c>
      <c r="N159" s="6">
        <v>70.122200000000007</v>
      </c>
      <c r="O159" s="6">
        <v>8</v>
      </c>
      <c r="P159" s="6">
        <v>4719.8428000000004</v>
      </c>
      <c r="Q159" s="7">
        <v>1</v>
      </c>
      <c r="R159" s="12">
        <f t="shared" si="14"/>
        <v>1.6949717054135784E-3</v>
      </c>
      <c r="S159" s="5"/>
      <c r="T159" s="6">
        <v>70.122</v>
      </c>
      <c r="U159" s="6">
        <v>7</v>
      </c>
      <c r="V159" s="6">
        <v>3932.8606</v>
      </c>
      <c r="W159" s="7">
        <v>1</v>
      </c>
      <c r="X159" s="12">
        <f t="shared" si="15"/>
        <v>1.7798749337822957E-3</v>
      </c>
      <c r="AA159" s="9">
        <v>70.127099999999999</v>
      </c>
      <c r="AB159" s="9">
        <v>302</v>
      </c>
      <c r="AC159" s="9">
        <v>5463.1574000000001</v>
      </c>
      <c r="AD159" s="10">
        <v>1</v>
      </c>
      <c r="AE159" s="13">
        <f t="shared" si="16"/>
        <v>5.5279388435705692E-2</v>
      </c>
      <c r="AF159" s="8"/>
      <c r="AG159" s="9">
        <v>70.124600000000001</v>
      </c>
      <c r="AH159" s="9">
        <v>19</v>
      </c>
      <c r="AI159" s="9">
        <v>3407.7501999999999</v>
      </c>
      <c r="AJ159" s="10">
        <v>1</v>
      </c>
      <c r="AK159" s="13">
        <f t="shared" si="17"/>
        <v>5.5755260464807541E-3</v>
      </c>
    </row>
    <row r="160" spans="1:37" x14ac:dyDescent="0.4">
      <c r="A160" s="3">
        <v>70.138900000000007</v>
      </c>
      <c r="B160" s="3">
        <v>435</v>
      </c>
      <c r="C160" s="3">
        <v>6607.8999000000003</v>
      </c>
      <c r="D160" s="4">
        <v>1</v>
      </c>
      <c r="E160" s="11">
        <f t="shared" si="12"/>
        <v>6.5830295038216302E-2</v>
      </c>
      <c r="F160" s="2"/>
      <c r="G160" s="3">
        <v>70.138999999999996</v>
      </c>
      <c r="H160" s="3">
        <v>42</v>
      </c>
      <c r="I160" s="3">
        <v>6003.8158999999996</v>
      </c>
      <c r="J160" s="4">
        <v>1</v>
      </c>
      <c r="K160" s="11">
        <f t="shared" si="13"/>
        <v>6.9955509461907392E-3</v>
      </c>
      <c r="N160" s="6">
        <v>70.132199999999997</v>
      </c>
      <c r="O160" s="6">
        <v>13</v>
      </c>
      <c r="P160" s="6">
        <v>4720.9232000000002</v>
      </c>
      <c r="Q160" s="7">
        <v>1</v>
      </c>
      <c r="R160" s="12">
        <f t="shared" si="14"/>
        <v>2.7536986833422749E-3</v>
      </c>
      <c r="S160" s="5"/>
      <c r="T160" s="6">
        <v>70.132000000000005</v>
      </c>
      <c r="U160" s="6">
        <v>5</v>
      </c>
      <c r="V160" s="6">
        <v>3933.1280000000002</v>
      </c>
      <c r="W160" s="7">
        <v>1</v>
      </c>
      <c r="X160" s="12">
        <f t="shared" si="15"/>
        <v>1.2712528043836865E-3</v>
      </c>
      <c r="AA160" s="9">
        <v>70.137100000000004</v>
      </c>
      <c r="AB160" s="9">
        <v>306</v>
      </c>
      <c r="AC160" s="9">
        <v>5460.7475999999997</v>
      </c>
      <c r="AD160" s="10">
        <v>1</v>
      </c>
      <c r="AE160" s="13">
        <f t="shared" si="16"/>
        <v>5.6036283383615826E-2</v>
      </c>
      <c r="AF160" s="8"/>
      <c r="AG160" s="9">
        <v>70.134600000000006</v>
      </c>
      <c r="AH160" s="9">
        <v>30</v>
      </c>
      <c r="AI160" s="9">
        <v>3406.3744999999999</v>
      </c>
      <c r="AJ160" s="10">
        <v>1</v>
      </c>
      <c r="AK160" s="13">
        <f t="shared" si="17"/>
        <v>8.8070175490099524E-3</v>
      </c>
    </row>
    <row r="161" spans="1:37" x14ac:dyDescent="0.4">
      <c r="A161" s="3">
        <v>70.148899999999998</v>
      </c>
      <c r="B161" s="3">
        <v>444</v>
      </c>
      <c r="C161" s="3">
        <v>6607.2515000000003</v>
      </c>
      <c r="D161" s="4">
        <v>1</v>
      </c>
      <c r="E161" s="11">
        <f t="shared" si="12"/>
        <v>6.7198895032223302E-2</v>
      </c>
      <c r="F161" s="2"/>
      <c r="G161" s="3">
        <v>70.149000000000001</v>
      </c>
      <c r="H161" s="3">
        <v>62</v>
      </c>
      <c r="I161" s="3">
        <v>6003.0551999999998</v>
      </c>
      <c r="J161" s="4">
        <v>1</v>
      </c>
      <c r="K161" s="11">
        <f t="shared" si="13"/>
        <v>1.0328074277911022E-2</v>
      </c>
      <c r="N161" s="6">
        <v>70.142200000000003</v>
      </c>
      <c r="O161" s="6">
        <v>8</v>
      </c>
      <c r="P161" s="6">
        <v>4722.6049000000003</v>
      </c>
      <c r="Q161" s="7">
        <v>1</v>
      </c>
      <c r="R161" s="12">
        <f t="shared" si="14"/>
        <v>1.6939803708754038E-3</v>
      </c>
      <c r="S161" s="5"/>
      <c r="T161" s="6">
        <v>70.141999999999996</v>
      </c>
      <c r="U161" s="6">
        <v>6</v>
      </c>
      <c r="V161" s="6">
        <v>3931.7123000000001</v>
      </c>
      <c r="W161" s="7">
        <v>1</v>
      </c>
      <c r="X161" s="12">
        <f t="shared" si="15"/>
        <v>1.5260526564977808E-3</v>
      </c>
      <c r="AA161" s="9">
        <v>70.147099999999995</v>
      </c>
      <c r="AB161" s="9">
        <v>268</v>
      </c>
      <c r="AC161" s="9">
        <v>5462.9790000000003</v>
      </c>
      <c r="AD161" s="10">
        <v>1</v>
      </c>
      <c r="AE161" s="13">
        <f t="shared" si="16"/>
        <v>4.9057483105829254E-2</v>
      </c>
      <c r="AF161" s="8"/>
      <c r="AG161" s="9">
        <v>70.144599999999997</v>
      </c>
      <c r="AH161" s="9">
        <v>18</v>
      </c>
      <c r="AI161" s="9">
        <v>3406.36</v>
      </c>
      <c r="AJ161" s="10">
        <v>1</v>
      </c>
      <c r="AK161" s="13">
        <f t="shared" si="17"/>
        <v>5.284233022933571E-3</v>
      </c>
    </row>
    <row r="162" spans="1:37" x14ac:dyDescent="0.4">
      <c r="A162" s="3">
        <v>70.158900000000003</v>
      </c>
      <c r="B162" s="3">
        <v>419</v>
      </c>
      <c r="C162" s="3">
        <v>6613.317</v>
      </c>
      <c r="D162" s="4">
        <v>1</v>
      </c>
      <c r="E162" s="11">
        <f t="shared" si="12"/>
        <v>6.3357011315199316E-2</v>
      </c>
      <c r="F162" s="2"/>
      <c r="G162" s="3">
        <v>70.159000000000006</v>
      </c>
      <c r="H162" s="3">
        <v>46</v>
      </c>
      <c r="I162" s="3">
        <v>6000.7034999999996</v>
      </c>
      <c r="J162" s="4">
        <v>1</v>
      </c>
      <c r="K162" s="11">
        <f t="shared" si="13"/>
        <v>7.665767855385623E-3</v>
      </c>
      <c r="N162" s="6">
        <v>70.152199999999993</v>
      </c>
      <c r="O162" s="6">
        <v>6</v>
      </c>
      <c r="P162" s="6">
        <v>4718.8917000000001</v>
      </c>
      <c r="Q162" s="7">
        <v>1</v>
      </c>
      <c r="R162" s="12">
        <f t="shared" si="14"/>
        <v>1.2714849972081368E-3</v>
      </c>
      <c r="S162" s="5"/>
      <c r="T162" s="6">
        <v>70.152000000000001</v>
      </c>
      <c r="U162" s="6">
        <v>5</v>
      </c>
      <c r="V162" s="6">
        <v>3931.6430999999998</v>
      </c>
      <c r="W162" s="7">
        <v>1</v>
      </c>
      <c r="X162" s="12">
        <f t="shared" si="15"/>
        <v>1.2717329301838206E-3</v>
      </c>
      <c r="AA162" s="9">
        <v>70.1571</v>
      </c>
      <c r="AB162" s="9">
        <v>264</v>
      </c>
      <c r="AC162" s="9">
        <v>5462.1714000000002</v>
      </c>
      <c r="AD162" s="10">
        <v>1</v>
      </c>
      <c r="AE162" s="13">
        <f t="shared" si="16"/>
        <v>4.8332426917251259E-2</v>
      </c>
      <c r="AF162" s="8"/>
      <c r="AG162" s="9">
        <v>70.154600000000002</v>
      </c>
      <c r="AH162" s="9">
        <v>18</v>
      </c>
      <c r="AI162" s="9">
        <v>3404.7134000000001</v>
      </c>
      <c r="AJ162" s="10">
        <v>1</v>
      </c>
      <c r="AK162" s="13">
        <f t="shared" si="17"/>
        <v>5.2867886031170786E-3</v>
      </c>
    </row>
    <row r="163" spans="1:37" x14ac:dyDescent="0.4">
      <c r="A163" s="3">
        <v>70.168899999999994</v>
      </c>
      <c r="B163" s="3">
        <v>370</v>
      </c>
      <c r="C163" s="3">
        <v>6612.3602000000001</v>
      </c>
      <c r="D163" s="4">
        <v>1</v>
      </c>
      <c r="E163" s="11">
        <f t="shared" si="12"/>
        <v>5.5955814385308292E-2</v>
      </c>
      <c r="F163" s="2"/>
      <c r="G163" s="3">
        <v>70.168999999999997</v>
      </c>
      <c r="H163" s="3">
        <v>33</v>
      </c>
      <c r="I163" s="3">
        <v>5999.4261999999999</v>
      </c>
      <c r="J163" s="4">
        <v>1</v>
      </c>
      <c r="K163" s="11">
        <f t="shared" si="13"/>
        <v>5.5005260336396834E-3</v>
      </c>
      <c r="N163" s="6">
        <v>70.162199999999999</v>
      </c>
      <c r="O163" s="6">
        <v>8</v>
      </c>
      <c r="P163" s="6">
        <v>4714.7564000000002</v>
      </c>
      <c r="Q163" s="7">
        <v>1</v>
      </c>
      <c r="R163" s="12">
        <f t="shared" si="14"/>
        <v>1.6968002843158556E-3</v>
      </c>
      <c r="S163" s="5"/>
      <c r="T163" s="6">
        <v>70.162000000000006</v>
      </c>
      <c r="U163" s="6">
        <v>4</v>
      </c>
      <c r="V163" s="6">
        <v>3928.4319999999998</v>
      </c>
      <c r="W163" s="7">
        <v>1</v>
      </c>
      <c r="X163" s="12">
        <f t="shared" si="15"/>
        <v>1.0182179556627174E-3</v>
      </c>
      <c r="AA163" s="9">
        <v>70.167100000000005</v>
      </c>
      <c r="AB163" s="9">
        <v>244</v>
      </c>
      <c r="AC163" s="9">
        <v>5459.7417999999998</v>
      </c>
      <c r="AD163" s="10">
        <v>1</v>
      </c>
      <c r="AE163" s="13">
        <f t="shared" si="16"/>
        <v>4.4690758086765203E-2</v>
      </c>
      <c r="AF163" s="8"/>
      <c r="AG163" s="9">
        <v>70.164599999999993</v>
      </c>
      <c r="AH163" s="9">
        <v>13</v>
      </c>
      <c r="AI163" s="9">
        <v>3406.6305000000002</v>
      </c>
      <c r="AJ163" s="10">
        <v>1</v>
      </c>
      <c r="AK163" s="13">
        <f t="shared" si="17"/>
        <v>3.8160874799893912E-3</v>
      </c>
    </row>
    <row r="164" spans="1:37" x14ac:dyDescent="0.4">
      <c r="A164" s="3">
        <v>70.178899999999999</v>
      </c>
      <c r="B164" s="3">
        <v>404</v>
      </c>
      <c r="C164" s="3">
        <v>6609.0042000000003</v>
      </c>
      <c r="D164" s="4">
        <v>1</v>
      </c>
      <c r="E164" s="11">
        <f t="shared" si="12"/>
        <v>6.1128724959805592E-2</v>
      </c>
      <c r="F164" s="2"/>
      <c r="G164" s="3">
        <v>70.179000000000002</v>
      </c>
      <c r="H164" s="3">
        <v>26</v>
      </c>
      <c r="I164" s="3">
        <v>5997.7457000000004</v>
      </c>
      <c r="J164" s="4">
        <v>1</v>
      </c>
      <c r="K164" s="11">
        <f t="shared" si="13"/>
        <v>4.334962050825196E-3</v>
      </c>
      <c r="N164" s="6">
        <v>70.172200000000004</v>
      </c>
      <c r="O164" s="6">
        <v>7</v>
      </c>
      <c r="P164" s="6">
        <v>4713.0601999999999</v>
      </c>
      <c r="Q164" s="7">
        <v>1</v>
      </c>
      <c r="R164" s="12">
        <f t="shared" si="14"/>
        <v>1.4852345828300687E-3</v>
      </c>
      <c r="S164" s="5"/>
      <c r="T164" s="6">
        <v>70.171999999999997</v>
      </c>
      <c r="U164" s="6">
        <v>6</v>
      </c>
      <c r="V164" s="6">
        <v>3926.5367999999999</v>
      </c>
      <c r="W164" s="7">
        <v>1</v>
      </c>
      <c r="X164" s="12">
        <f t="shared" si="15"/>
        <v>1.5280641200153785E-3</v>
      </c>
      <c r="AA164" s="9">
        <v>70.177099999999996</v>
      </c>
      <c r="AB164" s="9">
        <v>262</v>
      </c>
      <c r="AC164" s="9">
        <v>5459.0834999999997</v>
      </c>
      <c r="AD164" s="10">
        <v>1</v>
      </c>
      <c r="AE164" s="13">
        <f t="shared" si="16"/>
        <v>4.7993404021022944E-2</v>
      </c>
      <c r="AF164" s="8"/>
      <c r="AG164" s="9">
        <v>70.174599999999998</v>
      </c>
      <c r="AH164" s="9">
        <v>19</v>
      </c>
      <c r="AI164" s="9">
        <v>3405.0951</v>
      </c>
      <c r="AJ164" s="10">
        <v>1</v>
      </c>
      <c r="AK164" s="13">
        <f t="shared" si="17"/>
        <v>5.579873525411963E-3</v>
      </c>
    </row>
    <row r="165" spans="1:37" x14ac:dyDescent="0.4">
      <c r="A165" s="3">
        <v>70.188900000000004</v>
      </c>
      <c r="B165" s="3">
        <v>398</v>
      </c>
      <c r="C165" s="3">
        <v>6606.3177999999998</v>
      </c>
      <c r="D165" s="4">
        <v>1</v>
      </c>
      <c r="E165" s="11">
        <f t="shared" si="12"/>
        <v>6.024536088772478E-2</v>
      </c>
      <c r="F165" s="2"/>
      <c r="G165" s="3">
        <v>70.188999999999993</v>
      </c>
      <c r="H165" s="3">
        <v>40</v>
      </c>
      <c r="I165" s="3">
        <v>5996.5893999999998</v>
      </c>
      <c r="J165" s="4">
        <v>1</v>
      </c>
      <c r="K165" s="11">
        <f t="shared" si="13"/>
        <v>6.6704583775570826E-3</v>
      </c>
      <c r="N165" s="6">
        <v>70.182199999999995</v>
      </c>
      <c r="O165" s="6">
        <v>8</v>
      </c>
      <c r="P165" s="6">
        <v>4709.7516999999998</v>
      </c>
      <c r="Q165" s="7">
        <v>1</v>
      </c>
      <c r="R165" s="12">
        <f t="shared" si="14"/>
        <v>1.6986033467539276E-3</v>
      </c>
      <c r="S165" s="5"/>
      <c r="T165" s="6">
        <v>70.182000000000002</v>
      </c>
      <c r="U165" s="6">
        <v>11</v>
      </c>
      <c r="V165" s="6">
        <v>3925.3202000000001</v>
      </c>
      <c r="W165" s="7">
        <v>1</v>
      </c>
      <c r="X165" s="12">
        <f t="shared" si="15"/>
        <v>2.8023191585746302E-3</v>
      </c>
      <c r="AA165" s="9">
        <v>70.187100000000001</v>
      </c>
      <c r="AB165" s="9">
        <v>232</v>
      </c>
      <c r="AC165" s="9">
        <v>5456.058</v>
      </c>
      <c r="AD165" s="10">
        <v>1</v>
      </c>
      <c r="AE165" s="13">
        <f t="shared" si="16"/>
        <v>4.2521542109706309E-2</v>
      </c>
      <c r="AF165" s="8"/>
      <c r="AG165" s="9">
        <v>70.184600000000003</v>
      </c>
      <c r="AH165" s="9">
        <v>18</v>
      </c>
      <c r="AI165" s="9">
        <v>3405.0805999999998</v>
      </c>
      <c r="AJ165" s="10">
        <v>1</v>
      </c>
      <c r="AK165" s="13">
        <f t="shared" si="17"/>
        <v>5.2862184818767586E-3</v>
      </c>
    </row>
    <row r="166" spans="1:37" x14ac:dyDescent="0.4">
      <c r="A166" s="3">
        <v>70.198899999999995</v>
      </c>
      <c r="B166" s="3">
        <v>345</v>
      </c>
      <c r="C166" s="3">
        <v>6607.5306</v>
      </c>
      <c r="D166" s="4">
        <v>1</v>
      </c>
      <c r="E166" s="11">
        <f t="shared" si="12"/>
        <v>5.2213152066219716E-2</v>
      </c>
      <c r="F166" s="2"/>
      <c r="G166" s="3">
        <v>70.198999999999998</v>
      </c>
      <c r="H166" s="3">
        <v>28</v>
      </c>
      <c r="I166" s="3">
        <v>5993.8823000000002</v>
      </c>
      <c r="J166" s="4">
        <v>1</v>
      </c>
      <c r="K166" s="11">
        <f t="shared" si="13"/>
        <v>4.6714297342809012E-3</v>
      </c>
      <c r="N166" s="6">
        <v>70.1922</v>
      </c>
      <c r="O166" s="6">
        <v>8</v>
      </c>
      <c r="P166" s="6">
        <v>4708.5281000000004</v>
      </c>
      <c r="Q166" s="7">
        <v>1</v>
      </c>
      <c r="R166" s="12">
        <f t="shared" si="14"/>
        <v>1.6990447609307035E-3</v>
      </c>
      <c r="S166" s="5"/>
      <c r="T166" s="6">
        <v>70.191999999999993</v>
      </c>
      <c r="U166" s="6">
        <v>7</v>
      </c>
      <c r="V166" s="6">
        <v>3923.5942</v>
      </c>
      <c r="W166" s="7">
        <v>1</v>
      </c>
      <c r="X166" s="12">
        <f t="shared" si="15"/>
        <v>1.7840784859963347E-3</v>
      </c>
      <c r="AA166" s="9">
        <v>70.197100000000006</v>
      </c>
      <c r="AB166" s="9">
        <v>226</v>
      </c>
      <c r="AC166" s="9">
        <v>5454.7509</v>
      </c>
      <c r="AD166" s="10">
        <v>1</v>
      </c>
      <c r="AE166" s="13">
        <f t="shared" si="16"/>
        <v>4.1431772805610612E-2</v>
      </c>
      <c r="AF166" s="8"/>
      <c r="AG166" s="9">
        <v>70.194599999999994</v>
      </c>
      <c r="AH166" s="9">
        <v>21</v>
      </c>
      <c r="AI166" s="9">
        <v>3402.57</v>
      </c>
      <c r="AJ166" s="10">
        <v>1</v>
      </c>
      <c r="AK166" s="13">
        <f t="shared" si="17"/>
        <v>6.1718054294254048E-3</v>
      </c>
    </row>
    <row r="167" spans="1:37" x14ac:dyDescent="0.4">
      <c r="A167" s="3">
        <v>70.2089</v>
      </c>
      <c r="B167" s="3">
        <v>344</v>
      </c>
      <c r="C167" s="3">
        <v>6605.8856999999998</v>
      </c>
      <c r="D167" s="4">
        <v>1</v>
      </c>
      <c r="E167" s="11">
        <f t="shared" si="12"/>
        <v>5.2074773258641155E-2</v>
      </c>
      <c r="F167" s="2"/>
      <c r="G167" s="3">
        <v>70.209000000000003</v>
      </c>
      <c r="H167" s="3">
        <v>25</v>
      </c>
      <c r="I167" s="3">
        <v>5993.4036999999998</v>
      </c>
      <c r="J167" s="4">
        <v>1</v>
      </c>
      <c r="K167" s="11">
        <f t="shared" si="13"/>
        <v>4.1712524721136341E-3</v>
      </c>
      <c r="N167" s="6">
        <v>70.202200000000005</v>
      </c>
      <c r="O167" s="6">
        <v>20</v>
      </c>
      <c r="P167" s="6">
        <v>4706.8951999999999</v>
      </c>
      <c r="Q167" s="7">
        <v>1</v>
      </c>
      <c r="R167" s="12">
        <f t="shared" si="14"/>
        <v>4.2490854693344356E-3</v>
      </c>
      <c r="S167" s="5"/>
      <c r="T167" s="6">
        <v>70.201999999999998</v>
      </c>
      <c r="U167" s="6">
        <v>4</v>
      </c>
      <c r="V167" s="6">
        <v>3924.2851999999998</v>
      </c>
      <c r="W167" s="7">
        <v>1</v>
      </c>
      <c r="X167" s="12">
        <f t="shared" si="15"/>
        <v>1.0192939086078657E-3</v>
      </c>
      <c r="AA167" s="9">
        <v>70.207099999999997</v>
      </c>
      <c r="AB167" s="9">
        <v>214</v>
      </c>
      <c r="AC167" s="9">
        <v>5451.0654999999997</v>
      </c>
      <c r="AD167" s="10">
        <v>1</v>
      </c>
      <c r="AE167" s="13">
        <f t="shared" si="16"/>
        <v>3.925837985252608E-2</v>
      </c>
      <c r="AF167" s="8"/>
      <c r="AG167" s="9">
        <v>70.204599999999999</v>
      </c>
      <c r="AH167" s="9">
        <v>16</v>
      </c>
      <c r="AI167" s="9">
        <v>3402.5731000000001</v>
      </c>
      <c r="AJ167" s="10">
        <v>1</v>
      </c>
      <c r="AK167" s="13">
        <f t="shared" si="17"/>
        <v>4.7023236620544612E-3</v>
      </c>
    </row>
    <row r="168" spans="1:37" x14ac:dyDescent="0.4">
      <c r="A168" s="3">
        <v>70.218900000000005</v>
      </c>
      <c r="B168" s="3">
        <v>345</v>
      </c>
      <c r="C168" s="3">
        <v>6609.0300999999999</v>
      </c>
      <c r="D168" s="4">
        <v>1</v>
      </c>
      <c r="E168" s="11">
        <f t="shared" si="12"/>
        <v>5.2201305604584858E-2</v>
      </c>
      <c r="F168" s="2"/>
      <c r="G168" s="3">
        <v>70.218999999999994</v>
      </c>
      <c r="H168" s="3">
        <v>24</v>
      </c>
      <c r="I168" s="3">
        <v>5994.9088000000002</v>
      </c>
      <c r="J168" s="4">
        <v>1</v>
      </c>
      <c r="K168" s="11">
        <f t="shared" si="13"/>
        <v>4.0033970158144857E-3</v>
      </c>
      <c r="N168" s="6">
        <v>70.212199999999996</v>
      </c>
      <c r="O168" s="6">
        <v>8</v>
      </c>
      <c r="P168" s="6">
        <v>4704.4903000000004</v>
      </c>
      <c r="Q168" s="7">
        <v>1</v>
      </c>
      <c r="R168" s="12">
        <f t="shared" si="14"/>
        <v>1.7005030279263196E-3</v>
      </c>
      <c r="S168" s="5"/>
      <c r="T168" s="6">
        <v>70.212000000000003</v>
      </c>
      <c r="U168" s="6">
        <v>5</v>
      </c>
      <c r="V168" s="6">
        <v>3923.0264000000002</v>
      </c>
      <c r="W168" s="7">
        <v>1</v>
      </c>
      <c r="X168" s="12">
        <f t="shared" si="15"/>
        <v>1.2745262178199973E-3</v>
      </c>
      <c r="AA168" s="9">
        <v>70.217100000000002</v>
      </c>
      <c r="AB168" s="9">
        <v>221</v>
      </c>
      <c r="AC168" s="9">
        <v>5451.1849000000002</v>
      </c>
      <c r="AD168" s="10">
        <v>1</v>
      </c>
      <c r="AE168" s="13">
        <f t="shared" si="16"/>
        <v>4.0541644441376402E-2</v>
      </c>
      <c r="AF168" s="8"/>
      <c r="AG168" s="9">
        <v>70.214600000000004</v>
      </c>
      <c r="AH168" s="9">
        <v>12</v>
      </c>
      <c r="AI168" s="9">
        <v>3405.2235000000001</v>
      </c>
      <c r="AJ168" s="10">
        <v>1</v>
      </c>
      <c r="AK168" s="13">
        <f t="shared" si="17"/>
        <v>3.5239977640234188E-3</v>
      </c>
    </row>
    <row r="169" spans="1:37" x14ac:dyDescent="0.4">
      <c r="A169" s="3">
        <v>70.228899999999996</v>
      </c>
      <c r="B169" s="3">
        <v>323</v>
      </c>
      <c r="C169" s="3">
        <v>6606.8383999999996</v>
      </c>
      <c r="D169" s="4">
        <v>1</v>
      </c>
      <c r="E169" s="11">
        <f t="shared" si="12"/>
        <v>4.8888739279592495E-2</v>
      </c>
      <c r="F169" s="2"/>
      <c r="G169" s="3">
        <v>70.228999999999999</v>
      </c>
      <c r="H169" s="3">
        <v>25</v>
      </c>
      <c r="I169" s="3">
        <v>5997.5733</v>
      </c>
      <c r="J169" s="4">
        <v>1</v>
      </c>
      <c r="K169" s="11">
        <f t="shared" si="13"/>
        <v>4.1683525568582879E-3</v>
      </c>
      <c r="N169" s="6">
        <v>70.222200000000001</v>
      </c>
      <c r="O169" s="6">
        <v>4</v>
      </c>
      <c r="P169" s="6">
        <v>4703.5317999999997</v>
      </c>
      <c r="Q169" s="7">
        <v>1</v>
      </c>
      <c r="R169" s="12">
        <f t="shared" si="14"/>
        <v>8.5042478079982368E-4</v>
      </c>
      <c r="S169" s="5"/>
      <c r="T169" s="6">
        <v>70.221999999999994</v>
      </c>
      <c r="U169" s="6">
        <v>6</v>
      </c>
      <c r="V169" s="6">
        <v>3921.3244</v>
      </c>
      <c r="W169" s="7">
        <v>1</v>
      </c>
      <c r="X169" s="12">
        <f t="shared" si="15"/>
        <v>1.53009529127455E-3</v>
      </c>
      <c r="AA169" s="9">
        <v>70.227099999999993</v>
      </c>
      <c r="AB169" s="9">
        <v>203</v>
      </c>
      <c r="AC169" s="9">
        <v>5447.3401999999996</v>
      </c>
      <c r="AD169" s="10">
        <v>1</v>
      </c>
      <c r="AE169" s="13">
        <f t="shared" si="16"/>
        <v>3.7265893545624346E-2</v>
      </c>
      <c r="AF169" s="8"/>
      <c r="AG169" s="9">
        <v>70.224599999999995</v>
      </c>
      <c r="AH169" s="9">
        <v>16</v>
      </c>
      <c r="AI169" s="9">
        <v>3404.1336000000001</v>
      </c>
      <c r="AJ169" s="10">
        <v>1</v>
      </c>
      <c r="AK169" s="13">
        <f t="shared" si="17"/>
        <v>4.7001680545087892E-3</v>
      </c>
    </row>
    <row r="170" spans="1:37" x14ac:dyDescent="0.4">
      <c r="A170" s="3">
        <v>70.238900000000001</v>
      </c>
      <c r="B170" s="3">
        <v>327</v>
      </c>
      <c r="C170" s="3">
        <v>6609.2752</v>
      </c>
      <c r="D170" s="4">
        <v>1</v>
      </c>
      <c r="E170" s="11">
        <f t="shared" si="12"/>
        <v>4.9475924379726234E-2</v>
      </c>
      <c r="F170" s="2"/>
      <c r="G170" s="3">
        <v>70.239000000000004</v>
      </c>
      <c r="H170" s="3">
        <v>18</v>
      </c>
      <c r="I170" s="3">
        <v>5999.5950000000003</v>
      </c>
      <c r="J170" s="4">
        <v>1</v>
      </c>
      <c r="K170" s="11">
        <f t="shared" si="13"/>
        <v>3.0002025136696728E-3</v>
      </c>
      <c r="N170" s="6">
        <v>70.232200000000006</v>
      </c>
      <c r="O170" s="6">
        <v>8</v>
      </c>
      <c r="P170" s="6">
        <v>4704.4790999999996</v>
      </c>
      <c r="Q170" s="7">
        <v>1</v>
      </c>
      <c r="R170" s="12">
        <f t="shared" si="14"/>
        <v>1.7005070763307251E-3</v>
      </c>
      <c r="S170" s="5"/>
      <c r="T170" s="6">
        <v>70.231999999999999</v>
      </c>
      <c r="U170" s="6">
        <v>6</v>
      </c>
      <c r="V170" s="6">
        <v>3902.2226999999998</v>
      </c>
      <c r="W170" s="7">
        <v>1</v>
      </c>
      <c r="X170" s="12">
        <f t="shared" si="15"/>
        <v>1.5375852331544276E-3</v>
      </c>
      <c r="AA170" s="9">
        <v>70.237099999999998</v>
      </c>
      <c r="AB170" s="9">
        <v>193</v>
      </c>
      <c r="AC170" s="9">
        <v>5444.3833000000004</v>
      </c>
      <c r="AD170" s="10">
        <v>1</v>
      </c>
      <c r="AE170" s="13">
        <f t="shared" si="16"/>
        <v>3.5449377710052118E-2</v>
      </c>
      <c r="AF170" s="8"/>
      <c r="AG170" s="9">
        <v>70.2346</v>
      </c>
      <c r="AH170" s="9">
        <v>8</v>
      </c>
      <c r="AI170" s="9">
        <v>3404.1486</v>
      </c>
      <c r="AJ170" s="10">
        <v>1</v>
      </c>
      <c r="AK170" s="13">
        <f t="shared" si="17"/>
        <v>2.350073671872021E-3</v>
      </c>
    </row>
    <row r="171" spans="1:37" x14ac:dyDescent="0.4">
      <c r="A171" s="3">
        <v>70.248900000000006</v>
      </c>
      <c r="B171" s="3">
        <v>314</v>
      </c>
      <c r="C171" s="3">
        <v>6605.9061000000002</v>
      </c>
      <c r="D171" s="4">
        <v>1</v>
      </c>
      <c r="E171" s="11">
        <f t="shared" si="12"/>
        <v>4.7533221824028048E-2</v>
      </c>
      <c r="F171" s="2"/>
      <c r="G171" s="3">
        <v>70.248999999999995</v>
      </c>
      <c r="H171" s="3">
        <v>19</v>
      </c>
      <c r="I171" s="3">
        <v>6001.1212999999998</v>
      </c>
      <c r="J171" s="4">
        <v>1</v>
      </c>
      <c r="K171" s="11">
        <f t="shared" si="13"/>
        <v>3.1660749800208172E-3</v>
      </c>
      <c r="N171" s="6">
        <v>70.242199999999997</v>
      </c>
      <c r="O171" s="6">
        <v>5</v>
      </c>
      <c r="P171" s="6">
        <v>4705.6833999999999</v>
      </c>
      <c r="Q171" s="7">
        <v>1</v>
      </c>
      <c r="R171" s="12">
        <f t="shared" si="14"/>
        <v>1.0625449217429291E-3</v>
      </c>
      <c r="S171" s="5"/>
      <c r="T171" s="6">
        <v>70.242000000000004</v>
      </c>
      <c r="U171" s="6">
        <v>0</v>
      </c>
      <c r="V171" s="6">
        <v>3901.7046999999998</v>
      </c>
      <c r="W171" s="7">
        <v>1</v>
      </c>
      <c r="X171" s="12">
        <f t="shared" si="15"/>
        <v>0</v>
      </c>
      <c r="AA171" s="9">
        <v>70.247100000000003</v>
      </c>
      <c r="AB171" s="9">
        <v>157</v>
      </c>
      <c r="AC171" s="9">
        <v>5445.8342000000002</v>
      </c>
      <c r="AD171" s="10">
        <v>1</v>
      </c>
      <c r="AE171" s="13">
        <f t="shared" si="16"/>
        <v>2.8829375672142204E-2</v>
      </c>
      <c r="AF171" s="8"/>
      <c r="AG171" s="9">
        <v>70.244600000000005</v>
      </c>
      <c r="AH171" s="9">
        <v>12</v>
      </c>
      <c r="AI171" s="9">
        <v>3404.2923000000001</v>
      </c>
      <c r="AJ171" s="10">
        <v>1</v>
      </c>
      <c r="AK171" s="13">
        <f t="shared" si="17"/>
        <v>3.5249617079003469E-3</v>
      </c>
    </row>
    <row r="172" spans="1:37" x14ac:dyDescent="0.4">
      <c r="A172" s="3">
        <v>70.258899999999997</v>
      </c>
      <c r="B172" s="3">
        <v>297</v>
      </c>
      <c r="C172" s="3">
        <v>6606.4310999999998</v>
      </c>
      <c r="D172" s="4">
        <v>1</v>
      </c>
      <c r="E172" s="11">
        <f t="shared" si="12"/>
        <v>4.4956194275605176E-2</v>
      </c>
      <c r="F172" s="2"/>
      <c r="G172" s="3">
        <v>70.259</v>
      </c>
      <c r="H172" s="3">
        <v>21</v>
      </c>
      <c r="I172" s="3">
        <v>6001.5106999999998</v>
      </c>
      <c r="J172" s="4">
        <v>1</v>
      </c>
      <c r="K172" s="11">
        <f t="shared" si="13"/>
        <v>3.4991189801594456E-3</v>
      </c>
      <c r="N172" s="6">
        <v>70.252200000000002</v>
      </c>
      <c r="O172" s="6">
        <v>6</v>
      </c>
      <c r="P172" s="6">
        <v>4705.0513000000001</v>
      </c>
      <c r="Q172" s="7">
        <v>1</v>
      </c>
      <c r="R172" s="12">
        <f t="shared" si="14"/>
        <v>1.2752252031768495E-3</v>
      </c>
      <c r="S172" s="5"/>
      <c r="T172" s="6">
        <v>70.251999999999995</v>
      </c>
      <c r="U172" s="6">
        <v>6</v>
      </c>
      <c r="V172" s="6">
        <v>3922.5497999999998</v>
      </c>
      <c r="W172" s="7">
        <v>1</v>
      </c>
      <c r="X172" s="12">
        <f t="shared" si="15"/>
        <v>1.5296172912833382E-3</v>
      </c>
      <c r="AA172" s="9">
        <v>70.257099999999994</v>
      </c>
      <c r="AB172" s="9">
        <v>182</v>
      </c>
      <c r="AC172" s="9">
        <v>5445.0086000000001</v>
      </c>
      <c r="AD172" s="10">
        <v>1</v>
      </c>
      <c r="AE172" s="13">
        <f t="shared" si="16"/>
        <v>3.3425107905247387E-2</v>
      </c>
      <c r="AF172" s="8"/>
      <c r="AG172" s="9">
        <v>70.254599999999996</v>
      </c>
      <c r="AH172" s="9">
        <v>8</v>
      </c>
      <c r="AI172" s="9">
        <v>3402.5336000000002</v>
      </c>
      <c r="AJ172" s="10">
        <v>1</v>
      </c>
      <c r="AK172" s="13">
        <f t="shared" si="17"/>
        <v>2.3511891256562463E-3</v>
      </c>
    </row>
    <row r="173" spans="1:37" x14ac:dyDescent="0.4">
      <c r="A173" s="3">
        <v>70.268900000000002</v>
      </c>
      <c r="B173" s="3">
        <v>275</v>
      </c>
      <c r="C173" s="3">
        <v>6603.6862000000001</v>
      </c>
      <c r="D173" s="4">
        <v>1</v>
      </c>
      <c r="E173" s="11">
        <f t="shared" si="12"/>
        <v>4.1643408192230578E-2</v>
      </c>
      <c r="F173" s="2"/>
      <c r="G173" s="3">
        <v>70.269000000000005</v>
      </c>
      <c r="H173" s="3">
        <v>13</v>
      </c>
      <c r="I173" s="3">
        <v>5999.6273000000001</v>
      </c>
      <c r="J173" s="4">
        <v>1</v>
      </c>
      <c r="K173" s="11">
        <f t="shared" si="13"/>
        <v>2.1668012611383378E-3</v>
      </c>
      <c r="N173" s="6">
        <v>70.262200000000007</v>
      </c>
      <c r="O173" s="6">
        <v>2</v>
      </c>
      <c r="P173" s="6">
        <v>4707.0574999999999</v>
      </c>
      <c r="Q173" s="7">
        <v>1</v>
      </c>
      <c r="R173" s="12">
        <f t="shared" si="14"/>
        <v>4.2489389602740139E-4</v>
      </c>
      <c r="S173" s="5"/>
      <c r="T173" s="6">
        <v>70.262</v>
      </c>
      <c r="U173" s="6">
        <v>2</v>
      </c>
      <c r="V173" s="6">
        <v>3922.2719999999999</v>
      </c>
      <c r="W173" s="7">
        <v>1</v>
      </c>
      <c r="X173" s="12">
        <f t="shared" si="15"/>
        <v>5.0990854280376276E-4</v>
      </c>
      <c r="AA173" s="9">
        <v>70.267099999999999</v>
      </c>
      <c r="AB173" s="9">
        <v>184</v>
      </c>
      <c r="AC173" s="9">
        <v>5441.2012000000004</v>
      </c>
      <c r="AD173" s="10">
        <v>1</v>
      </c>
      <c r="AE173" s="13">
        <f t="shared" si="16"/>
        <v>3.3816062526781765E-2</v>
      </c>
      <c r="AF173" s="8"/>
      <c r="AG173" s="9">
        <v>70.264600000000002</v>
      </c>
      <c r="AH173" s="9">
        <v>15</v>
      </c>
      <c r="AI173" s="9">
        <v>3403.0979000000002</v>
      </c>
      <c r="AJ173" s="10">
        <v>1</v>
      </c>
      <c r="AK173" s="13">
        <f t="shared" si="17"/>
        <v>4.4077485987106041E-3</v>
      </c>
    </row>
    <row r="174" spans="1:37" x14ac:dyDescent="0.4">
      <c r="A174" s="3">
        <v>70.278899999999993</v>
      </c>
      <c r="B174" s="3">
        <v>275</v>
      </c>
      <c r="C174" s="3">
        <v>6604.2197999999999</v>
      </c>
      <c r="D174" s="4">
        <v>1</v>
      </c>
      <c r="E174" s="11">
        <f t="shared" si="12"/>
        <v>4.1640043537012505E-2</v>
      </c>
      <c r="F174" s="2"/>
      <c r="G174" s="3">
        <v>70.278999999999996</v>
      </c>
      <c r="H174" s="3">
        <v>16</v>
      </c>
      <c r="I174" s="3">
        <v>5997.9574000000002</v>
      </c>
      <c r="J174" s="4">
        <v>1</v>
      </c>
      <c r="K174" s="11">
        <f t="shared" si="13"/>
        <v>2.6675747980470818E-3</v>
      </c>
      <c r="N174" s="6">
        <v>70.272199999999998</v>
      </c>
      <c r="O174" s="6">
        <v>2</v>
      </c>
      <c r="P174" s="6">
        <v>4705.7475000000004</v>
      </c>
      <c r="Q174" s="7">
        <v>1</v>
      </c>
      <c r="R174" s="12">
        <f t="shared" si="14"/>
        <v>4.2501217925526173E-4</v>
      </c>
      <c r="S174" s="5"/>
      <c r="T174" s="6">
        <v>70.272000000000006</v>
      </c>
      <c r="U174" s="6">
        <v>4</v>
      </c>
      <c r="V174" s="6">
        <v>3921.9295000000002</v>
      </c>
      <c r="W174" s="7">
        <v>1</v>
      </c>
      <c r="X174" s="12">
        <f t="shared" si="15"/>
        <v>1.0199061456867085E-3</v>
      </c>
      <c r="AA174" s="9">
        <v>70.277100000000004</v>
      </c>
      <c r="AB174" s="9">
        <v>160</v>
      </c>
      <c r="AC174" s="9">
        <v>5439.5236000000004</v>
      </c>
      <c r="AD174" s="10">
        <v>1</v>
      </c>
      <c r="AE174" s="13">
        <f t="shared" si="16"/>
        <v>2.941434062350607E-2</v>
      </c>
      <c r="AF174" s="8"/>
      <c r="AG174" s="9">
        <v>70.274600000000007</v>
      </c>
      <c r="AH174" s="9">
        <v>6</v>
      </c>
      <c r="AI174" s="9">
        <v>3402.4335999999998</v>
      </c>
      <c r="AJ174" s="10">
        <v>1</v>
      </c>
      <c r="AK174" s="13">
        <f t="shared" si="17"/>
        <v>1.7634436716119897E-3</v>
      </c>
    </row>
    <row r="175" spans="1:37" x14ac:dyDescent="0.4">
      <c r="A175" s="3">
        <v>70.288899999999998</v>
      </c>
      <c r="B175" s="3">
        <v>259</v>
      </c>
      <c r="C175" s="3">
        <v>6604.6535000000003</v>
      </c>
      <c r="D175" s="4">
        <v>1</v>
      </c>
      <c r="E175" s="11">
        <f t="shared" si="12"/>
        <v>3.921477485533495E-2</v>
      </c>
      <c r="F175" s="2"/>
      <c r="G175" s="3">
        <v>70.289000000000001</v>
      </c>
      <c r="H175" s="3">
        <v>38</v>
      </c>
      <c r="I175" s="3">
        <v>5996.9551000000001</v>
      </c>
      <c r="J175" s="4">
        <v>1</v>
      </c>
      <c r="K175" s="11">
        <f t="shared" si="13"/>
        <v>6.3365490263550582E-3</v>
      </c>
      <c r="N175" s="6">
        <v>70.282200000000003</v>
      </c>
      <c r="O175" s="6">
        <v>6</v>
      </c>
      <c r="P175" s="6">
        <v>4704.5048999999999</v>
      </c>
      <c r="Q175" s="7">
        <v>1</v>
      </c>
      <c r="R175" s="12">
        <f t="shared" si="14"/>
        <v>1.2753733129282107E-3</v>
      </c>
      <c r="S175" s="5"/>
      <c r="T175" s="6">
        <v>70.281999999999996</v>
      </c>
      <c r="U175" s="6">
        <v>2</v>
      </c>
      <c r="V175" s="6">
        <v>3920.6156999999998</v>
      </c>
      <c r="W175" s="7">
        <v>1</v>
      </c>
      <c r="X175" s="12">
        <f t="shared" si="15"/>
        <v>5.1012395833644191E-4</v>
      </c>
      <c r="AA175" s="9">
        <v>70.287099999999995</v>
      </c>
      <c r="AB175" s="9">
        <v>152</v>
      </c>
      <c r="AC175" s="9">
        <v>5438.6862000000001</v>
      </c>
      <c r="AD175" s="10">
        <v>1</v>
      </c>
      <c r="AE175" s="13">
        <f t="shared" si="16"/>
        <v>2.79479261002409E-2</v>
      </c>
      <c r="AF175" s="8"/>
      <c r="AG175" s="9">
        <v>70.284599999999998</v>
      </c>
      <c r="AH175" s="9">
        <v>6</v>
      </c>
      <c r="AI175" s="9">
        <v>3402.1729999999998</v>
      </c>
      <c r="AJ175" s="10">
        <v>1</v>
      </c>
      <c r="AK175" s="13">
        <f t="shared" si="17"/>
        <v>1.7635787480530826E-3</v>
      </c>
    </row>
    <row r="176" spans="1:37" x14ac:dyDescent="0.4">
      <c r="A176" s="3">
        <v>70.298900000000003</v>
      </c>
      <c r="B176" s="3">
        <v>276</v>
      </c>
      <c r="C176" s="3">
        <v>6602.2906000000003</v>
      </c>
      <c r="D176" s="4">
        <v>1</v>
      </c>
      <c r="E176" s="11">
        <f t="shared" si="12"/>
        <v>4.1803673409952599E-2</v>
      </c>
      <c r="F176" s="2"/>
      <c r="G176" s="3">
        <v>70.299000000000007</v>
      </c>
      <c r="H176" s="3">
        <v>17</v>
      </c>
      <c r="I176" s="3">
        <v>5994.1265000000003</v>
      </c>
      <c r="J176" s="4">
        <v>1</v>
      </c>
      <c r="K176" s="11">
        <f t="shared" si="13"/>
        <v>2.8361096483365839E-3</v>
      </c>
      <c r="N176" s="6">
        <v>70.292199999999994</v>
      </c>
      <c r="O176" s="6">
        <v>4</v>
      </c>
      <c r="P176" s="6">
        <v>4701.7384000000002</v>
      </c>
      <c r="Q176" s="7">
        <v>1</v>
      </c>
      <c r="R176" s="12">
        <f t="shared" si="14"/>
        <v>8.5074916120386453E-4</v>
      </c>
      <c r="S176" s="5"/>
      <c r="T176" s="6">
        <v>70.292000000000002</v>
      </c>
      <c r="U176" s="6">
        <v>1</v>
      </c>
      <c r="V176" s="6">
        <v>3921.3065999999999</v>
      </c>
      <c r="W176" s="7">
        <v>1</v>
      </c>
      <c r="X176" s="12">
        <f t="shared" si="15"/>
        <v>2.5501703947352651E-4</v>
      </c>
      <c r="AA176" s="9">
        <v>70.2971</v>
      </c>
      <c r="AB176" s="9">
        <v>173</v>
      </c>
      <c r="AC176" s="9">
        <v>5434.3140999999996</v>
      </c>
      <c r="AD176" s="10">
        <v>1</v>
      </c>
      <c r="AE176" s="13">
        <f t="shared" si="16"/>
        <v>3.1834744333236097E-2</v>
      </c>
      <c r="AF176" s="8"/>
      <c r="AG176" s="9">
        <v>70.294600000000003</v>
      </c>
      <c r="AH176" s="9">
        <v>13</v>
      </c>
      <c r="AI176" s="9">
        <v>3403.4223000000002</v>
      </c>
      <c r="AJ176" s="10">
        <v>1</v>
      </c>
      <c r="AK176" s="13">
        <f t="shared" si="17"/>
        <v>3.8196846744525353E-3</v>
      </c>
    </row>
    <row r="177" spans="1:37" x14ac:dyDescent="0.4">
      <c r="A177" s="3">
        <v>70.308899999999994</v>
      </c>
      <c r="B177" s="3">
        <v>256</v>
      </c>
      <c r="C177" s="3">
        <v>6601.5964000000004</v>
      </c>
      <c r="D177" s="4">
        <v>1</v>
      </c>
      <c r="E177" s="11">
        <f t="shared" si="12"/>
        <v>3.877849909152277E-2</v>
      </c>
      <c r="F177" s="2"/>
      <c r="G177" s="3">
        <v>70.308999999999997</v>
      </c>
      <c r="H177" s="3">
        <v>12</v>
      </c>
      <c r="I177" s="3">
        <v>5995.5365000000002</v>
      </c>
      <c r="J177" s="4">
        <v>1</v>
      </c>
      <c r="K177" s="11">
        <f t="shared" si="13"/>
        <v>2.001488940981345E-3</v>
      </c>
      <c r="N177" s="6">
        <v>70.302199999999999</v>
      </c>
      <c r="O177" s="6">
        <v>13</v>
      </c>
      <c r="P177" s="6">
        <v>4703.7740000000003</v>
      </c>
      <c r="Q177" s="7">
        <v>1</v>
      </c>
      <c r="R177" s="12">
        <f t="shared" si="14"/>
        <v>2.7637382238177256E-3</v>
      </c>
      <c r="S177" s="5"/>
      <c r="T177" s="6">
        <v>70.302000000000007</v>
      </c>
      <c r="U177" s="6">
        <v>2</v>
      </c>
      <c r="V177" s="6">
        <v>3919.1215000000002</v>
      </c>
      <c r="W177" s="7">
        <v>1</v>
      </c>
      <c r="X177" s="12">
        <f t="shared" si="15"/>
        <v>5.1031844764190136E-4</v>
      </c>
      <c r="AA177" s="9">
        <v>70.307100000000005</v>
      </c>
      <c r="AB177" s="9">
        <v>156</v>
      </c>
      <c r="AC177" s="9">
        <v>5433.058</v>
      </c>
      <c r="AD177" s="10">
        <v>1</v>
      </c>
      <c r="AE177" s="13">
        <f t="shared" si="16"/>
        <v>2.8713111474237898E-2</v>
      </c>
      <c r="AF177" s="8"/>
      <c r="AG177" s="9">
        <v>70.304599999999994</v>
      </c>
      <c r="AH177" s="9">
        <v>8</v>
      </c>
      <c r="AI177" s="9">
        <v>3400.5745999999999</v>
      </c>
      <c r="AJ177" s="10">
        <v>1</v>
      </c>
      <c r="AK177" s="13">
        <f t="shared" si="17"/>
        <v>2.3525435966027623E-3</v>
      </c>
    </row>
    <row r="178" spans="1:37" x14ac:dyDescent="0.4">
      <c r="A178" s="3">
        <v>70.318899999999999</v>
      </c>
      <c r="B178" s="3">
        <v>255</v>
      </c>
      <c r="C178" s="3">
        <v>6600.3667999999998</v>
      </c>
      <c r="D178" s="4">
        <v>1</v>
      </c>
      <c r="E178" s="11">
        <f t="shared" si="12"/>
        <v>3.8634216510512721E-2</v>
      </c>
      <c r="F178" s="2"/>
      <c r="G178" s="3">
        <v>70.319000000000003</v>
      </c>
      <c r="H178" s="3">
        <v>14</v>
      </c>
      <c r="I178" s="3">
        <v>5993.2271000000001</v>
      </c>
      <c r="J178" s="4">
        <v>1</v>
      </c>
      <c r="K178" s="11">
        <f t="shared" si="13"/>
        <v>2.3359702154453648E-3</v>
      </c>
      <c r="N178" s="6">
        <v>70.312200000000004</v>
      </c>
      <c r="O178" s="6">
        <v>4</v>
      </c>
      <c r="P178" s="6">
        <v>4704.6571999999996</v>
      </c>
      <c r="Q178" s="7">
        <v>1</v>
      </c>
      <c r="R178" s="12">
        <f t="shared" si="14"/>
        <v>8.502213508775943E-4</v>
      </c>
      <c r="S178" s="5"/>
      <c r="T178" s="6">
        <v>70.311999999999998</v>
      </c>
      <c r="U178" s="6">
        <v>3</v>
      </c>
      <c r="V178" s="6">
        <v>3918.3017</v>
      </c>
      <c r="W178" s="7">
        <v>1</v>
      </c>
      <c r="X178" s="12">
        <f t="shared" si="15"/>
        <v>7.6563782722499391E-4</v>
      </c>
      <c r="AA178" s="9">
        <v>70.317099999999996</v>
      </c>
      <c r="AB178" s="9">
        <v>136</v>
      </c>
      <c r="AC178" s="9">
        <v>5430.2583999999997</v>
      </c>
      <c r="AD178" s="10">
        <v>1</v>
      </c>
      <c r="AE178" s="13">
        <f t="shared" si="16"/>
        <v>2.5044848694493065E-2</v>
      </c>
      <c r="AF178" s="8"/>
      <c r="AG178" s="9">
        <v>70.314599999999999</v>
      </c>
      <c r="AH178" s="9">
        <v>7</v>
      </c>
      <c r="AI178" s="9">
        <v>3398.2646</v>
      </c>
      <c r="AJ178" s="10">
        <v>1</v>
      </c>
      <c r="AK178" s="13">
        <f t="shared" si="17"/>
        <v>2.0598749138015914E-3</v>
      </c>
    </row>
    <row r="179" spans="1:37" x14ac:dyDescent="0.4">
      <c r="A179" s="3">
        <v>70.328900000000004</v>
      </c>
      <c r="B179" s="3">
        <v>247</v>
      </c>
      <c r="C179" s="3">
        <v>6597.6230999999998</v>
      </c>
      <c r="D179" s="4">
        <v>1</v>
      </c>
      <c r="E179" s="11">
        <f t="shared" si="12"/>
        <v>3.7437725110426513E-2</v>
      </c>
      <c r="F179" s="2"/>
      <c r="G179" s="3">
        <v>70.328999999999994</v>
      </c>
      <c r="H179" s="3">
        <v>17</v>
      </c>
      <c r="I179" s="3">
        <v>5992.2206999999999</v>
      </c>
      <c r="J179" s="4">
        <v>1</v>
      </c>
      <c r="K179" s="11">
        <f t="shared" si="13"/>
        <v>2.8370116608021465E-3</v>
      </c>
      <c r="N179" s="6">
        <v>70.322199999999995</v>
      </c>
      <c r="O179" s="6">
        <v>3</v>
      </c>
      <c r="P179" s="6">
        <v>4705.6836000000003</v>
      </c>
      <c r="Q179" s="7">
        <v>1</v>
      </c>
      <c r="R179" s="12">
        <f t="shared" si="14"/>
        <v>6.3752692594971742E-4</v>
      </c>
      <c r="S179" s="5"/>
      <c r="T179" s="6">
        <v>70.322000000000003</v>
      </c>
      <c r="U179" s="6">
        <v>0</v>
      </c>
      <c r="V179" s="6">
        <v>3918.2946000000002</v>
      </c>
      <c r="W179" s="7">
        <v>1</v>
      </c>
      <c r="X179" s="12">
        <f t="shared" si="15"/>
        <v>0</v>
      </c>
      <c r="AA179" s="9">
        <v>70.327100000000002</v>
      </c>
      <c r="AB179" s="9">
        <v>141</v>
      </c>
      <c r="AC179" s="9">
        <v>5429.1817000000001</v>
      </c>
      <c r="AD179" s="10">
        <v>1</v>
      </c>
      <c r="AE179" s="13">
        <f t="shared" si="16"/>
        <v>2.5970764618174411E-2</v>
      </c>
      <c r="AF179" s="8"/>
      <c r="AG179" s="9">
        <v>70.324600000000004</v>
      </c>
      <c r="AH179" s="9">
        <v>5</v>
      </c>
      <c r="AI179" s="9">
        <v>3398.6869999999999</v>
      </c>
      <c r="AJ179" s="10">
        <v>1</v>
      </c>
      <c r="AK179" s="13">
        <f t="shared" si="17"/>
        <v>1.4711563612653945E-3</v>
      </c>
    </row>
    <row r="180" spans="1:37" x14ac:dyDescent="0.4">
      <c r="A180" s="3">
        <v>70.338899999999995</v>
      </c>
      <c r="B180" s="3">
        <v>219</v>
      </c>
      <c r="C180" s="3">
        <v>6595.6286</v>
      </c>
      <c r="D180" s="4">
        <v>1</v>
      </c>
      <c r="E180" s="11">
        <f t="shared" si="12"/>
        <v>3.320381017208883E-2</v>
      </c>
      <c r="F180" s="2"/>
      <c r="G180" s="3">
        <v>70.338999999999999</v>
      </c>
      <c r="H180" s="3">
        <v>10</v>
      </c>
      <c r="I180" s="3">
        <v>5989.8060999999998</v>
      </c>
      <c r="J180" s="4">
        <v>1</v>
      </c>
      <c r="K180" s="11">
        <f t="shared" si="13"/>
        <v>1.6695031246503956E-3</v>
      </c>
      <c r="N180" s="6">
        <v>70.3322</v>
      </c>
      <c r="O180" s="6">
        <v>4</v>
      </c>
      <c r="P180" s="6">
        <v>4706.6541999999999</v>
      </c>
      <c r="Q180" s="7">
        <v>1</v>
      </c>
      <c r="R180" s="12">
        <f t="shared" si="14"/>
        <v>8.4986060798772941E-4</v>
      </c>
      <c r="S180" s="5"/>
      <c r="T180" s="6">
        <v>70.331999999999994</v>
      </c>
      <c r="U180" s="6">
        <v>2</v>
      </c>
      <c r="V180" s="6">
        <v>3917.2802000000001</v>
      </c>
      <c r="W180" s="7">
        <v>1</v>
      </c>
      <c r="X180" s="12">
        <f t="shared" si="15"/>
        <v>5.1055832054086917E-4</v>
      </c>
      <c r="AA180" s="9">
        <v>70.337100000000007</v>
      </c>
      <c r="AB180" s="9">
        <v>133</v>
      </c>
      <c r="AC180" s="9">
        <v>5431.4345000000003</v>
      </c>
      <c r="AD180" s="10">
        <v>1</v>
      </c>
      <c r="AE180" s="13">
        <f t="shared" si="16"/>
        <v>2.4487085317884252E-2</v>
      </c>
      <c r="AF180" s="8"/>
      <c r="AG180" s="9">
        <v>70.334599999999995</v>
      </c>
      <c r="AH180" s="9">
        <v>8</v>
      </c>
      <c r="AI180" s="9">
        <v>3401.2921000000001</v>
      </c>
      <c r="AJ180" s="10">
        <v>1</v>
      </c>
      <c r="AK180" s="13">
        <f t="shared" si="17"/>
        <v>2.3520473293075885E-3</v>
      </c>
    </row>
    <row r="181" spans="1:37" x14ac:dyDescent="0.4">
      <c r="A181" s="3">
        <v>70.3489</v>
      </c>
      <c r="B181" s="3">
        <v>208</v>
      </c>
      <c r="C181" s="3">
        <v>6595.2448000000004</v>
      </c>
      <c r="D181" s="4">
        <v>1</v>
      </c>
      <c r="E181" s="11">
        <f t="shared" si="12"/>
        <v>3.1537874075576386E-2</v>
      </c>
      <c r="F181" s="2"/>
      <c r="G181" s="3">
        <v>70.349000000000004</v>
      </c>
      <c r="H181" s="3">
        <v>9</v>
      </c>
      <c r="I181" s="3">
        <v>5989.7200999999995</v>
      </c>
      <c r="J181" s="4">
        <v>1</v>
      </c>
      <c r="K181" s="11">
        <f t="shared" si="13"/>
        <v>1.5025743857379915E-3</v>
      </c>
      <c r="N181" s="6">
        <v>70.342200000000005</v>
      </c>
      <c r="O181" s="6">
        <v>1</v>
      </c>
      <c r="P181" s="6">
        <v>4707.0294999999996</v>
      </c>
      <c r="Q181" s="7">
        <v>1</v>
      </c>
      <c r="R181" s="12">
        <f t="shared" si="14"/>
        <v>2.1244821176497834E-4</v>
      </c>
      <c r="S181" s="5"/>
      <c r="T181" s="6">
        <v>70.341999999999999</v>
      </c>
      <c r="U181" s="6">
        <v>1</v>
      </c>
      <c r="V181" s="6">
        <v>3915.4029999999998</v>
      </c>
      <c r="W181" s="7">
        <v>1</v>
      </c>
      <c r="X181" s="12">
        <f t="shared" si="15"/>
        <v>2.5540155125794206E-4</v>
      </c>
      <c r="AA181" s="9">
        <v>70.347099999999998</v>
      </c>
      <c r="AB181" s="9">
        <v>140</v>
      </c>
      <c r="AC181" s="9">
        <v>5433.5325999999995</v>
      </c>
      <c r="AD181" s="10">
        <v>1</v>
      </c>
      <c r="AE181" s="13">
        <f t="shared" si="16"/>
        <v>2.5765926204252464E-2</v>
      </c>
      <c r="AF181" s="8"/>
      <c r="AG181" s="9">
        <v>70.3446</v>
      </c>
      <c r="AH181" s="9">
        <v>7</v>
      </c>
      <c r="AI181" s="9">
        <v>3399.2071000000001</v>
      </c>
      <c r="AJ181" s="10">
        <v>1</v>
      </c>
      <c r="AK181" s="13">
        <f t="shared" si="17"/>
        <v>2.059303771164752E-3</v>
      </c>
    </row>
    <row r="182" spans="1:37" x14ac:dyDescent="0.4">
      <c r="A182" s="3">
        <v>70.358900000000006</v>
      </c>
      <c r="B182" s="3">
        <v>212</v>
      </c>
      <c r="C182" s="3">
        <v>6592.6216999999997</v>
      </c>
      <c r="D182" s="4">
        <v>1</v>
      </c>
      <c r="E182" s="11">
        <f t="shared" si="12"/>
        <v>3.2157161391499225E-2</v>
      </c>
      <c r="F182" s="2"/>
      <c r="G182" s="3">
        <v>70.358999999999995</v>
      </c>
      <c r="H182" s="3">
        <v>11</v>
      </c>
      <c r="I182" s="3">
        <v>5989.4589999999998</v>
      </c>
      <c r="J182" s="4">
        <v>1</v>
      </c>
      <c r="K182" s="11">
        <f t="shared" si="13"/>
        <v>1.8365598629191719E-3</v>
      </c>
      <c r="N182" s="6">
        <v>70.352199999999996</v>
      </c>
      <c r="O182" s="6">
        <v>4</v>
      </c>
      <c r="P182" s="6">
        <v>4710.1277</v>
      </c>
      <c r="Q182" s="7">
        <v>1</v>
      </c>
      <c r="R182" s="12">
        <f t="shared" si="14"/>
        <v>8.4923387533633111E-4</v>
      </c>
      <c r="S182" s="5"/>
      <c r="T182" s="6">
        <v>70.352000000000004</v>
      </c>
      <c r="U182" s="6">
        <v>1</v>
      </c>
      <c r="V182" s="6">
        <v>3917.0963999999999</v>
      </c>
      <c r="W182" s="7">
        <v>1</v>
      </c>
      <c r="X182" s="12">
        <f t="shared" si="15"/>
        <v>2.55291138609711E-4</v>
      </c>
      <c r="AA182" s="9">
        <v>70.357100000000003</v>
      </c>
      <c r="AB182" s="9">
        <v>115</v>
      </c>
      <c r="AC182" s="9">
        <v>5431.4018999999998</v>
      </c>
      <c r="AD182" s="10">
        <v>1</v>
      </c>
      <c r="AE182" s="13">
        <f t="shared" si="16"/>
        <v>2.1173170779352567E-2</v>
      </c>
      <c r="AF182" s="8"/>
      <c r="AG182" s="9">
        <v>70.354600000000005</v>
      </c>
      <c r="AH182" s="9">
        <v>5</v>
      </c>
      <c r="AI182" s="9">
        <v>3396.0940999999998</v>
      </c>
      <c r="AJ182" s="10">
        <v>1</v>
      </c>
      <c r="AK182" s="13">
        <f t="shared" si="17"/>
        <v>1.4722795814167812E-3</v>
      </c>
    </row>
    <row r="183" spans="1:37" x14ac:dyDescent="0.4">
      <c r="A183" s="3">
        <v>70.368899999999996</v>
      </c>
      <c r="B183" s="3">
        <v>193</v>
      </c>
      <c r="C183" s="3">
        <v>6590.7741999999998</v>
      </c>
      <c r="D183" s="4">
        <v>1</v>
      </c>
      <c r="E183" s="11">
        <f t="shared" si="12"/>
        <v>2.928335793995188E-2</v>
      </c>
      <c r="F183" s="2"/>
      <c r="G183" s="3">
        <v>70.369</v>
      </c>
      <c r="H183" s="3">
        <v>7</v>
      </c>
      <c r="I183" s="3">
        <v>5988.6003000000001</v>
      </c>
      <c r="J183" s="4">
        <v>1</v>
      </c>
      <c r="K183" s="11">
        <f t="shared" si="13"/>
        <v>1.1688874944617692E-3</v>
      </c>
      <c r="N183" s="6">
        <v>70.362200000000001</v>
      </c>
      <c r="O183" s="6">
        <v>23</v>
      </c>
      <c r="P183" s="6">
        <v>4710.1343999999999</v>
      </c>
      <c r="Q183" s="7">
        <v>1</v>
      </c>
      <c r="R183" s="12">
        <f t="shared" si="14"/>
        <v>4.8830878371538614E-3</v>
      </c>
      <c r="S183" s="5"/>
      <c r="T183" s="6">
        <v>70.361999999999995</v>
      </c>
      <c r="U183" s="6">
        <v>4</v>
      </c>
      <c r="V183" s="6">
        <v>3914.8742999999999</v>
      </c>
      <c r="W183" s="7">
        <v>1</v>
      </c>
      <c r="X183" s="12">
        <f t="shared" si="15"/>
        <v>1.0217441719648573E-3</v>
      </c>
      <c r="AA183" s="9">
        <v>70.367099999999994</v>
      </c>
      <c r="AB183" s="9">
        <v>115</v>
      </c>
      <c r="AC183" s="9">
        <v>5431.5681000000004</v>
      </c>
      <c r="AD183" s="10">
        <v>1</v>
      </c>
      <c r="AE183" s="13">
        <f t="shared" si="16"/>
        <v>2.1172522903652811E-2</v>
      </c>
      <c r="AF183" s="8"/>
      <c r="AG183" s="9">
        <v>70.364599999999996</v>
      </c>
      <c r="AH183" s="9">
        <v>6</v>
      </c>
      <c r="AI183" s="9">
        <v>3397.6109000000001</v>
      </c>
      <c r="AJ183" s="10">
        <v>1</v>
      </c>
      <c r="AK183" s="13">
        <f t="shared" si="17"/>
        <v>1.7659467715976541E-3</v>
      </c>
    </row>
    <row r="184" spans="1:37" x14ac:dyDescent="0.4">
      <c r="A184" s="3">
        <v>70.378900000000002</v>
      </c>
      <c r="B184" s="3">
        <v>213</v>
      </c>
      <c r="C184" s="3">
        <v>6588.6504000000004</v>
      </c>
      <c r="D184" s="4">
        <v>1</v>
      </c>
      <c r="E184" s="11">
        <f t="shared" si="12"/>
        <v>3.2328320227766216E-2</v>
      </c>
      <c r="F184" s="2"/>
      <c r="G184" s="3">
        <v>70.379000000000005</v>
      </c>
      <c r="H184" s="3">
        <v>4</v>
      </c>
      <c r="I184" s="3">
        <v>5990.8076000000001</v>
      </c>
      <c r="J184" s="4">
        <v>1</v>
      </c>
      <c r="K184" s="11">
        <f t="shared" si="13"/>
        <v>6.6768961166437731E-4</v>
      </c>
      <c r="N184" s="6">
        <v>70.372200000000007</v>
      </c>
      <c r="O184" s="6">
        <v>4</v>
      </c>
      <c r="P184" s="6">
        <v>4709.7484999999997</v>
      </c>
      <c r="Q184" s="7">
        <v>1</v>
      </c>
      <c r="R184" s="12">
        <f t="shared" si="14"/>
        <v>8.4930225042802187E-4</v>
      </c>
      <c r="S184" s="5"/>
      <c r="T184" s="6">
        <v>70.372</v>
      </c>
      <c r="U184" s="6">
        <v>3</v>
      </c>
      <c r="V184" s="6">
        <v>3914.9193</v>
      </c>
      <c r="W184" s="7">
        <v>1</v>
      </c>
      <c r="X184" s="12">
        <f t="shared" si="15"/>
        <v>7.6629932065266329E-4</v>
      </c>
      <c r="AA184" s="9">
        <v>70.377099999999999</v>
      </c>
      <c r="AB184" s="9">
        <v>120</v>
      </c>
      <c r="AC184" s="9">
        <v>5428.2480999999998</v>
      </c>
      <c r="AD184" s="10">
        <v>1</v>
      </c>
      <c r="AE184" s="13">
        <f t="shared" si="16"/>
        <v>2.2106579837424898E-2</v>
      </c>
      <c r="AF184" s="8"/>
      <c r="AG184" s="9">
        <v>70.374600000000001</v>
      </c>
      <c r="AH184" s="9">
        <v>4</v>
      </c>
      <c r="AI184" s="9">
        <v>3395.9780000000001</v>
      </c>
      <c r="AJ184" s="10">
        <v>1</v>
      </c>
      <c r="AK184" s="13">
        <f t="shared" si="17"/>
        <v>1.1778639319807137E-3</v>
      </c>
    </row>
    <row r="185" spans="1:37" x14ac:dyDescent="0.4">
      <c r="A185" s="3">
        <v>70.388900000000007</v>
      </c>
      <c r="B185" s="3">
        <v>175</v>
      </c>
      <c r="C185" s="3">
        <v>6586.6851999999999</v>
      </c>
      <c r="D185" s="4">
        <v>1</v>
      </c>
      <c r="E185" s="11">
        <f t="shared" si="12"/>
        <v>2.6568751152704247E-2</v>
      </c>
      <c r="F185" s="2"/>
      <c r="G185" s="3">
        <v>70.388999999999996</v>
      </c>
      <c r="H185" s="3">
        <v>10</v>
      </c>
      <c r="I185" s="3">
        <v>5990.7129000000004</v>
      </c>
      <c r="J185" s="4">
        <v>1</v>
      </c>
      <c r="K185" s="11">
        <f t="shared" si="13"/>
        <v>1.6692504159229529E-3</v>
      </c>
      <c r="N185" s="6">
        <v>70.382199999999997</v>
      </c>
      <c r="O185" s="6">
        <v>2</v>
      </c>
      <c r="P185" s="6">
        <v>4708.7174999999997</v>
      </c>
      <c r="Q185" s="7">
        <v>1</v>
      </c>
      <c r="R185" s="12">
        <f t="shared" si="14"/>
        <v>4.2474410495002091E-4</v>
      </c>
      <c r="S185" s="5"/>
      <c r="T185" s="6">
        <v>70.382000000000005</v>
      </c>
      <c r="U185" s="6">
        <v>2</v>
      </c>
      <c r="V185" s="6">
        <v>3914.7682</v>
      </c>
      <c r="W185" s="7">
        <v>1</v>
      </c>
      <c r="X185" s="12">
        <f t="shared" si="15"/>
        <v>5.1088593189246813E-4</v>
      </c>
      <c r="AA185" s="9">
        <v>70.387100000000004</v>
      </c>
      <c r="AB185" s="9">
        <v>131</v>
      </c>
      <c r="AC185" s="9">
        <v>5428.7816000000003</v>
      </c>
      <c r="AD185" s="10">
        <v>1</v>
      </c>
      <c r="AE185" s="13">
        <f t="shared" si="16"/>
        <v>2.4130644710407947E-2</v>
      </c>
      <c r="AF185" s="8"/>
      <c r="AG185" s="9">
        <v>70.384600000000006</v>
      </c>
      <c r="AH185" s="9">
        <v>17</v>
      </c>
      <c r="AI185" s="9">
        <v>3395.4821999999999</v>
      </c>
      <c r="AJ185" s="10">
        <v>1</v>
      </c>
      <c r="AK185" s="13">
        <f t="shared" si="17"/>
        <v>5.0066526633536761E-3</v>
      </c>
    </row>
    <row r="186" spans="1:37" x14ac:dyDescent="0.4">
      <c r="A186" s="3">
        <v>70.398899999999998</v>
      </c>
      <c r="B186" s="3">
        <v>184</v>
      </c>
      <c r="C186" s="3">
        <v>6585.5843000000004</v>
      </c>
      <c r="D186" s="4">
        <v>1</v>
      </c>
      <c r="E186" s="11">
        <f t="shared" si="12"/>
        <v>2.7939813935720176E-2</v>
      </c>
      <c r="F186" s="2"/>
      <c r="G186" s="3">
        <v>70.399000000000001</v>
      </c>
      <c r="H186" s="3">
        <v>5</v>
      </c>
      <c r="I186" s="3">
        <v>5991.9521000000004</v>
      </c>
      <c r="J186" s="4">
        <v>1</v>
      </c>
      <c r="K186" s="11">
        <f t="shared" si="13"/>
        <v>8.3445259851125972E-4</v>
      </c>
      <c r="N186" s="6">
        <v>70.392200000000003</v>
      </c>
      <c r="O186" s="6">
        <v>4</v>
      </c>
      <c r="P186" s="6">
        <v>4707.3801000000003</v>
      </c>
      <c r="Q186" s="7">
        <v>1</v>
      </c>
      <c r="R186" s="12">
        <f t="shared" si="14"/>
        <v>8.4972955551220516E-4</v>
      </c>
      <c r="S186" s="5"/>
      <c r="T186" s="6">
        <v>70.391999999999996</v>
      </c>
      <c r="U186" s="6">
        <v>3</v>
      </c>
      <c r="V186" s="6">
        <v>3913.0972999999999</v>
      </c>
      <c r="W186" s="7">
        <v>1</v>
      </c>
      <c r="X186" s="12">
        <f t="shared" si="15"/>
        <v>7.6665612173763224E-4</v>
      </c>
      <c r="AA186" s="9">
        <v>70.397099999999995</v>
      </c>
      <c r="AB186" s="9">
        <v>98</v>
      </c>
      <c r="AC186" s="9">
        <v>5425.5553</v>
      </c>
      <c r="AD186" s="10">
        <v>1</v>
      </c>
      <c r="AE186" s="13">
        <f t="shared" si="16"/>
        <v>1.8062667244401694E-2</v>
      </c>
      <c r="AF186" s="8"/>
      <c r="AG186" s="9">
        <v>70.394599999999997</v>
      </c>
      <c r="AH186" s="9">
        <v>6</v>
      </c>
      <c r="AI186" s="9">
        <v>3396.7471999999998</v>
      </c>
      <c r="AJ186" s="10">
        <v>1</v>
      </c>
      <c r="AK186" s="13">
        <f t="shared" si="17"/>
        <v>1.7663958036088173E-3</v>
      </c>
    </row>
    <row r="187" spans="1:37" x14ac:dyDescent="0.4">
      <c r="A187" s="3">
        <v>70.408900000000003</v>
      </c>
      <c r="B187" s="3">
        <v>177</v>
      </c>
      <c r="C187" s="3">
        <v>6585.4391999999998</v>
      </c>
      <c r="D187" s="4">
        <v>1</v>
      </c>
      <c r="E187" s="11">
        <f t="shared" si="12"/>
        <v>2.6877478422395882E-2</v>
      </c>
      <c r="F187" s="2"/>
      <c r="G187" s="3">
        <v>70.409000000000006</v>
      </c>
      <c r="H187" s="3">
        <v>8</v>
      </c>
      <c r="I187" s="3">
        <v>5991.0032000000001</v>
      </c>
      <c r="J187" s="4">
        <v>1</v>
      </c>
      <c r="K187" s="11">
        <f t="shared" si="13"/>
        <v>1.3353356245912203E-3</v>
      </c>
      <c r="N187" s="6">
        <v>70.402199999999993</v>
      </c>
      <c r="O187" s="6">
        <v>1</v>
      </c>
      <c r="P187" s="6">
        <v>4708.6243000000004</v>
      </c>
      <c r="Q187" s="7">
        <v>1</v>
      </c>
      <c r="R187" s="12">
        <f t="shared" si="14"/>
        <v>2.1237625605423645E-4</v>
      </c>
      <c r="S187" s="5"/>
      <c r="T187" s="6">
        <v>70.402000000000001</v>
      </c>
      <c r="U187" s="6">
        <v>0</v>
      </c>
      <c r="V187" s="6">
        <v>3913.0972000000002</v>
      </c>
      <c r="W187" s="7">
        <v>1</v>
      </c>
      <c r="X187" s="12">
        <f t="shared" si="15"/>
        <v>0</v>
      </c>
      <c r="AA187" s="9">
        <v>70.4071</v>
      </c>
      <c r="AB187" s="9">
        <v>110</v>
      </c>
      <c r="AC187" s="9">
        <v>5422.0950000000003</v>
      </c>
      <c r="AD187" s="10">
        <v>1</v>
      </c>
      <c r="AE187" s="13">
        <f t="shared" si="16"/>
        <v>2.0287361250586718E-2</v>
      </c>
      <c r="AF187" s="8"/>
      <c r="AG187" s="9">
        <v>70.404600000000002</v>
      </c>
      <c r="AH187" s="9">
        <v>6</v>
      </c>
      <c r="AI187" s="9">
        <v>3395.9034999999999</v>
      </c>
      <c r="AJ187" s="10">
        <v>1</v>
      </c>
      <c r="AK187" s="13">
        <f t="shared" si="17"/>
        <v>1.7668346582875515E-3</v>
      </c>
    </row>
    <row r="188" spans="1:37" x14ac:dyDescent="0.4">
      <c r="A188" s="3">
        <v>70.418899999999994</v>
      </c>
      <c r="B188" s="3">
        <v>178</v>
      </c>
      <c r="C188" s="3">
        <v>6584.2473</v>
      </c>
      <c r="D188" s="4">
        <v>1</v>
      </c>
      <c r="E188" s="11">
        <f t="shared" si="12"/>
        <v>2.7034221512305591E-2</v>
      </c>
      <c r="F188" s="2"/>
      <c r="G188" s="3">
        <v>70.418999999999997</v>
      </c>
      <c r="H188" s="3">
        <v>6</v>
      </c>
      <c r="I188" s="3">
        <v>5991.3029999999999</v>
      </c>
      <c r="J188" s="4">
        <v>1</v>
      </c>
      <c r="K188" s="11">
        <f t="shared" si="13"/>
        <v>1.0014516041001432E-3</v>
      </c>
      <c r="N188" s="6">
        <v>70.412199999999999</v>
      </c>
      <c r="O188" s="6">
        <v>2</v>
      </c>
      <c r="P188" s="6">
        <v>4709.7587999999996</v>
      </c>
      <c r="Q188" s="7">
        <v>1</v>
      </c>
      <c r="R188" s="12">
        <f t="shared" si="14"/>
        <v>4.2465019652386451E-4</v>
      </c>
      <c r="S188" s="5"/>
      <c r="T188" s="6">
        <v>70.412000000000006</v>
      </c>
      <c r="U188" s="6">
        <v>1</v>
      </c>
      <c r="V188" s="6">
        <v>3912.4315000000001</v>
      </c>
      <c r="W188" s="7">
        <v>1</v>
      </c>
      <c r="X188" s="12">
        <f t="shared" si="15"/>
        <v>2.5559552927635919E-4</v>
      </c>
      <c r="AA188" s="9">
        <v>70.417100000000005</v>
      </c>
      <c r="AB188" s="9">
        <v>85</v>
      </c>
      <c r="AC188" s="9">
        <v>5419.7030000000004</v>
      </c>
      <c r="AD188" s="10">
        <v>1</v>
      </c>
      <c r="AE188" s="13">
        <f t="shared" si="16"/>
        <v>1.5683516236959846E-2</v>
      </c>
      <c r="AF188" s="8"/>
      <c r="AG188" s="9">
        <v>70.414599999999993</v>
      </c>
      <c r="AH188" s="9">
        <v>5</v>
      </c>
      <c r="AI188" s="9">
        <v>3395.337</v>
      </c>
      <c r="AJ188" s="10">
        <v>1</v>
      </c>
      <c r="AK188" s="13">
        <f t="shared" si="17"/>
        <v>1.4726078736808747E-3</v>
      </c>
    </row>
    <row r="189" spans="1:37" x14ac:dyDescent="0.4">
      <c r="A189" s="3">
        <v>70.428899999999999</v>
      </c>
      <c r="B189" s="3">
        <v>158</v>
      </c>
      <c r="C189" s="3">
        <v>6580.8402999999998</v>
      </c>
      <c r="D189" s="4">
        <v>1</v>
      </c>
      <c r="E189" s="11">
        <f t="shared" si="12"/>
        <v>2.4009091969607588E-2</v>
      </c>
      <c r="F189" s="2"/>
      <c r="G189" s="3">
        <v>70.429000000000002</v>
      </c>
      <c r="H189" s="3">
        <v>10</v>
      </c>
      <c r="I189" s="3">
        <v>5991.9850999999999</v>
      </c>
      <c r="J189" s="4">
        <v>1</v>
      </c>
      <c r="K189" s="11">
        <f t="shared" si="13"/>
        <v>1.6688960057661024E-3</v>
      </c>
      <c r="N189" s="6">
        <v>70.422200000000004</v>
      </c>
      <c r="O189" s="6">
        <v>3</v>
      </c>
      <c r="P189" s="6">
        <v>4710.3283000000001</v>
      </c>
      <c r="Q189" s="7">
        <v>1</v>
      </c>
      <c r="R189" s="12">
        <f t="shared" si="14"/>
        <v>6.3689828159111544E-4</v>
      </c>
      <c r="S189" s="5"/>
      <c r="T189" s="6">
        <v>70.421999999999997</v>
      </c>
      <c r="U189" s="6">
        <v>2</v>
      </c>
      <c r="V189" s="6">
        <v>3911.6867000000002</v>
      </c>
      <c r="W189" s="7">
        <v>1</v>
      </c>
      <c r="X189" s="12">
        <f t="shared" si="15"/>
        <v>5.1128839127121295E-4</v>
      </c>
      <c r="AA189" s="9">
        <v>70.427099999999996</v>
      </c>
      <c r="AB189" s="9">
        <v>100</v>
      </c>
      <c r="AC189" s="9">
        <v>5417.8757999999998</v>
      </c>
      <c r="AD189" s="10">
        <v>1</v>
      </c>
      <c r="AE189" s="13">
        <f t="shared" si="16"/>
        <v>1.8457418311434898E-2</v>
      </c>
      <c r="AF189" s="8"/>
      <c r="AG189" s="9">
        <v>70.424599999999998</v>
      </c>
      <c r="AH189" s="9">
        <v>3</v>
      </c>
      <c r="AI189" s="9">
        <v>3395.7977999999998</v>
      </c>
      <c r="AJ189" s="10">
        <v>1</v>
      </c>
      <c r="AK189" s="13">
        <f t="shared" si="17"/>
        <v>8.834448270153188E-4</v>
      </c>
    </row>
    <row r="190" spans="1:37" x14ac:dyDescent="0.4">
      <c r="A190" s="3">
        <v>70.438900000000004</v>
      </c>
      <c r="B190" s="3">
        <v>167</v>
      </c>
      <c r="C190" s="3">
        <v>6578.3924999999999</v>
      </c>
      <c r="D190" s="4">
        <v>1</v>
      </c>
      <c r="E190" s="11">
        <f t="shared" si="12"/>
        <v>2.5386141067137602E-2</v>
      </c>
      <c r="F190" s="2"/>
      <c r="G190" s="3">
        <v>70.438999999999993</v>
      </c>
      <c r="H190" s="3">
        <v>11</v>
      </c>
      <c r="I190" s="3">
        <v>5992.8113000000003</v>
      </c>
      <c r="J190" s="4">
        <v>1</v>
      </c>
      <c r="K190" s="11">
        <f t="shared" si="13"/>
        <v>1.8355325154322812E-3</v>
      </c>
      <c r="N190" s="6">
        <v>70.432199999999995</v>
      </c>
      <c r="O190" s="6">
        <v>4</v>
      </c>
      <c r="P190" s="6">
        <v>4704.8697000000002</v>
      </c>
      <c r="Q190" s="7">
        <v>1</v>
      </c>
      <c r="R190" s="12">
        <f t="shared" si="14"/>
        <v>8.5018294980624006E-4</v>
      </c>
      <c r="S190" s="5"/>
      <c r="T190" s="6">
        <v>70.432000000000002</v>
      </c>
      <c r="U190" s="6">
        <v>3</v>
      </c>
      <c r="V190" s="6">
        <v>3913.6752000000001</v>
      </c>
      <c r="W190" s="7">
        <v>1</v>
      </c>
      <c r="X190" s="12">
        <f t="shared" si="15"/>
        <v>7.6654291597831115E-4</v>
      </c>
      <c r="AA190" s="9">
        <v>70.437100000000001</v>
      </c>
      <c r="AB190" s="9">
        <v>107</v>
      </c>
      <c r="AC190" s="9">
        <v>5417.0793000000003</v>
      </c>
      <c r="AD190" s="10">
        <v>1</v>
      </c>
      <c r="AE190" s="13">
        <f t="shared" si="16"/>
        <v>1.9752341450862642E-2</v>
      </c>
      <c r="AF190" s="8"/>
      <c r="AG190" s="9">
        <v>70.434600000000003</v>
      </c>
      <c r="AH190" s="9">
        <v>5</v>
      </c>
      <c r="AI190" s="9">
        <v>3395.0680000000002</v>
      </c>
      <c r="AJ190" s="10">
        <v>1</v>
      </c>
      <c r="AK190" s="13">
        <f t="shared" si="17"/>
        <v>1.4727245522033726E-3</v>
      </c>
    </row>
    <row r="191" spans="1:37" x14ac:dyDescent="0.4">
      <c r="A191" s="3">
        <v>70.448899999999995</v>
      </c>
      <c r="B191" s="3">
        <v>181</v>
      </c>
      <c r="C191" s="3">
        <v>6580.4130999999998</v>
      </c>
      <c r="D191" s="4">
        <v>1</v>
      </c>
      <c r="E191" s="11">
        <f t="shared" si="12"/>
        <v>2.7505871933784828E-2</v>
      </c>
      <c r="F191" s="2"/>
      <c r="G191" s="3">
        <v>70.448999999999998</v>
      </c>
      <c r="H191" s="3">
        <v>17</v>
      </c>
      <c r="I191" s="3">
        <v>5993.4983000000002</v>
      </c>
      <c r="J191" s="4">
        <v>1</v>
      </c>
      <c r="K191" s="11">
        <f t="shared" si="13"/>
        <v>2.8364069111356882E-3</v>
      </c>
      <c r="N191" s="6">
        <v>70.4422</v>
      </c>
      <c r="O191" s="6">
        <v>0</v>
      </c>
      <c r="P191" s="6">
        <v>4707.7316000000001</v>
      </c>
      <c r="Q191" s="7">
        <v>1</v>
      </c>
      <c r="R191" s="12">
        <f t="shared" si="14"/>
        <v>0</v>
      </c>
      <c r="S191" s="5"/>
      <c r="T191" s="6">
        <v>70.441999999999993</v>
      </c>
      <c r="U191" s="6">
        <v>1</v>
      </c>
      <c r="V191" s="6">
        <v>3912.5686999999998</v>
      </c>
      <c r="W191" s="7">
        <v>1</v>
      </c>
      <c r="X191" s="12">
        <f t="shared" si="15"/>
        <v>2.5558656644163207E-4</v>
      </c>
      <c r="AA191" s="9">
        <v>70.447100000000006</v>
      </c>
      <c r="AB191" s="9">
        <v>89</v>
      </c>
      <c r="AC191" s="9">
        <v>5411.7071999999998</v>
      </c>
      <c r="AD191" s="10">
        <v>1</v>
      </c>
      <c r="AE191" s="13">
        <f t="shared" si="16"/>
        <v>1.6445826928700061E-2</v>
      </c>
      <c r="AF191" s="8"/>
      <c r="AG191" s="9">
        <v>70.444599999999994</v>
      </c>
      <c r="AH191" s="9">
        <v>5</v>
      </c>
      <c r="AI191" s="9">
        <v>3394.2114999999999</v>
      </c>
      <c r="AJ191" s="10">
        <v>1</v>
      </c>
      <c r="AK191" s="13">
        <f t="shared" si="17"/>
        <v>1.4730961815431949E-3</v>
      </c>
    </row>
    <row r="192" spans="1:37" x14ac:dyDescent="0.4">
      <c r="A192" s="3">
        <v>70.4589</v>
      </c>
      <c r="B192" s="3">
        <v>167</v>
      </c>
      <c r="C192" s="3">
        <v>6578.9444000000003</v>
      </c>
      <c r="D192" s="4">
        <v>1</v>
      </c>
      <c r="E192" s="11">
        <f t="shared" si="12"/>
        <v>2.5384011453265968E-2</v>
      </c>
      <c r="F192" s="2"/>
      <c r="G192" s="3">
        <v>70.459000000000003</v>
      </c>
      <c r="H192" s="3">
        <v>11</v>
      </c>
      <c r="I192" s="3">
        <v>5993.8561</v>
      </c>
      <c r="J192" s="4">
        <v>1</v>
      </c>
      <c r="K192" s="11">
        <f t="shared" si="13"/>
        <v>1.8352125604083154E-3</v>
      </c>
      <c r="N192" s="6">
        <v>70.452200000000005</v>
      </c>
      <c r="O192" s="6">
        <v>2</v>
      </c>
      <c r="P192" s="6">
        <v>4704.3910999999998</v>
      </c>
      <c r="Q192" s="7">
        <v>1</v>
      </c>
      <c r="R192" s="12">
        <f t="shared" si="14"/>
        <v>4.2513472147330609E-4</v>
      </c>
      <c r="S192" s="5"/>
      <c r="T192" s="6">
        <v>70.451999999999998</v>
      </c>
      <c r="U192" s="6">
        <v>3</v>
      </c>
      <c r="V192" s="6">
        <v>3910.6437000000001</v>
      </c>
      <c r="W192" s="7">
        <v>1</v>
      </c>
      <c r="X192" s="12">
        <f t="shared" si="15"/>
        <v>7.6713713397106469E-4</v>
      </c>
      <c r="AA192" s="9">
        <v>70.457099999999997</v>
      </c>
      <c r="AB192" s="9">
        <v>81</v>
      </c>
      <c r="AC192" s="9">
        <v>5410.4372999999996</v>
      </c>
      <c r="AD192" s="10">
        <v>1</v>
      </c>
      <c r="AE192" s="13">
        <f t="shared" si="16"/>
        <v>1.4971063429567884E-2</v>
      </c>
      <c r="AF192" s="8"/>
      <c r="AG192" s="9">
        <v>70.454599999999999</v>
      </c>
      <c r="AH192" s="9">
        <v>6</v>
      </c>
      <c r="AI192" s="9">
        <v>3392.1511</v>
      </c>
      <c r="AJ192" s="10">
        <v>1</v>
      </c>
      <c r="AK192" s="13">
        <f t="shared" si="17"/>
        <v>1.7687891320643115E-3</v>
      </c>
    </row>
    <row r="193" spans="1:37" x14ac:dyDescent="0.4">
      <c r="A193" s="3">
        <v>70.468900000000005</v>
      </c>
      <c r="B193" s="3">
        <v>146</v>
      </c>
      <c r="C193" s="3">
        <v>6577.3364000000001</v>
      </c>
      <c r="D193" s="4">
        <v>1</v>
      </c>
      <c r="E193" s="11">
        <f t="shared" si="12"/>
        <v>2.2197435423859421E-2</v>
      </c>
      <c r="F193" s="2"/>
      <c r="G193" s="3">
        <v>70.468999999999994</v>
      </c>
      <c r="H193" s="3">
        <v>6</v>
      </c>
      <c r="I193" s="3">
        <v>5993.7350999999999</v>
      </c>
      <c r="J193" s="4">
        <v>1</v>
      </c>
      <c r="K193" s="11">
        <f t="shared" si="13"/>
        <v>1.0010452413887962E-3</v>
      </c>
      <c r="N193" s="6">
        <v>70.462199999999996</v>
      </c>
      <c r="O193" s="6">
        <v>1</v>
      </c>
      <c r="P193" s="6">
        <v>4701.7728999999999</v>
      </c>
      <c r="Q193" s="7">
        <v>1</v>
      </c>
      <c r="R193" s="12">
        <f t="shared" si="14"/>
        <v>2.1268572967443833E-4</v>
      </c>
      <c r="S193" s="5"/>
      <c r="T193" s="6">
        <v>70.462000000000003</v>
      </c>
      <c r="U193" s="6">
        <v>2</v>
      </c>
      <c r="V193" s="6">
        <v>3910.7073999999998</v>
      </c>
      <c r="W193" s="7">
        <v>1</v>
      </c>
      <c r="X193" s="12">
        <f t="shared" si="15"/>
        <v>5.1141642558070186E-4</v>
      </c>
      <c r="AA193" s="9">
        <v>70.467100000000002</v>
      </c>
      <c r="AB193" s="9">
        <v>82</v>
      </c>
      <c r="AC193" s="9">
        <v>5405.0389999999998</v>
      </c>
      <c r="AD193" s="10">
        <v>1</v>
      </c>
      <c r="AE193" s="13">
        <f t="shared" si="16"/>
        <v>1.5171028368157936E-2</v>
      </c>
      <c r="AF193" s="8"/>
      <c r="AG193" s="9">
        <v>70.464600000000004</v>
      </c>
      <c r="AH193" s="9">
        <v>3</v>
      </c>
      <c r="AI193" s="9">
        <v>3391.1021000000001</v>
      </c>
      <c r="AJ193" s="10">
        <v>1</v>
      </c>
      <c r="AK193" s="13">
        <f t="shared" si="17"/>
        <v>8.846681437282587E-4</v>
      </c>
    </row>
    <row r="194" spans="1:37" x14ac:dyDescent="0.4">
      <c r="A194" s="3">
        <v>70.478899999999996</v>
      </c>
      <c r="B194" s="3">
        <v>144</v>
      </c>
      <c r="C194" s="3">
        <v>6579.1490999999996</v>
      </c>
      <c r="D194" s="4">
        <v>1</v>
      </c>
      <c r="E194" s="11">
        <f t="shared" si="12"/>
        <v>2.1887328864457566E-2</v>
      </c>
      <c r="F194" s="2"/>
      <c r="G194" s="3">
        <v>70.478999999999999</v>
      </c>
      <c r="H194" s="3">
        <v>4</v>
      </c>
      <c r="I194" s="3">
        <v>5990.1435000000001</v>
      </c>
      <c r="J194" s="4">
        <v>1</v>
      </c>
      <c r="K194" s="11">
        <f t="shared" si="13"/>
        <v>6.6776363537868503E-4</v>
      </c>
      <c r="N194" s="6">
        <v>70.472200000000001</v>
      </c>
      <c r="O194" s="6">
        <v>0</v>
      </c>
      <c r="P194" s="6">
        <v>4702.4627</v>
      </c>
      <c r="Q194" s="7">
        <v>1</v>
      </c>
      <c r="R194" s="12">
        <f t="shared" si="14"/>
        <v>0</v>
      </c>
      <c r="S194" s="5"/>
      <c r="T194" s="6">
        <v>70.471999999999994</v>
      </c>
      <c r="U194" s="6">
        <v>2</v>
      </c>
      <c r="V194" s="6">
        <v>3911.7247000000002</v>
      </c>
      <c r="W194" s="7">
        <v>1</v>
      </c>
      <c r="X194" s="12">
        <f t="shared" si="15"/>
        <v>5.1128342441890146E-4</v>
      </c>
      <c r="AA194" s="9">
        <v>70.477099999999993</v>
      </c>
      <c r="AB194" s="9">
        <v>100</v>
      </c>
      <c r="AC194" s="9">
        <v>5402.3208000000004</v>
      </c>
      <c r="AD194" s="10">
        <v>1</v>
      </c>
      <c r="AE194" s="13">
        <f t="shared" si="16"/>
        <v>1.8510563089848348E-2</v>
      </c>
      <c r="AF194" s="8"/>
      <c r="AG194" s="9">
        <v>70.474599999999995</v>
      </c>
      <c r="AH194" s="9">
        <v>1</v>
      </c>
      <c r="AI194" s="9">
        <v>3390.3474000000001</v>
      </c>
      <c r="AJ194" s="10">
        <v>1</v>
      </c>
      <c r="AK194" s="13">
        <f t="shared" si="17"/>
        <v>2.9495502437301853E-4</v>
      </c>
    </row>
    <row r="195" spans="1:37" x14ac:dyDescent="0.4">
      <c r="A195" s="3">
        <v>70.488900000000001</v>
      </c>
      <c r="B195" s="3">
        <v>129</v>
      </c>
      <c r="C195" s="3">
        <v>6579.5938999999998</v>
      </c>
      <c r="D195" s="4">
        <v>1</v>
      </c>
      <c r="E195" s="11">
        <f t="shared" si="12"/>
        <v>1.96060732562841E-2</v>
      </c>
      <c r="F195" s="2"/>
      <c r="G195" s="3">
        <v>70.489000000000004</v>
      </c>
      <c r="H195" s="3">
        <v>9</v>
      </c>
      <c r="I195" s="3">
        <v>5990.4144999999999</v>
      </c>
      <c r="J195" s="4">
        <v>1</v>
      </c>
      <c r="K195" s="11">
        <f t="shared" si="13"/>
        <v>1.5024002095347492E-3</v>
      </c>
      <c r="N195" s="6">
        <v>70.482200000000006</v>
      </c>
      <c r="O195" s="6">
        <v>0</v>
      </c>
      <c r="P195" s="6">
        <v>4700.1653999999999</v>
      </c>
      <c r="Q195" s="7">
        <v>1</v>
      </c>
      <c r="R195" s="12">
        <f t="shared" si="14"/>
        <v>0</v>
      </c>
      <c r="S195" s="5"/>
      <c r="T195" s="6">
        <v>70.481999999999999</v>
      </c>
      <c r="U195" s="6">
        <v>2</v>
      </c>
      <c r="V195" s="6">
        <v>3911.7564000000002</v>
      </c>
      <c r="W195" s="7">
        <v>1</v>
      </c>
      <c r="X195" s="12">
        <f t="shared" si="15"/>
        <v>5.112792810922479E-4</v>
      </c>
      <c r="AA195" s="9">
        <v>70.487099999999998</v>
      </c>
      <c r="AB195" s="9">
        <v>77</v>
      </c>
      <c r="AC195" s="9">
        <v>5401.3158999999996</v>
      </c>
      <c r="AD195" s="10">
        <v>1</v>
      </c>
      <c r="AE195" s="13">
        <f t="shared" si="16"/>
        <v>1.4255785335569801E-2</v>
      </c>
      <c r="AF195" s="8"/>
      <c r="AG195" s="9">
        <v>70.4846</v>
      </c>
      <c r="AH195" s="9">
        <v>5</v>
      </c>
      <c r="AI195" s="9">
        <v>3389.0518000000002</v>
      </c>
      <c r="AJ195" s="10">
        <v>1</v>
      </c>
      <c r="AK195" s="13">
        <f t="shared" si="17"/>
        <v>1.4753389133798425E-3</v>
      </c>
    </row>
    <row r="196" spans="1:37" x14ac:dyDescent="0.4">
      <c r="A196" s="3">
        <v>70.498900000000006</v>
      </c>
      <c r="B196" s="3">
        <v>159</v>
      </c>
      <c r="C196" s="3">
        <v>6576.3338999999996</v>
      </c>
      <c r="D196" s="4">
        <v>1</v>
      </c>
      <c r="E196" s="11">
        <f t="shared" si="12"/>
        <v>2.4177604485684647E-2</v>
      </c>
      <c r="F196" s="2"/>
      <c r="G196" s="3">
        <v>70.498999999999995</v>
      </c>
      <c r="H196" s="3">
        <v>6</v>
      </c>
      <c r="I196" s="3">
        <v>5987.1315000000004</v>
      </c>
      <c r="J196" s="4">
        <v>1</v>
      </c>
      <c r="K196" s="11">
        <f t="shared" si="13"/>
        <v>1.0021493598395157E-3</v>
      </c>
      <c r="N196" s="6">
        <v>70.492199999999997</v>
      </c>
      <c r="O196" s="6">
        <v>0</v>
      </c>
      <c r="P196" s="6">
        <v>4697.3221999999996</v>
      </c>
      <c r="Q196" s="7">
        <v>1</v>
      </c>
      <c r="R196" s="12">
        <f t="shared" si="14"/>
        <v>0</v>
      </c>
      <c r="S196" s="5"/>
      <c r="T196" s="6">
        <v>70.492000000000004</v>
      </c>
      <c r="U196" s="6">
        <v>0</v>
      </c>
      <c r="V196" s="6">
        <v>3912.3402999999998</v>
      </c>
      <c r="W196" s="7">
        <v>1</v>
      </c>
      <c r="X196" s="12">
        <f t="shared" si="15"/>
        <v>0</v>
      </c>
      <c r="AA196" s="9">
        <v>70.497100000000003</v>
      </c>
      <c r="AB196" s="9">
        <v>84</v>
      </c>
      <c r="AC196" s="9">
        <v>5402.6752999999999</v>
      </c>
      <c r="AD196" s="10">
        <v>1</v>
      </c>
      <c r="AE196" s="13">
        <f t="shared" si="16"/>
        <v>1.5547852746212603E-2</v>
      </c>
      <c r="AF196" s="8"/>
      <c r="AG196" s="9">
        <v>70.494600000000005</v>
      </c>
      <c r="AH196" s="9">
        <v>5</v>
      </c>
      <c r="AI196" s="9">
        <v>3390.6464000000001</v>
      </c>
      <c r="AJ196" s="10">
        <v>1</v>
      </c>
      <c r="AK196" s="13">
        <f t="shared" si="17"/>
        <v>1.4746450706272409E-3</v>
      </c>
    </row>
    <row r="197" spans="1:37" x14ac:dyDescent="0.4">
      <c r="A197" s="3">
        <v>70.508899999999997</v>
      </c>
      <c r="B197" s="3">
        <v>147</v>
      </c>
      <c r="C197" s="3">
        <v>6576.1981999999998</v>
      </c>
      <c r="D197" s="4">
        <v>1</v>
      </c>
      <c r="E197" s="11">
        <f t="shared" si="12"/>
        <v>2.2353340871021803E-2</v>
      </c>
      <c r="F197" s="2"/>
      <c r="G197" s="3">
        <v>70.509</v>
      </c>
      <c r="H197" s="3">
        <v>5</v>
      </c>
      <c r="I197" s="3">
        <v>5987.0174999999999</v>
      </c>
      <c r="J197" s="4">
        <v>1</v>
      </c>
      <c r="K197" s="11">
        <f t="shared" si="13"/>
        <v>8.3514036830525387E-4</v>
      </c>
      <c r="N197" s="6">
        <v>70.502200000000002</v>
      </c>
      <c r="O197" s="6">
        <v>1</v>
      </c>
      <c r="P197" s="6">
        <v>4698.0913</v>
      </c>
      <c r="Q197" s="7">
        <v>1</v>
      </c>
      <c r="R197" s="12">
        <f t="shared" si="14"/>
        <v>2.1285239816433538E-4</v>
      </c>
      <c r="S197" s="5"/>
      <c r="T197" s="6">
        <v>70.501999999999995</v>
      </c>
      <c r="U197" s="6">
        <v>0</v>
      </c>
      <c r="V197" s="6">
        <v>3911.7885000000001</v>
      </c>
      <c r="W197" s="7">
        <v>1</v>
      </c>
      <c r="X197" s="12">
        <f t="shared" si="15"/>
        <v>0</v>
      </c>
      <c r="AA197" s="9">
        <v>70.507099999999994</v>
      </c>
      <c r="AB197" s="9">
        <v>69</v>
      </c>
      <c r="AC197" s="9">
        <v>5399.9992000000002</v>
      </c>
      <c r="AD197" s="10">
        <v>1</v>
      </c>
      <c r="AE197" s="13">
        <f t="shared" si="16"/>
        <v>1.2777779670782172E-2</v>
      </c>
      <c r="AF197" s="8"/>
      <c r="AG197" s="9">
        <v>70.504599999999996</v>
      </c>
      <c r="AH197" s="9">
        <v>7</v>
      </c>
      <c r="AI197" s="9">
        <v>3387.9340999999999</v>
      </c>
      <c r="AJ197" s="10">
        <v>1</v>
      </c>
      <c r="AK197" s="13">
        <f t="shared" si="17"/>
        <v>2.0661558912848984E-3</v>
      </c>
    </row>
    <row r="198" spans="1:37" x14ac:dyDescent="0.4">
      <c r="A198" s="3">
        <v>70.518900000000002</v>
      </c>
      <c r="B198" s="3">
        <v>137</v>
      </c>
      <c r="C198" s="3">
        <v>6574.3692000000001</v>
      </c>
      <c r="D198" s="4">
        <v>1</v>
      </c>
      <c r="E198" s="11">
        <f t="shared" ref="E198:E205" si="18">B198/C198*D198</f>
        <v>2.0838501129507605E-2</v>
      </c>
      <c r="F198" s="2"/>
      <c r="G198" s="3">
        <v>70.519000000000005</v>
      </c>
      <c r="H198" s="3">
        <v>4</v>
      </c>
      <c r="I198" s="3">
        <v>5986.0613000000003</v>
      </c>
      <c r="J198" s="4">
        <v>1</v>
      </c>
      <c r="K198" s="11">
        <f t="shared" ref="K198:K205" si="19">H198/I198*J198</f>
        <v>6.6821901740297908E-4</v>
      </c>
      <c r="N198" s="6">
        <v>70.512200000000007</v>
      </c>
      <c r="O198" s="6">
        <v>0</v>
      </c>
      <c r="P198" s="6">
        <v>4695.9192999999996</v>
      </c>
      <c r="Q198" s="7">
        <v>1</v>
      </c>
      <c r="R198" s="12">
        <f t="shared" ref="R198:R205" si="20">O198/P198*Q198</f>
        <v>0</v>
      </c>
      <c r="S198" s="5"/>
      <c r="T198" s="6">
        <v>70.512</v>
      </c>
      <c r="U198" s="6">
        <v>0</v>
      </c>
      <c r="V198" s="6">
        <v>3911.0655999999999</v>
      </c>
      <c r="W198" s="7">
        <v>1</v>
      </c>
      <c r="X198" s="12">
        <f t="shared" ref="X198:X205" si="21">U198/V198*W198</f>
        <v>0</v>
      </c>
      <c r="AA198" s="9">
        <v>70.517099999999999</v>
      </c>
      <c r="AB198" s="9">
        <v>69</v>
      </c>
      <c r="AC198" s="9">
        <v>5397.0084999999999</v>
      </c>
      <c r="AD198" s="10">
        <v>1</v>
      </c>
      <c r="AE198" s="13">
        <f t="shared" ref="AE198:AE205" si="22">AB198/AC198*AD198</f>
        <v>1.2784860353657031E-2</v>
      </c>
      <c r="AF198" s="8"/>
      <c r="AG198" s="9">
        <v>70.514600000000002</v>
      </c>
      <c r="AH198" s="9">
        <v>9</v>
      </c>
      <c r="AI198" s="9">
        <v>3386.2615999999998</v>
      </c>
      <c r="AJ198" s="10">
        <v>1</v>
      </c>
      <c r="AK198" s="13">
        <f t="shared" ref="AK198:AK205" si="23">AH198/AI198*AJ198</f>
        <v>2.6577982043679083E-3</v>
      </c>
    </row>
    <row r="199" spans="1:37" x14ac:dyDescent="0.4">
      <c r="A199" s="3">
        <v>70.528899999999993</v>
      </c>
      <c r="B199" s="3">
        <v>148</v>
      </c>
      <c r="C199" s="3">
        <v>6575.9868999999999</v>
      </c>
      <c r="D199" s="4">
        <v>1</v>
      </c>
      <c r="E199" s="11">
        <f t="shared" si="18"/>
        <v>2.2506127559347784E-2</v>
      </c>
      <c r="F199" s="2"/>
      <c r="G199" s="3">
        <v>70.528999999999996</v>
      </c>
      <c r="H199" s="3">
        <v>15</v>
      </c>
      <c r="I199" s="3">
        <v>5985.3633</v>
      </c>
      <c r="J199" s="4">
        <v>1</v>
      </c>
      <c r="K199" s="11">
        <f t="shared" si="19"/>
        <v>2.5061135386719134E-3</v>
      </c>
      <c r="N199" s="6">
        <v>70.522199999999998</v>
      </c>
      <c r="O199" s="6">
        <v>2</v>
      </c>
      <c r="P199" s="6">
        <v>4695.4408999999996</v>
      </c>
      <c r="Q199" s="7">
        <v>1</v>
      </c>
      <c r="R199" s="12">
        <f t="shared" si="20"/>
        <v>4.2594509069425197E-4</v>
      </c>
      <c r="S199" s="5"/>
      <c r="T199" s="6">
        <v>70.522000000000006</v>
      </c>
      <c r="U199" s="6">
        <v>0</v>
      </c>
      <c r="V199" s="6">
        <v>3911.6104</v>
      </c>
      <c r="W199" s="7">
        <v>1</v>
      </c>
      <c r="X199" s="12">
        <f t="shared" si="21"/>
        <v>0</v>
      </c>
      <c r="AA199" s="9">
        <v>70.527100000000004</v>
      </c>
      <c r="AB199" s="9">
        <v>74</v>
      </c>
      <c r="AC199" s="9">
        <v>5393.8325000000004</v>
      </c>
      <c r="AD199" s="10">
        <v>1</v>
      </c>
      <c r="AE199" s="13">
        <f t="shared" si="22"/>
        <v>1.3719373006113927E-2</v>
      </c>
      <c r="AF199" s="8"/>
      <c r="AG199" s="9">
        <v>70.524600000000007</v>
      </c>
      <c r="AH199" s="9">
        <v>2</v>
      </c>
      <c r="AI199" s="9">
        <v>3387.1592000000001</v>
      </c>
      <c r="AJ199" s="10">
        <v>1</v>
      </c>
      <c r="AK199" s="13">
        <f t="shared" si="23"/>
        <v>5.9046530791939157E-4</v>
      </c>
    </row>
    <row r="200" spans="1:37" x14ac:dyDescent="0.4">
      <c r="A200" s="3">
        <v>70.538899999999998</v>
      </c>
      <c r="B200" s="3">
        <v>140</v>
      </c>
      <c r="C200" s="3">
        <v>6576.6367</v>
      </c>
      <c r="D200" s="4">
        <v>1</v>
      </c>
      <c r="E200" s="11">
        <f t="shared" si="18"/>
        <v>2.1287476621599001E-2</v>
      </c>
      <c r="F200" s="2"/>
      <c r="G200" s="3">
        <v>70.539000000000001</v>
      </c>
      <c r="H200" s="3">
        <v>6</v>
      </c>
      <c r="I200" s="3">
        <v>5984.2912999999999</v>
      </c>
      <c r="J200" s="4">
        <v>1</v>
      </c>
      <c r="K200" s="11">
        <f t="shared" si="19"/>
        <v>1.002624989194627E-3</v>
      </c>
      <c r="N200" s="6">
        <v>70.532200000000003</v>
      </c>
      <c r="O200" s="6">
        <v>6</v>
      </c>
      <c r="P200" s="6">
        <v>4696.0752000000002</v>
      </c>
      <c r="Q200" s="7">
        <v>1</v>
      </c>
      <c r="R200" s="12">
        <f t="shared" si="20"/>
        <v>1.2776626745670512E-3</v>
      </c>
      <c r="S200" s="5"/>
      <c r="T200" s="6">
        <v>70.531999999999996</v>
      </c>
      <c r="U200" s="6">
        <v>0</v>
      </c>
      <c r="V200" s="6">
        <v>3913.1786000000002</v>
      </c>
      <c r="W200" s="7">
        <v>1</v>
      </c>
      <c r="X200" s="12">
        <f t="shared" si="21"/>
        <v>0</v>
      </c>
      <c r="AA200" s="9">
        <v>70.537099999999995</v>
      </c>
      <c r="AB200" s="9">
        <v>76</v>
      </c>
      <c r="AC200" s="9">
        <v>5394.5865999999996</v>
      </c>
      <c r="AD200" s="10">
        <v>1</v>
      </c>
      <c r="AE200" s="13">
        <f t="shared" si="22"/>
        <v>1.4088197230905517E-2</v>
      </c>
      <c r="AF200" s="8"/>
      <c r="AG200" s="9">
        <v>70.534599999999998</v>
      </c>
      <c r="AH200" s="9">
        <v>3</v>
      </c>
      <c r="AI200" s="9">
        <v>3388.2469999999998</v>
      </c>
      <c r="AJ200" s="10">
        <v>1</v>
      </c>
      <c r="AK200" s="13">
        <f t="shared" si="23"/>
        <v>8.8541360768562625E-4</v>
      </c>
    </row>
    <row r="201" spans="1:37" x14ac:dyDescent="0.4">
      <c r="A201" s="3">
        <v>70.548900000000003</v>
      </c>
      <c r="B201" s="3">
        <v>143</v>
      </c>
      <c r="C201" s="3">
        <v>6573.0457999999999</v>
      </c>
      <c r="D201" s="4">
        <v>1</v>
      </c>
      <c r="E201" s="11">
        <f t="shared" si="18"/>
        <v>2.1755515532844757E-2</v>
      </c>
      <c r="F201" s="2"/>
      <c r="G201" s="3">
        <v>70.549000000000007</v>
      </c>
      <c r="H201" s="3">
        <v>3</v>
      </c>
      <c r="I201" s="3">
        <v>5985.3468999999996</v>
      </c>
      <c r="J201" s="4">
        <v>1</v>
      </c>
      <c r="K201" s="11">
        <f t="shared" si="19"/>
        <v>5.0122408109712076E-4</v>
      </c>
      <c r="N201" s="6">
        <v>70.542199999999994</v>
      </c>
      <c r="O201" s="6">
        <v>1</v>
      </c>
      <c r="P201" s="6">
        <v>4699.3077000000003</v>
      </c>
      <c r="Q201" s="7">
        <v>1</v>
      </c>
      <c r="R201" s="12">
        <f t="shared" si="20"/>
        <v>2.1279730203663827E-4</v>
      </c>
      <c r="S201" s="5"/>
      <c r="T201" s="6">
        <v>70.542000000000002</v>
      </c>
      <c r="U201" s="6">
        <v>0</v>
      </c>
      <c r="V201" s="6">
        <v>3913.1368000000002</v>
      </c>
      <c r="W201" s="7">
        <v>1</v>
      </c>
      <c r="X201" s="12">
        <f t="shared" si="21"/>
        <v>0</v>
      </c>
      <c r="AA201" s="9">
        <v>70.5471</v>
      </c>
      <c r="AB201" s="9">
        <v>52</v>
      </c>
      <c r="AC201" s="9">
        <v>5392.8069999999998</v>
      </c>
      <c r="AD201" s="10">
        <v>1</v>
      </c>
      <c r="AE201" s="13">
        <f t="shared" si="22"/>
        <v>9.6424737618090173E-3</v>
      </c>
      <c r="AF201" s="8"/>
      <c r="AG201" s="9">
        <v>70.544600000000003</v>
      </c>
      <c r="AH201" s="9">
        <v>6</v>
      </c>
      <c r="AI201" s="9">
        <v>3385.8647000000001</v>
      </c>
      <c r="AJ201" s="10">
        <v>1</v>
      </c>
      <c r="AK201" s="13">
        <f t="shared" si="23"/>
        <v>1.7720731723272936E-3</v>
      </c>
    </row>
    <row r="202" spans="1:37" x14ac:dyDescent="0.4">
      <c r="A202" s="3">
        <v>70.558899999999994</v>
      </c>
      <c r="B202" s="3">
        <v>117</v>
      </c>
      <c r="C202" s="3">
        <v>6574.3644000000004</v>
      </c>
      <c r="D202" s="4">
        <v>1</v>
      </c>
      <c r="E202" s="11">
        <f t="shared" si="18"/>
        <v>1.7796397169587981E-2</v>
      </c>
      <c r="F202" s="2"/>
      <c r="G202" s="3">
        <v>70.558999999999997</v>
      </c>
      <c r="H202" s="3">
        <v>8</v>
      </c>
      <c r="I202" s="3">
        <v>5984.7547000000004</v>
      </c>
      <c r="J202" s="4">
        <v>1</v>
      </c>
      <c r="K202" s="11">
        <f t="shared" si="19"/>
        <v>1.3367298078232012E-3</v>
      </c>
      <c r="N202" s="6">
        <v>70.552199999999999</v>
      </c>
      <c r="O202" s="6">
        <v>1</v>
      </c>
      <c r="P202" s="6">
        <v>4703.5261</v>
      </c>
      <c r="Q202" s="7">
        <v>1</v>
      </c>
      <c r="R202" s="12">
        <f t="shared" si="20"/>
        <v>2.1260645284821531E-4</v>
      </c>
      <c r="S202" s="5"/>
      <c r="T202" s="6">
        <v>70.552000000000007</v>
      </c>
      <c r="U202" s="6">
        <v>2</v>
      </c>
      <c r="V202" s="6">
        <v>3913.2946000000002</v>
      </c>
      <c r="W202" s="7">
        <v>1</v>
      </c>
      <c r="X202" s="12">
        <f t="shared" si="21"/>
        <v>5.1107831237648198E-4</v>
      </c>
      <c r="AA202" s="9">
        <v>70.557100000000005</v>
      </c>
      <c r="AB202" s="9">
        <v>48</v>
      </c>
      <c r="AC202" s="9">
        <v>5399.0171</v>
      </c>
      <c r="AD202" s="10">
        <v>1</v>
      </c>
      <c r="AE202" s="13">
        <f t="shared" si="22"/>
        <v>8.8905071258248095E-3</v>
      </c>
      <c r="AF202" s="8"/>
      <c r="AG202" s="9">
        <v>70.554599999999994</v>
      </c>
      <c r="AH202" s="9">
        <v>4</v>
      </c>
      <c r="AI202" s="9">
        <v>3388.5488</v>
      </c>
      <c r="AJ202" s="10">
        <v>1</v>
      </c>
      <c r="AK202" s="13">
        <f t="shared" si="23"/>
        <v>1.1804463314797177E-3</v>
      </c>
    </row>
    <row r="203" spans="1:37" x14ac:dyDescent="0.4">
      <c r="A203" s="3">
        <v>70.568899999999999</v>
      </c>
      <c r="B203" s="3">
        <v>115</v>
      </c>
      <c r="C203" s="3">
        <v>6572.4863999999998</v>
      </c>
      <c r="D203" s="4">
        <v>1</v>
      </c>
      <c r="E203" s="11">
        <f t="shared" si="18"/>
        <v>1.7497183409919268E-2</v>
      </c>
      <c r="F203" s="2"/>
      <c r="G203" s="3">
        <v>70.569000000000003</v>
      </c>
      <c r="H203" s="3">
        <v>7</v>
      </c>
      <c r="I203" s="3">
        <v>5983.2848999999997</v>
      </c>
      <c r="J203" s="4">
        <v>1</v>
      </c>
      <c r="K203" s="11">
        <f t="shared" si="19"/>
        <v>1.1699259047484101E-3</v>
      </c>
      <c r="N203" s="6">
        <v>70.562200000000004</v>
      </c>
      <c r="O203" s="6">
        <v>2</v>
      </c>
      <c r="P203" s="6">
        <v>4705.1612999999998</v>
      </c>
      <c r="Q203" s="7">
        <v>1</v>
      </c>
      <c r="R203" s="12">
        <f t="shared" si="20"/>
        <v>4.2506513007322408E-4</v>
      </c>
      <c r="S203" s="5"/>
      <c r="T203" s="6">
        <v>70.561999999999998</v>
      </c>
      <c r="U203" s="6">
        <v>1</v>
      </c>
      <c r="V203" s="6">
        <v>3913.0608999999999</v>
      </c>
      <c r="W203" s="7">
        <v>1</v>
      </c>
      <c r="X203" s="12">
        <f t="shared" si="21"/>
        <v>2.5555441777049779E-4</v>
      </c>
      <c r="AA203" s="9">
        <v>70.567099999999996</v>
      </c>
      <c r="AB203" s="9">
        <v>56</v>
      </c>
      <c r="AC203" s="9">
        <v>5399.9242000000004</v>
      </c>
      <c r="AD203" s="10">
        <v>1</v>
      </c>
      <c r="AE203" s="13">
        <f t="shared" si="22"/>
        <v>1.0370515941686736E-2</v>
      </c>
      <c r="AF203" s="8"/>
      <c r="AG203" s="9">
        <v>70.564599999999999</v>
      </c>
      <c r="AH203" s="9">
        <v>2</v>
      </c>
      <c r="AI203" s="9">
        <v>3387.0594999999998</v>
      </c>
      <c r="AJ203" s="10">
        <v>1</v>
      </c>
      <c r="AK203" s="13">
        <f t="shared" si="23"/>
        <v>5.904826885975874E-4</v>
      </c>
    </row>
    <row r="204" spans="1:37" x14ac:dyDescent="0.4">
      <c r="A204" s="3">
        <v>70.578900000000004</v>
      </c>
      <c r="B204" s="3">
        <v>109</v>
      </c>
      <c r="C204" s="3">
        <v>6572.5700999999999</v>
      </c>
      <c r="D204" s="4">
        <v>1</v>
      </c>
      <c r="E204" s="11">
        <f t="shared" si="18"/>
        <v>1.6584075687530515E-2</v>
      </c>
      <c r="F204" s="2"/>
      <c r="G204" s="3">
        <v>70.578999999999994</v>
      </c>
      <c r="H204" s="3">
        <v>5</v>
      </c>
      <c r="I204" s="3">
        <v>5983.6361999999999</v>
      </c>
      <c r="J204" s="4">
        <v>1</v>
      </c>
      <c r="K204" s="11">
        <f t="shared" si="19"/>
        <v>8.356122987557298E-4</v>
      </c>
      <c r="N204" s="6">
        <v>70.572199999999995</v>
      </c>
      <c r="O204" s="6">
        <v>0</v>
      </c>
      <c r="P204" s="6">
        <v>4700.7109</v>
      </c>
      <c r="Q204" s="7">
        <v>1</v>
      </c>
      <c r="R204" s="12">
        <f t="shared" si="20"/>
        <v>0</v>
      </c>
      <c r="S204" s="5"/>
      <c r="T204" s="6">
        <v>70.572000000000003</v>
      </c>
      <c r="U204" s="6">
        <v>1</v>
      </c>
      <c r="V204" s="6">
        <v>3911.9238999999998</v>
      </c>
      <c r="W204" s="7">
        <v>1</v>
      </c>
      <c r="X204" s="12">
        <f t="shared" si="21"/>
        <v>2.5562869461750011E-4</v>
      </c>
      <c r="AA204" s="9">
        <v>70.577100000000002</v>
      </c>
      <c r="AB204" s="9">
        <v>47</v>
      </c>
      <c r="AC204" s="9">
        <v>5402.9931999999999</v>
      </c>
      <c r="AD204" s="10">
        <v>1</v>
      </c>
      <c r="AE204" s="13">
        <f t="shared" si="22"/>
        <v>8.6988819456593064E-3</v>
      </c>
      <c r="AF204" s="8"/>
      <c r="AG204" s="9">
        <v>70.574600000000004</v>
      </c>
      <c r="AH204" s="9">
        <v>1</v>
      </c>
      <c r="AI204" s="9">
        <v>3388.6559000000002</v>
      </c>
      <c r="AJ204" s="10">
        <v>1</v>
      </c>
      <c r="AK204" s="13">
        <f t="shared" si="23"/>
        <v>2.951022557350836E-4</v>
      </c>
    </row>
    <row r="205" spans="1:37" x14ac:dyDescent="0.4">
      <c r="A205" s="3">
        <v>70.588899999999995</v>
      </c>
      <c r="B205" s="3">
        <v>94</v>
      </c>
      <c r="C205" s="3">
        <v>6569.6688000000004</v>
      </c>
      <c r="D205" s="4">
        <v>1</v>
      </c>
      <c r="E205" s="11">
        <f t="shared" si="18"/>
        <v>1.4308179432119926E-2</v>
      </c>
      <c r="F205" s="2"/>
      <c r="G205" s="3">
        <v>70.588999999999999</v>
      </c>
      <c r="H205" s="3">
        <v>4</v>
      </c>
      <c r="I205" s="3">
        <v>5982.4198999999999</v>
      </c>
      <c r="J205" s="4">
        <v>1</v>
      </c>
      <c r="K205" s="11">
        <f t="shared" si="19"/>
        <v>6.6862575126162577E-4</v>
      </c>
      <c r="N205" s="6">
        <v>70.5822</v>
      </c>
      <c r="O205" s="6">
        <v>2</v>
      </c>
      <c r="P205" s="6">
        <v>4703.5198</v>
      </c>
      <c r="Q205" s="7">
        <v>1</v>
      </c>
      <c r="R205" s="12">
        <f t="shared" si="20"/>
        <v>4.2521347523614126E-4</v>
      </c>
      <c r="S205" s="5"/>
      <c r="T205" s="6">
        <v>70.581999999999994</v>
      </c>
      <c r="U205" s="6">
        <v>0</v>
      </c>
      <c r="V205" s="6">
        <v>3911.0077999999999</v>
      </c>
      <c r="W205" s="7">
        <v>1</v>
      </c>
      <c r="X205" s="12">
        <f t="shared" si="21"/>
        <v>0</v>
      </c>
      <c r="AA205" s="9">
        <v>70.587100000000007</v>
      </c>
      <c r="AB205" s="9">
        <v>41</v>
      </c>
      <c r="AC205" s="9">
        <v>5405.7250000000004</v>
      </c>
      <c r="AD205" s="10">
        <v>1</v>
      </c>
      <c r="AE205" s="13">
        <f t="shared" si="22"/>
        <v>7.584551563388814E-3</v>
      </c>
      <c r="AF205" s="8"/>
      <c r="AG205" s="9">
        <v>70.584599999999995</v>
      </c>
      <c r="AH205" s="9">
        <v>4</v>
      </c>
      <c r="AI205" s="9">
        <v>3390.5785000000001</v>
      </c>
      <c r="AJ205" s="10">
        <v>1</v>
      </c>
      <c r="AK205" s="13">
        <f t="shared" si="23"/>
        <v>1.1797396815912092E-3</v>
      </c>
    </row>
    <row r="206" spans="1:37" x14ac:dyDescent="0.4">
      <c r="AK206" s="13" t="s">
        <v>77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OMEGA</vt:lpstr>
      <vt:lpstr>θ-scan2_thermo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2025-09-28T16:02:51Z</dcterms:modified>
</cp:coreProperties>
</file>