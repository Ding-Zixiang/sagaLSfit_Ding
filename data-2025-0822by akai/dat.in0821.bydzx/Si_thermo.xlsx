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114" documentId="13_ncr:1_{872EF878-1D69-457A-8EF8-FE190E6D1BA9}" xr6:coauthVersionLast="47" xr6:coauthVersionMax="47" xr10:uidLastSave="{E5BF1A97-9D33-4718-BF39-B9587342A66D}"/>
  <bookViews>
    <workbookView xWindow="49800" yWindow="4455" windowWidth="20250" windowHeight="6600" activeTab="1" xr2:uid="{00000000-000D-0000-FFFF-FFFF00000000}"/>
  </bookViews>
  <sheets>
    <sheet name="thermo-ω" sheetId="2" r:id="rId1"/>
    <sheet name="2thome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3" l="1"/>
  <c r="F120" i="3"/>
  <c r="F121" i="3"/>
  <c r="M120" i="3"/>
  <c r="M121" i="3"/>
  <c r="M119" i="3"/>
  <c r="L119" i="3"/>
  <c r="L120" i="3"/>
  <c r="L121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0" i="3"/>
  <c r="AC21" i="2"/>
  <c r="AC22" i="2"/>
  <c r="AC23" i="2"/>
  <c r="AC24" i="2"/>
  <c r="AC20" i="2"/>
  <c r="AJ22" i="2"/>
  <c r="AJ23" i="2"/>
  <c r="AJ24" i="2"/>
  <c r="AJ25" i="2"/>
  <c r="AJ26" i="2"/>
  <c r="AJ27" i="2"/>
  <c r="AJ28" i="2"/>
  <c r="AJ29" i="2"/>
  <c r="AJ30" i="2"/>
  <c r="AJ21" i="2"/>
  <c r="AJ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20" i="2"/>
  <c r="AI21" i="2" l="1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20" i="2"/>
  <c r="M101" i="2" l="1"/>
  <c r="G162" i="2" s="1"/>
  <c r="G163" i="2" l="1"/>
  <c r="G45" i="2"/>
  <c r="G90" i="2"/>
  <c r="G94" i="2"/>
  <c r="G96" i="2"/>
  <c r="G39" i="2"/>
  <c r="G220" i="2"/>
  <c r="G199" i="2"/>
  <c r="G213" i="2"/>
  <c r="G137" i="2"/>
  <c r="G32" i="2"/>
  <c r="G111" i="2"/>
  <c r="G116" i="2"/>
  <c r="G212" i="2"/>
  <c r="G55" i="2"/>
  <c r="G62" i="2"/>
  <c r="G46" i="2"/>
  <c r="G156" i="2"/>
  <c r="G22" i="2"/>
  <c r="G113" i="2"/>
  <c r="G70" i="2"/>
  <c r="G158" i="2"/>
  <c r="G207" i="2"/>
  <c r="G182" i="2"/>
  <c r="G117" i="2"/>
  <c r="G128" i="2"/>
  <c r="G144" i="2"/>
  <c r="G110" i="2"/>
  <c r="G71" i="2"/>
  <c r="G181" i="2"/>
  <c r="G177" i="2"/>
  <c r="G79" i="2"/>
  <c r="G185" i="2"/>
  <c r="G214" i="2"/>
  <c r="G50" i="2"/>
  <c r="G54" i="2"/>
  <c r="G76" i="2"/>
  <c r="G29" i="2"/>
  <c r="G190" i="2"/>
  <c r="G33" i="2"/>
  <c r="G122" i="2"/>
  <c r="G166" i="2"/>
  <c r="G86" i="2"/>
  <c r="G188" i="2"/>
  <c r="G210" i="2"/>
  <c r="G59" i="2"/>
  <c r="G81" i="2"/>
  <c r="G103" i="2"/>
  <c r="G125" i="2"/>
  <c r="G119" i="2"/>
  <c r="G35" i="2"/>
  <c r="G147" i="2"/>
  <c r="G24" i="2"/>
  <c r="G191" i="2"/>
  <c r="G101" i="2"/>
  <c r="G196" i="2"/>
  <c r="G184" i="2"/>
  <c r="G174" i="2"/>
  <c r="G63" i="2"/>
  <c r="G151" i="2"/>
  <c r="G218" i="2"/>
  <c r="G172" i="2"/>
  <c r="G178" i="2"/>
  <c r="G75" i="2"/>
  <c r="G139" i="2"/>
  <c r="G97" i="2"/>
  <c r="G74" i="2"/>
  <c r="G141" i="2"/>
  <c r="G57" i="2"/>
  <c r="G169" i="2"/>
  <c r="G203" i="2"/>
  <c r="G118" i="2"/>
  <c r="G61" i="2"/>
  <c r="G91" i="2"/>
  <c r="G77" i="2"/>
  <c r="G66" i="2"/>
  <c r="G176" i="2"/>
  <c r="G83" i="2"/>
  <c r="G201" i="2"/>
  <c r="G99" i="2"/>
  <c r="G198" i="2"/>
  <c r="G21" i="2"/>
  <c r="G105" i="2"/>
  <c r="G202" i="2"/>
  <c r="G121" i="2"/>
  <c r="G155" i="2"/>
  <c r="G134" i="2"/>
  <c r="G127" i="2"/>
  <c r="G27" i="2"/>
  <c r="G143" i="2"/>
  <c r="G68" i="2"/>
  <c r="G200" i="2"/>
  <c r="G149" i="2"/>
  <c r="G115" i="2"/>
  <c r="G165" i="2"/>
  <c r="G69" i="2"/>
  <c r="G73" i="2"/>
  <c r="G171" i="2"/>
  <c r="G138" i="2"/>
  <c r="G187" i="2"/>
  <c r="G179" i="2"/>
  <c r="G20" i="2"/>
  <c r="G193" i="2"/>
  <c r="G51" i="2"/>
  <c r="G209" i="2"/>
  <c r="G180" i="2"/>
  <c r="G206" i="2"/>
  <c r="G152" i="2"/>
  <c r="G205" i="2"/>
  <c r="G53" i="2"/>
  <c r="G150" i="2"/>
  <c r="G49" i="2"/>
  <c r="G37" i="2"/>
  <c r="G132" i="2"/>
  <c r="G31" i="2"/>
  <c r="G89" i="2"/>
  <c r="G154" i="2"/>
  <c r="G64" i="2"/>
  <c r="G192" i="2"/>
  <c r="G26" i="2"/>
  <c r="G168" i="2"/>
  <c r="G108" i="2"/>
  <c r="G100" i="2"/>
  <c r="G112" i="2"/>
  <c r="G219" i="2"/>
  <c r="G88" i="2"/>
  <c r="G217" i="2"/>
  <c r="G170" i="2"/>
  <c r="G160" i="2"/>
  <c r="G146" i="2"/>
  <c r="G173" i="2"/>
  <c r="G78" i="2"/>
  <c r="G67" i="2"/>
  <c r="G197" i="2"/>
  <c r="G130" i="2"/>
  <c r="G129" i="2"/>
  <c r="G148" i="2"/>
  <c r="G28" i="2"/>
  <c r="G124" i="2"/>
  <c r="G85" i="2"/>
  <c r="G56" i="2"/>
  <c r="G106" i="2"/>
  <c r="G175" i="2"/>
  <c r="G42" i="2"/>
  <c r="G194" i="2"/>
  <c r="G126" i="2"/>
  <c r="G159" i="2"/>
  <c r="G102" i="2"/>
  <c r="G84" i="2"/>
  <c r="G34" i="2"/>
  <c r="G208" i="2"/>
  <c r="G153" i="2"/>
  <c r="G195" i="2"/>
  <c r="G40" i="2"/>
  <c r="G104" i="2"/>
  <c r="G93" i="2"/>
  <c r="G80" i="2"/>
  <c r="G211" i="2"/>
  <c r="G30" i="2"/>
  <c r="G186" i="2"/>
  <c r="G131" i="2"/>
  <c r="G107" i="2"/>
  <c r="G161" i="2"/>
  <c r="G82" i="2"/>
  <c r="G136" i="2"/>
  <c r="G58" i="2"/>
  <c r="G189" i="2"/>
  <c r="G25" i="2"/>
  <c r="G164" i="2"/>
  <c r="G109" i="2"/>
  <c r="G41" i="2"/>
  <c r="G114" i="2"/>
  <c r="G60" i="2"/>
  <c r="G48" i="2"/>
  <c r="G36" i="2"/>
  <c r="G167" i="2"/>
  <c r="G92" i="2"/>
  <c r="G142" i="2"/>
  <c r="G87" i="2"/>
  <c r="G95" i="2"/>
  <c r="G23" i="2"/>
  <c r="G38" i="2"/>
  <c r="G157" i="2"/>
  <c r="G52" i="2"/>
  <c r="G145" i="2"/>
  <c r="G135" i="2"/>
  <c r="G120" i="2"/>
  <c r="G65" i="2"/>
  <c r="G204" i="2"/>
  <c r="G216" i="2"/>
  <c r="G140" i="2"/>
  <c r="G47" i="2"/>
  <c r="G183" i="2"/>
  <c r="G123" i="2"/>
  <c r="G133" i="2"/>
  <c r="G98" i="2"/>
  <c r="G43" i="2"/>
  <c r="G72" i="2"/>
  <c r="G215" i="2"/>
  <c r="G44" i="2"/>
</calcChain>
</file>

<file path=xl/sharedStrings.xml><?xml version="1.0" encoding="utf-8"?>
<sst xmlns="http://schemas.openxmlformats.org/spreadsheetml/2006/main" count="156" uniqueCount="61">
  <si>
    <t>Rx : 0.1609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</si>
  <si>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</si>
  <si>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</si>
  <si>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</si>
  <si>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</si>
  <si>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</si>
  <si>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</si>
  <si>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Sz : 11.584 mm</t>
  </si>
  <si>
    <t>Ry : 0.1147 deg</t>
  </si>
  <si>
    <t>θ : 33.9592 deg</t>
  </si>
  <si>
    <t>2θ : 68.5890 deg</t>
  </si>
  <si>
    <t>χ : 89.6743 deg</t>
  </si>
  <si>
    <t>φ : 0.0000 deg</t>
  </si>
  <si>
    <t>Scan axis : θ</t>
  </si>
  <si>
    <t>表</t>
    <phoneticPr fontId="1" type="noConversion"/>
  </si>
  <si>
    <t>Start: 34.3596 deg</t>
  </si>
  <si>
    <t>Start: 33.9392 deg</t>
  </si>
  <si>
    <t>Si_Thermo_omega_BG.dat</t>
  </si>
  <si>
    <t>2025/08/21 10:51:47 - 10:54:35</t>
  </si>
  <si>
    <t xml:space="preserve"> End: 33.9792 deg</t>
  </si>
  <si>
    <t>Step: 0.0005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</si>
  <si>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</si>
  <si>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</si>
  <si>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</si>
  <si>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</si>
  <si>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</si>
  <si>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平均值计算</t>
    <phoneticPr fontId="1" type="noConversion"/>
  </si>
  <si>
    <t>（-bg(avg)</t>
    <phoneticPr fontId="1" type="noConversion"/>
  </si>
  <si>
    <t>2025/08/21 17:29:34 - 17:42:26</t>
  </si>
  <si>
    <t>θ : 34.4588 deg</t>
  </si>
  <si>
    <t>2θ : 69.5890 deg</t>
  </si>
  <si>
    <t>χ : 89.6532 deg</t>
  </si>
  <si>
    <t>Sz : 11.600 mm</t>
  </si>
  <si>
    <t>Ry : 0.0877 deg</t>
  </si>
  <si>
    <t>Start: 34.3588 deg</t>
  </si>
  <si>
    <t xml:space="preserve"> End: 34.5588 deg</t>
  </si>
  <si>
    <t>Step: 0.0010 deg</t>
  </si>
  <si>
    <t xml:space="preserve"> Time: 2.0 sec</t>
  </si>
  <si>
    <t xml:space="preserve"> End: 33.9788 deg</t>
  </si>
  <si>
    <t>Start: 33.9388 deg</t>
  </si>
  <si>
    <t>θ : 33.9588 deg</t>
  </si>
  <si>
    <t>2025/08/21 17:45:34 - 17:50:34</t>
  </si>
  <si>
    <t>Si_Thermo_omega_2_BG.dat</t>
  </si>
  <si>
    <t>2025/08/21 10:35:34 - 10:45:56</t>
  </si>
  <si>
    <t>θ : 34.4591 deg</t>
  </si>
  <si>
    <t>2θ : 69.5889 deg</t>
  </si>
  <si>
    <t>Scan axis : 2θ/θ</t>
  </si>
  <si>
    <t>Start: 68.5889 deg</t>
  </si>
  <si>
    <t xml:space="preserve"> End: 70.5889 deg</t>
  </si>
  <si>
    <t>Step: 0.0100 deg</t>
  </si>
  <si>
    <t>2025/08/21 17:14:48 - 17:28:30</t>
  </si>
  <si>
    <t>Start: 68.5890 deg</t>
  </si>
  <si>
    <t xml:space="preserve"> End: 70.5890 deg</t>
  </si>
  <si>
    <t>2025/08/21 10:24:53 - 10:34:20</t>
  </si>
  <si>
    <t>θ : 34.4596 deg</t>
  </si>
  <si>
    <t xml:space="preserve"> End: 34.5596 deg</t>
  </si>
  <si>
    <t>Si_Thermo_omega</t>
    <phoneticPr fontId="1" type="noConversion"/>
  </si>
  <si>
    <t>Si_Thermo_omega_2</t>
    <phoneticPr fontId="1" type="noConversion"/>
  </si>
  <si>
    <t>biao_2</t>
    <phoneticPr fontId="1" type="noConversion"/>
  </si>
  <si>
    <t>Si_Thermo_2θ</t>
    <phoneticPr fontId="1" type="noConversion"/>
  </si>
  <si>
    <t>Si_Thermo_2θ_90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</si>
</sst>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5" xfId="0" applyNumberFormat="1" applyBorder="1"/>
    <xf numFmtId="11" fontId="0" fillId="0" borderId="0" xfId="0" applyNumberFormat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vertical="center"/>
    </xf>
    <xf numFmtId="0" fontId="0" fillId="0" borderId="13" xfId="0" applyBorder="1"/>
    <xf numFmtId="0" fontId="2" fillId="0" borderId="13" xfId="0" applyFont="1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1" fontId="0" fillId="0" borderId="15" xfId="0" applyNumberFormat="1" applyBorder="1" applyAlignment="1">
      <alignment vertical="center"/>
    </xf>
    <xf numFmtId="11" fontId="0" fillId="0" borderId="15" xfId="0" applyNumberFormat="1" applyBorder="1"/>
    <xf numFmtId="0" fontId="0" fillId="0" borderId="16" xfId="0" applyBorder="1" applyAlignment="1">
      <alignment vertical="center"/>
    </xf>
    <xf numFmtId="176" fontId="0" fillId="0" borderId="13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bg-1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2916174351444"/>
          <c:y val="0.12898585601127993"/>
          <c:w val="0.83899610006193903"/>
          <c:h val="0.771156160074838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'thermo-ω'!$I$20:$I$100</c:f>
              <c:numCache>
                <c:formatCode>General</c:formatCode>
                <c:ptCount val="81"/>
                <c:pt idx="0">
                  <c:v>33.9392</c:v>
                </c:pt>
                <c:pt idx="1">
                  <c:v>33.939700000000002</c:v>
                </c:pt>
                <c:pt idx="2">
                  <c:v>33.940199999999997</c:v>
                </c:pt>
                <c:pt idx="3">
                  <c:v>33.9407</c:v>
                </c:pt>
                <c:pt idx="4">
                  <c:v>33.941200000000002</c:v>
                </c:pt>
                <c:pt idx="5">
                  <c:v>33.941699999999997</c:v>
                </c:pt>
                <c:pt idx="6">
                  <c:v>33.9422</c:v>
                </c:pt>
                <c:pt idx="7">
                  <c:v>33.942700000000002</c:v>
                </c:pt>
                <c:pt idx="8">
                  <c:v>33.943199999999997</c:v>
                </c:pt>
                <c:pt idx="9">
                  <c:v>33.9437</c:v>
                </c:pt>
                <c:pt idx="10">
                  <c:v>33.944200000000002</c:v>
                </c:pt>
                <c:pt idx="11">
                  <c:v>33.944699999999997</c:v>
                </c:pt>
                <c:pt idx="12">
                  <c:v>33.9452</c:v>
                </c:pt>
                <c:pt idx="13">
                  <c:v>33.945700000000002</c:v>
                </c:pt>
                <c:pt idx="14">
                  <c:v>33.946199999999997</c:v>
                </c:pt>
                <c:pt idx="15">
                  <c:v>33.9467</c:v>
                </c:pt>
                <c:pt idx="16">
                  <c:v>33.947200000000002</c:v>
                </c:pt>
                <c:pt idx="17">
                  <c:v>33.947699999999998</c:v>
                </c:pt>
                <c:pt idx="18">
                  <c:v>33.9482</c:v>
                </c:pt>
                <c:pt idx="19">
                  <c:v>33.948700000000002</c:v>
                </c:pt>
                <c:pt idx="20">
                  <c:v>33.949199999999998</c:v>
                </c:pt>
                <c:pt idx="21">
                  <c:v>33.9497</c:v>
                </c:pt>
                <c:pt idx="22">
                  <c:v>33.950200000000002</c:v>
                </c:pt>
                <c:pt idx="23">
                  <c:v>33.950699999999998</c:v>
                </c:pt>
                <c:pt idx="24">
                  <c:v>33.9512</c:v>
                </c:pt>
                <c:pt idx="25">
                  <c:v>33.951700000000002</c:v>
                </c:pt>
                <c:pt idx="26">
                  <c:v>33.952199999999998</c:v>
                </c:pt>
                <c:pt idx="27">
                  <c:v>33.9527</c:v>
                </c:pt>
                <c:pt idx="28">
                  <c:v>33.953200000000002</c:v>
                </c:pt>
                <c:pt idx="29">
                  <c:v>33.953699999999998</c:v>
                </c:pt>
                <c:pt idx="30">
                  <c:v>33.9542</c:v>
                </c:pt>
                <c:pt idx="31">
                  <c:v>33.954700000000003</c:v>
                </c:pt>
                <c:pt idx="32">
                  <c:v>33.955199999999998</c:v>
                </c:pt>
                <c:pt idx="33">
                  <c:v>33.9557</c:v>
                </c:pt>
                <c:pt idx="34">
                  <c:v>33.956200000000003</c:v>
                </c:pt>
                <c:pt idx="35">
                  <c:v>33.956699999999998</c:v>
                </c:pt>
                <c:pt idx="36">
                  <c:v>33.9572</c:v>
                </c:pt>
                <c:pt idx="37">
                  <c:v>33.957700000000003</c:v>
                </c:pt>
                <c:pt idx="38">
                  <c:v>33.958199999999998</c:v>
                </c:pt>
                <c:pt idx="39">
                  <c:v>33.9587</c:v>
                </c:pt>
                <c:pt idx="40">
                  <c:v>33.959200000000003</c:v>
                </c:pt>
                <c:pt idx="41">
                  <c:v>33.959699999999998</c:v>
                </c:pt>
                <c:pt idx="42">
                  <c:v>33.9602</c:v>
                </c:pt>
                <c:pt idx="43">
                  <c:v>33.960700000000003</c:v>
                </c:pt>
                <c:pt idx="44">
                  <c:v>33.961199999999998</c:v>
                </c:pt>
                <c:pt idx="45">
                  <c:v>33.9617</c:v>
                </c:pt>
                <c:pt idx="46">
                  <c:v>33.962200000000003</c:v>
                </c:pt>
                <c:pt idx="47">
                  <c:v>33.962699999999998</c:v>
                </c:pt>
                <c:pt idx="48">
                  <c:v>33.963200000000001</c:v>
                </c:pt>
                <c:pt idx="49">
                  <c:v>33.963700000000003</c:v>
                </c:pt>
                <c:pt idx="50">
                  <c:v>33.964199999999998</c:v>
                </c:pt>
                <c:pt idx="51">
                  <c:v>33.964700000000001</c:v>
                </c:pt>
                <c:pt idx="52">
                  <c:v>33.965200000000003</c:v>
                </c:pt>
                <c:pt idx="53">
                  <c:v>33.965699999999998</c:v>
                </c:pt>
                <c:pt idx="54">
                  <c:v>33.966200000000001</c:v>
                </c:pt>
                <c:pt idx="55">
                  <c:v>33.966700000000003</c:v>
                </c:pt>
                <c:pt idx="56">
                  <c:v>33.967199999999998</c:v>
                </c:pt>
                <c:pt idx="57">
                  <c:v>33.967700000000001</c:v>
                </c:pt>
                <c:pt idx="58">
                  <c:v>33.968200000000003</c:v>
                </c:pt>
                <c:pt idx="59">
                  <c:v>33.968699999999998</c:v>
                </c:pt>
                <c:pt idx="60">
                  <c:v>33.969200000000001</c:v>
                </c:pt>
                <c:pt idx="61">
                  <c:v>33.969700000000003</c:v>
                </c:pt>
                <c:pt idx="62">
                  <c:v>33.970199999999998</c:v>
                </c:pt>
                <c:pt idx="63">
                  <c:v>33.970700000000001</c:v>
                </c:pt>
                <c:pt idx="64">
                  <c:v>33.971200000000003</c:v>
                </c:pt>
                <c:pt idx="65">
                  <c:v>33.971699999999998</c:v>
                </c:pt>
                <c:pt idx="66">
                  <c:v>33.972200000000001</c:v>
                </c:pt>
                <c:pt idx="67">
                  <c:v>33.972700000000003</c:v>
                </c:pt>
                <c:pt idx="68">
                  <c:v>33.973199999999999</c:v>
                </c:pt>
                <c:pt idx="69">
                  <c:v>33.973700000000001</c:v>
                </c:pt>
                <c:pt idx="70">
                  <c:v>33.974200000000003</c:v>
                </c:pt>
                <c:pt idx="71">
                  <c:v>33.974699999999999</c:v>
                </c:pt>
                <c:pt idx="72">
                  <c:v>33.975200000000001</c:v>
                </c:pt>
                <c:pt idx="73">
                  <c:v>33.975700000000003</c:v>
                </c:pt>
                <c:pt idx="74">
                  <c:v>33.976199999999999</c:v>
                </c:pt>
                <c:pt idx="75">
                  <c:v>33.976700000000001</c:v>
                </c:pt>
                <c:pt idx="76">
                  <c:v>33.977200000000003</c:v>
                </c:pt>
                <c:pt idx="77">
                  <c:v>33.977699999999999</c:v>
                </c:pt>
                <c:pt idx="78">
                  <c:v>33.978200000000001</c:v>
                </c:pt>
                <c:pt idx="79">
                  <c:v>33.978700000000003</c:v>
                </c:pt>
                <c:pt idx="80">
                  <c:v>33.979199999999999</c:v>
                </c:pt>
              </c:numCache>
            </c:numRef>
          </c:xVal>
          <c:yVal>
            <c:numRef>
              <c:f>'thermo-ω'!$M$20:$M$100</c:f>
              <c:numCache>
                <c:formatCode>0.00E+00</c:formatCode>
                <c:ptCount val="81"/>
                <c:pt idx="0">
                  <c:v>4.6465750722430129E-4</c:v>
                </c:pt>
                <c:pt idx="1">
                  <c:v>6.1991669280519568E-4</c:v>
                </c:pt>
                <c:pt idx="2">
                  <c:v>4.6502400244639825E-4</c:v>
                </c:pt>
                <c:pt idx="3">
                  <c:v>6.2008613709543315E-4</c:v>
                </c:pt>
                <c:pt idx="4">
                  <c:v>1.5510126189145865E-4</c:v>
                </c:pt>
                <c:pt idx="5">
                  <c:v>4.6539328548252654E-4</c:v>
                </c:pt>
                <c:pt idx="6">
                  <c:v>1.5520236704717269E-4</c:v>
                </c:pt>
                <c:pt idx="7">
                  <c:v>0</c:v>
                </c:pt>
                <c:pt idx="8">
                  <c:v>4.6539667876486016E-4</c:v>
                </c:pt>
                <c:pt idx="9">
                  <c:v>4.6568060454407723E-4</c:v>
                </c:pt>
                <c:pt idx="10">
                  <c:v>1.2418168152552229E-3</c:v>
                </c:pt>
                <c:pt idx="11">
                  <c:v>9.3120479369328518E-4</c:v>
                </c:pt>
                <c:pt idx="12">
                  <c:v>2.7946527362957296E-3</c:v>
                </c:pt>
                <c:pt idx="13">
                  <c:v>3.4146595556484895E-3</c:v>
                </c:pt>
                <c:pt idx="14">
                  <c:v>8.8487866706721142E-3</c:v>
                </c:pt>
                <c:pt idx="15">
                  <c:v>8.8492515559196547E-3</c:v>
                </c:pt>
                <c:pt idx="16">
                  <c:v>9.001321114588276E-3</c:v>
                </c:pt>
                <c:pt idx="17">
                  <c:v>1.443827719557797E-2</c:v>
                </c:pt>
                <c:pt idx="18">
                  <c:v>1.7076498755783015E-2</c:v>
                </c:pt>
                <c:pt idx="19">
                  <c:v>1.9407883786709778E-2</c:v>
                </c:pt>
                <c:pt idx="20">
                  <c:v>2.0959309782293632E-2</c:v>
                </c:pt>
                <c:pt idx="21">
                  <c:v>2.4838069371020136E-2</c:v>
                </c:pt>
                <c:pt idx="22">
                  <c:v>2.1580783377468365E-2</c:v>
                </c:pt>
                <c:pt idx="23">
                  <c:v>2.0645865382934697E-2</c:v>
                </c:pt>
                <c:pt idx="24">
                  <c:v>2.12771994633238E-2</c:v>
                </c:pt>
                <c:pt idx="25">
                  <c:v>2.1751043183915218E-2</c:v>
                </c:pt>
                <c:pt idx="26">
                  <c:v>1.9112300756012692E-2</c:v>
                </c:pt>
                <c:pt idx="27">
                  <c:v>1.8960916003717146E-2</c:v>
                </c:pt>
                <c:pt idx="28">
                  <c:v>2.1288715335270148E-2</c:v>
                </c:pt>
                <c:pt idx="29">
                  <c:v>1.6487009589622466E-2</c:v>
                </c:pt>
                <c:pt idx="30">
                  <c:v>1.3226360191879942E-2</c:v>
                </c:pt>
                <c:pt idx="31">
                  <c:v>1.3228347358597839E-2</c:v>
                </c:pt>
                <c:pt idx="32">
                  <c:v>7.9365202871464167E-3</c:v>
                </c:pt>
                <c:pt idx="33">
                  <c:v>6.2277869436097094E-3</c:v>
                </c:pt>
                <c:pt idx="34">
                  <c:v>4.3594134620929693E-3</c:v>
                </c:pt>
                <c:pt idx="35">
                  <c:v>6.5389742012245998E-3</c:v>
                </c:pt>
                <c:pt idx="36">
                  <c:v>1.2453195830956459E-3</c:v>
                </c:pt>
                <c:pt idx="37">
                  <c:v>4.671072349445538E-4</c:v>
                </c:pt>
                <c:pt idx="38">
                  <c:v>3.113976038265783E-4</c:v>
                </c:pt>
                <c:pt idx="39">
                  <c:v>6.2234250028277691E-4</c:v>
                </c:pt>
                <c:pt idx="40">
                  <c:v>6.2235722810119009E-4</c:v>
                </c:pt>
                <c:pt idx="41">
                  <c:v>7.7781308703498211E-4</c:v>
                </c:pt>
                <c:pt idx="42">
                  <c:v>0</c:v>
                </c:pt>
                <c:pt idx="43">
                  <c:v>4.6679321741986397E-4</c:v>
                </c:pt>
                <c:pt idx="44">
                  <c:v>3.2665550956626215E-3</c:v>
                </c:pt>
                <c:pt idx="45">
                  <c:v>1.5559970991234882E-4</c:v>
                </c:pt>
                <c:pt idx="46">
                  <c:v>3.1124244435623143E-4</c:v>
                </c:pt>
                <c:pt idx="47">
                  <c:v>4.6682901319909241E-4</c:v>
                </c:pt>
                <c:pt idx="48">
                  <c:v>1.5564433681465616E-4</c:v>
                </c:pt>
                <c:pt idx="49">
                  <c:v>1.5570217164046873E-4</c:v>
                </c:pt>
                <c:pt idx="50">
                  <c:v>1.5567119988465388E-4</c:v>
                </c:pt>
                <c:pt idx="51">
                  <c:v>1.5567267087336775E-4</c:v>
                </c:pt>
                <c:pt idx="52">
                  <c:v>1.5567316767155253E-4</c:v>
                </c:pt>
                <c:pt idx="53">
                  <c:v>1.5568179550181117E-4</c:v>
                </c:pt>
                <c:pt idx="54">
                  <c:v>9.3450265573973479E-4</c:v>
                </c:pt>
                <c:pt idx="55">
                  <c:v>3.1159046742558472E-4</c:v>
                </c:pt>
                <c:pt idx="56">
                  <c:v>3.1169974013904361E-4</c:v>
                </c:pt>
                <c:pt idx="57">
                  <c:v>0</c:v>
                </c:pt>
                <c:pt idx="58">
                  <c:v>3.1178373532753535E-4</c:v>
                </c:pt>
                <c:pt idx="59">
                  <c:v>1.5604726290838173E-4</c:v>
                </c:pt>
                <c:pt idx="60">
                  <c:v>3.1198745822897414E-4</c:v>
                </c:pt>
                <c:pt idx="61">
                  <c:v>3.1208023745186612E-4</c:v>
                </c:pt>
                <c:pt idx="62">
                  <c:v>1.5603929088069089E-4</c:v>
                </c:pt>
                <c:pt idx="63">
                  <c:v>4.6823316569493458E-4</c:v>
                </c:pt>
                <c:pt idx="64">
                  <c:v>1.5611983508749579E-4</c:v>
                </c:pt>
                <c:pt idx="65">
                  <c:v>1.5617401889958632E-4</c:v>
                </c:pt>
                <c:pt idx="66">
                  <c:v>1.2496787544551829E-3</c:v>
                </c:pt>
                <c:pt idx="67">
                  <c:v>3.1240026621501087E-4</c:v>
                </c:pt>
                <c:pt idx="68">
                  <c:v>1.5624247106592551E-4</c:v>
                </c:pt>
                <c:pt idx="69">
                  <c:v>1.5622630242275123E-4</c:v>
                </c:pt>
                <c:pt idx="70">
                  <c:v>1.5615580632963509E-4</c:v>
                </c:pt>
                <c:pt idx="71">
                  <c:v>6.2489325065766493E-4</c:v>
                </c:pt>
                <c:pt idx="72">
                  <c:v>0</c:v>
                </c:pt>
                <c:pt idx="73">
                  <c:v>7.810902426363108E-4</c:v>
                </c:pt>
                <c:pt idx="74">
                  <c:v>1.4051510182153629E-3</c:v>
                </c:pt>
                <c:pt idx="75">
                  <c:v>1.5619787140101166E-4</c:v>
                </c:pt>
                <c:pt idx="76">
                  <c:v>1.5619200639612515E-4</c:v>
                </c:pt>
                <c:pt idx="77">
                  <c:v>4.6862691953296202E-4</c:v>
                </c:pt>
                <c:pt idx="78">
                  <c:v>4.6853458390419718E-4</c:v>
                </c:pt>
                <c:pt idx="79">
                  <c:v>3.1251486887149554E-4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9-4995-88C5-BB740BBF6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89248"/>
        <c:axId val="520366688"/>
      </c:scatterChart>
      <c:valAx>
        <c:axId val="520389248"/>
        <c:scaling>
          <c:orientation val="minMax"/>
          <c:max val="33.979999999999997"/>
          <c:min val="33.94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366688"/>
        <c:crosses val="autoZero"/>
        <c:crossBetween val="midCat"/>
      </c:valAx>
      <c:valAx>
        <c:axId val="520366688"/>
        <c:scaling>
          <c:logBase val="10"/>
          <c:orientation val="minMax"/>
          <c:max val="0.1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38924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bg-2</a:t>
            </a:r>
            <a:endParaRPr lang="zh-CN" altLang="en-US"/>
          </a:p>
        </c:rich>
      </c:tx>
      <c:layout>
        <c:manualLayout>
          <c:xMode val="edge"/>
          <c:yMode val="edge"/>
          <c:x val="0.43671709218165911"/>
          <c:y val="2.9024922581161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0927384076992E-2"/>
          <c:y val="0.12020851560221642"/>
          <c:w val="0.83640529308836398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'thermo-ω'!$AE$20:$AE$100</c:f>
              <c:numCache>
                <c:formatCode>General</c:formatCode>
                <c:ptCount val="81"/>
                <c:pt idx="0">
                  <c:v>33.938800000000001</c:v>
                </c:pt>
                <c:pt idx="1">
                  <c:v>33.939300000000003</c:v>
                </c:pt>
                <c:pt idx="2">
                  <c:v>33.939799999999998</c:v>
                </c:pt>
                <c:pt idx="3">
                  <c:v>33.940300000000001</c:v>
                </c:pt>
                <c:pt idx="4">
                  <c:v>33.940800000000003</c:v>
                </c:pt>
                <c:pt idx="5">
                  <c:v>33.941299999999998</c:v>
                </c:pt>
                <c:pt idx="6">
                  <c:v>33.941800000000001</c:v>
                </c:pt>
                <c:pt idx="7">
                  <c:v>33.942300000000003</c:v>
                </c:pt>
                <c:pt idx="8">
                  <c:v>33.942799999999998</c:v>
                </c:pt>
                <c:pt idx="9">
                  <c:v>33.943300000000001</c:v>
                </c:pt>
                <c:pt idx="10">
                  <c:v>33.943800000000003</c:v>
                </c:pt>
                <c:pt idx="11">
                  <c:v>33.944299999999998</c:v>
                </c:pt>
                <c:pt idx="12">
                  <c:v>33.944800000000001</c:v>
                </c:pt>
                <c:pt idx="13">
                  <c:v>33.945300000000003</c:v>
                </c:pt>
                <c:pt idx="14">
                  <c:v>33.945799999999998</c:v>
                </c:pt>
                <c:pt idx="15">
                  <c:v>33.946300000000001</c:v>
                </c:pt>
                <c:pt idx="16">
                  <c:v>33.946800000000003</c:v>
                </c:pt>
                <c:pt idx="17">
                  <c:v>33.947299999999998</c:v>
                </c:pt>
                <c:pt idx="18">
                  <c:v>33.947800000000001</c:v>
                </c:pt>
                <c:pt idx="19">
                  <c:v>33.948300000000003</c:v>
                </c:pt>
                <c:pt idx="20">
                  <c:v>33.948799999999999</c:v>
                </c:pt>
                <c:pt idx="21">
                  <c:v>33.949300000000001</c:v>
                </c:pt>
                <c:pt idx="22">
                  <c:v>33.949800000000003</c:v>
                </c:pt>
                <c:pt idx="23">
                  <c:v>33.950299999999999</c:v>
                </c:pt>
                <c:pt idx="24">
                  <c:v>33.950800000000001</c:v>
                </c:pt>
                <c:pt idx="25">
                  <c:v>33.951300000000003</c:v>
                </c:pt>
                <c:pt idx="26">
                  <c:v>33.951799999999999</c:v>
                </c:pt>
                <c:pt idx="27">
                  <c:v>33.952300000000001</c:v>
                </c:pt>
                <c:pt idx="28">
                  <c:v>33.952800000000003</c:v>
                </c:pt>
                <c:pt idx="29">
                  <c:v>33.953299999999999</c:v>
                </c:pt>
                <c:pt idx="30">
                  <c:v>33.953800000000001</c:v>
                </c:pt>
                <c:pt idx="31">
                  <c:v>33.954300000000003</c:v>
                </c:pt>
                <c:pt idx="32">
                  <c:v>33.954799999999999</c:v>
                </c:pt>
                <c:pt idx="33">
                  <c:v>33.955300000000001</c:v>
                </c:pt>
                <c:pt idx="34">
                  <c:v>33.955800000000004</c:v>
                </c:pt>
                <c:pt idx="35">
                  <c:v>33.956299999999999</c:v>
                </c:pt>
                <c:pt idx="36">
                  <c:v>33.956800000000001</c:v>
                </c:pt>
                <c:pt idx="37">
                  <c:v>33.957299999999996</c:v>
                </c:pt>
                <c:pt idx="38">
                  <c:v>33.957799999999999</c:v>
                </c:pt>
                <c:pt idx="39">
                  <c:v>33.958300000000001</c:v>
                </c:pt>
                <c:pt idx="40">
                  <c:v>33.958799999999997</c:v>
                </c:pt>
                <c:pt idx="41">
                  <c:v>33.959299999999999</c:v>
                </c:pt>
                <c:pt idx="42">
                  <c:v>33.959800000000001</c:v>
                </c:pt>
                <c:pt idx="43">
                  <c:v>33.960299999999997</c:v>
                </c:pt>
                <c:pt idx="44">
                  <c:v>33.960799999999999</c:v>
                </c:pt>
                <c:pt idx="45">
                  <c:v>33.961300000000001</c:v>
                </c:pt>
                <c:pt idx="46">
                  <c:v>33.961799999999997</c:v>
                </c:pt>
                <c:pt idx="47">
                  <c:v>33.962299999999999</c:v>
                </c:pt>
                <c:pt idx="48">
                  <c:v>33.962800000000001</c:v>
                </c:pt>
                <c:pt idx="49">
                  <c:v>33.963299999999997</c:v>
                </c:pt>
                <c:pt idx="50">
                  <c:v>33.963799999999999</c:v>
                </c:pt>
                <c:pt idx="51">
                  <c:v>33.964300000000001</c:v>
                </c:pt>
                <c:pt idx="52">
                  <c:v>33.964799999999997</c:v>
                </c:pt>
                <c:pt idx="53">
                  <c:v>33.965299999999999</c:v>
                </c:pt>
                <c:pt idx="54">
                  <c:v>33.965800000000002</c:v>
                </c:pt>
                <c:pt idx="55">
                  <c:v>33.966299999999997</c:v>
                </c:pt>
                <c:pt idx="56">
                  <c:v>33.966799999999999</c:v>
                </c:pt>
                <c:pt idx="57">
                  <c:v>33.967300000000002</c:v>
                </c:pt>
                <c:pt idx="58">
                  <c:v>33.967799999999997</c:v>
                </c:pt>
                <c:pt idx="59">
                  <c:v>33.968299999999999</c:v>
                </c:pt>
                <c:pt idx="60">
                  <c:v>33.968800000000002</c:v>
                </c:pt>
                <c:pt idx="61">
                  <c:v>33.969299999999997</c:v>
                </c:pt>
                <c:pt idx="62">
                  <c:v>33.969799999999999</c:v>
                </c:pt>
                <c:pt idx="63">
                  <c:v>33.970300000000002</c:v>
                </c:pt>
                <c:pt idx="64">
                  <c:v>33.970799999999997</c:v>
                </c:pt>
                <c:pt idx="65">
                  <c:v>33.971299999999999</c:v>
                </c:pt>
                <c:pt idx="66">
                  <c:v>33.971800000000002</c:v>
                </c:pt>
                <c:pt idx="67">
                  <c:v>33.972299999999997</c:v>
                </c:pt>
                <c:pt idx="68">
                  <c:v>33.972799999999999</c:v>
                </c:pt>
                <c:pt idx="69">
                  <c:v>33.973300000000002</c:v>
                </c:pt>
                <c:pt idx="70">
                  <c:v>33.973799999999997</c:v>
                </c:pt>
                <c:pt idx="71">
                  <c:v>33.974299999999999</c:v>
                </c:pt>
                <c:pt idx="72">
                  <c:v>33.974800000000002</c:v>
                </c:pt>
                <c:pt idx="73">
                  <c:v>33.975299999999997</c:v>
                </c:pt>
                <c:pt idx="74">
                  <c:v>33.9758</c:v>
                </c:pt>
                <c:pt idx="75">
                  <c:v>33.976300000000002</c:v>
                </c:pt>
                <c:pt idx="76">
                  <c:v>33.976799999999997</c:v>
                </c:pt>
                <c:pt idx="77">
                  <c:v>33.9773</c:v>
                </c:pt>
                <c:pt idx="78">
                  <c:v>33.977800000000002</c:v>
                </c:pt>
                <c:pt idx="79">
                  <c:v>33.978299999999997</c:v>
                </c:pt>
                <c:pt idx="80">
                  <c:v>33.9788</c:v>
                </c:pt>
              </c:numCache>
            </c:numRef>
          </c:xVal>
          <c:yVal>
            <c:numRef>
              <c:f>'thermo-ω'!$AI$20:$AI$100</c:f>
              <c:numCache>
                <c:formatCode>General</c:formatCode>
                <c:ptCount val="81"/>
                <c:pt idx="0">
                  <c:v>0</c:v>
                </c:pt>
                <c:pt idx="1">
                  <c:v>1.7120126310922311E-4</c:v>
                </c:pt>
                <c:pt idx="2">
                  <c:v>0</c:v>
                </c:pt>
                <c:pt idx="3">
                  <c:v>3.4258903854852973E-4</c:v>
                </c:pt>
                <c:pt idx="4">
                  <c:v>1.7143638696854419E-4</c:v>
                </c:pt>
                <c:pt idx="5">
                  <c:v>5.1435115150878395E-4</c:v>
                </c:pt>
                <c:pt idx="6">
                  <c:v>1.7148067509678238E-4</c:v>
                </c:pt>
                <c:pt idx="7">
                  <c:v>1.7151015047666017E-4</c:v>
                </c:pt>
                <c:pt idx="8">
                  <c:v>3.4298484689516571E-4</c:v>
                </c:pt>
                <c:pt idx="9">
                  <c:v>2.4013158250194774E-3</c:v>
                </c:pt>
                <c:pt idx="10">
                  <c:v>3.4296908992791872E-4</c:v>
                </c:pt>
                <c:pt idx="11">
                  <c:v>1.7141952439584388E-4</c:v>
                </c:pt>
                <c:pt idx="12">
                  <c:v>0</c:v>
                </c:pt>
                <c:pt idx="13">
                  <c:v>1.7139419269170364E-4</c:v>
                </c:pt>
                <c:pt idx="14">
                  <c:v>1.8854946956149065E-3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1.7143349205960351E-4</c:v>
                </c:pt>
                <c:pt idx="19">
                  <c:v>6.859233473114222E-4</c:v>
                </c:pt>
                <c:pt idx="20">
                  <c:v>5.1453540214526272E-4</c:v>
                </c:pt>
                <c:pt idx="21">
                  <c:v>1.7158078319249554E-4</c:v>
                </c:pt>
                <c:pt idx="22">
                  <c:v>1.7163682574511193E-4</c:v>
                </c:pt>
                <c:pt idx="23">
                  <c:v>1.7173393398994086E-3</c:v>
                </c:pt>
                <c:pt idx="24">
                  <c:v>1.8896475709362101E-3</c:v>
                </c:pt>
                <c:pt idx="25">
                  <c:v>2.0620758728788651E-3</c:v>
                </c:pt>
                <c:pt idx="26">
                  <c:v>2.5779498121980748E-3</c:v>
                </c:pt>
                <c:pt idx="27">
                  <c:v>3.4380382732390885E-3</c:v>
                </c:pt>
                <c:pt idx="28">
                  <c:v>6.8743670748751765E-3</c:v>
                </c:pt>
                <c:pt idx="29">
                  <c:v>9.1090877363784635E-3</c:v>
                </c:pt>
                <c:pt idx="30">
                  <c:v>1.1857892337314829E-2</c:v>
                </c:pt>
                <c:pt idx="31">
                  <c:v>1.6154833145407367E-2</c:v>
                </c:pt>
                <c:pt idx="32">
                  <c:v>1.9069321588097224E-2</c:v>
                </c:pt>
                <c:pt idx="33">
                  <c:v>2.062215884650917E-2</c:v>
                </c:pt>
                <c:pt idx="34">
                  <c:v>2.2684653465882512E-2</c:v>
                </c:pt>
                <c:pt idx="35">
                  <c:v>2.0113000682638681E-2</c:v>
                </c:pt>
                <c:pt idx="36">
                  <c:v>2.1665633995429378E-2</c:v>
                </c:pt>
                <c:pt idx="37">
                  <c:v>2.1501418233546687E-2</c:v>
                </c:pt>
                <c:pt idx="38">
                  <c:v>2.3218326655197959E-2</c:v>
                </c:pt>
                <c:pt idx="39">
                  <c:v>1.8070118254295782E-2</c:v>
                </c:pt>
                <c:pt idx="40">
                  <c:v>2.2373417186147295E-2</c:v>
                </c:pt>
                <c:pt idx="41">
                  <c:v>1.7563111102639493E-2</c:v>
                </c:pt>
                <c:pt idx="42">
                  <c:v>1.2401799921451823E-2</c:v>
                </c:pt>
                <c:pt idx="43">
                  <c:v>1.3613616207964771E-2</c:v>
                </c:pt>
                <c:pt idx="44">
                  <c:v>1.102848668449812E-2</c:v>
                </c:pt>
                <c:pt idx="45">
                  <c:v>1.1379105520928209E-2</c:v>
                </c:pt>
                <c:pt idx="46">
                  <c:v>6.3791006043990928E-3</c:v>
                </c:pt>
                <c:pt idx="47">
                  <c:v>2.4138024673371577E-3</c:v>
                </c:pt>
                <c:pt idx="48">
                  <c:v>2.7594826473641776E-3</c:v>
                </c:pt>
                <c:pt idx="49">
                  <c:v>8.6257040148667106E-4</c:v>
                </c:pt>
                <c:pt idx="50">
                  <c:v>3.4525067304892461E-4</c:v>
                </c:pt>
                <c:pt idx="51">
                  <c:v>8.6313711257572819E-4</c:v>
                </c:pt>
                <c:pt idx="52">
                  <c:v>6.9055305807451091E-4</c:v>
                </c:pt>
                <c:pt idx="53">
                  <c:v>1.7265432737266712E-4</c:v>
                </c:pt>
                <c:pt idx="54">
                  <c:v>1.7264932846144552E-4</c:v>
                </c:pt>
                <c:pt idx="55">
                  <c:v>5.180235949387023E-4</c:v>
                </c:pt>
                <c:pt idx="56">
                  <c:v>3.4539574434104043E-4</c:v>
                </c:pt>
                <c:pt idx="57">
                  <c:v>1.7273151485624894E-4</c:v>
                </c:pt>
                <c:pt idx="58">
                  <c:v>1.7241664392347454E-4</c:v>
                </c:pt>
                <c:pt idx="59">
                  <c:v>3.4486382663833379E-4</c:v>
                </c:pt>
                <c:pt idx="60">
                  <c:v>1.7246658572004957E-3</c:v>
                </c:pt>
                <c:pt idx="61">
                  <c:v>8.6185362098835578E-4</c:v>
                </c:pt>
                <c:pt idx="62">
                  <c:v>3.4482211066958748E-4</c:v>
                </c:pt>
                <c:pt idx="63">
                  <c:v>1.7245544109247211E-4</c:v>
                </c:pt>
                <c:pt idx="64">
                  <c:v>1.7247948994641201E-4</c:v>
                </c:pt>
                <c:pt idx="65">
                  <c:v>0</c:v>
                </c:pt>
                <c:pt idx="66">
                  <c:v>3.4500649586855582E-4</c:v>
                </c:pt>
                <c:pt idx="67">
                  <c:v>3.1053309094960452E-3</c:v>
                </c:pt>
                <c:pt idx="68">
                  <c:v>0</c:v>
                </c:pt>
                <c:pt idx="69">
                  <c:v>2.0700325119306323E-3</c:v>
                </c:pt>
                <c:pt idx="70">
                  <c:v>3.4501258433401359E-4</c:v>
                </c:pt>
                <c:pt idx="71">
                  <c:v>5.1734513376889657E-4</c:v>
                </c:pt>
                <c:pt idx="72">
                  <c:v>3.4487630890474427E-4</c:v>
                </c:pt>
                <c:pt idx="73">
                  <c:v>0</c:v>
                </c:pt>
                <c:pt idx="74">
                  <c:v>0</c:v>
                </c:pt>
                <c:pt idx="75">
                  <c:v>1.7235122960710089E-4</c:v>
                </c:pt>
                <c:pt idx="76">
                  <c:v>1.7232380739388726E-4</c:v>
                </c:pt>
                <c:pt idx="77">
                  <c:v>3.4473239251726629E-4</c:v>
                </c:pt>
                <c:pt idx="78">
                  <c:v>1.7238665706587912E-4</c:v>
                </c:pt>
                <c:pt idx="79">
                  <c:v>3.4489805244692235E-4</c:v>
                </c:pt>
                <c:pt idx="80">
                  <c:v>1.7251079770959485E-4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3-4798-B195-8D246514D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407776"/>
        <c:axId val="247404896"/>
      </c:scatterChart>
      <c:valAx>
        <c:axId val="247407776"/>
        <c:scaling>
          <c:orientation val="minMax"/>
          <c:max val="33.979999999999997"/>
          <c:min val="33.94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404896"/>
        <c:crosses val="autoZero"/>
        <c:crossBetween val="midCat"/>
      </c:valAx>
      <c:valAx>
        <c:axId val="247404896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4077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8761032976369859E-2"/>
          <c:y val="0.10360256581260838"/>
          <c:w val="0.85996306219631702"/>
          <c:h val="0.77107786450864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'thermo-ω'!$A$1</c:f>
              <c:strCache>
                <c:ptCount val="1"/>
                <c:pt idx="0">
                  <c:v>Si_Thermo_omega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'thermo-ω'!$A$20:$A$220</c:f>
              <c:numCache>
                <c:formatCode>General</c:formatCode>
                <c:ptCount val="201"/>
                <c:pt idx="0">
                  <c:v>34.3596</c:v>
                </c:pt>
                <c:pt idx="1">
                  <c:v>34.360599999999998</c:v>
                </c:pt>
                <c:pt idx="2">
                  <c:v>34.361600000000003</c:v>
                </c:pt>
                <c:pt idx="3">
                  <c:v>34.3626</c:v>
                </c:pt>
                <c:pt idx="4">
                  <c:v>34.363599999999998</c:v>
                </c:pt>
                <c:pt idx="5">
                  <c:v>34.364600000000003</c:v>
                </c:pt>
                <c:pt idx="6">
                  <c:v>34.365600000000001</c:v>
                </c:pt>
                <c:pt idx="7">
                  <c:v>34.366599999999998</c:v>
                </c:pt>
                <c:pt idx="8">
                  <c:v>34.367600000000003</c:v>
                </c:pt>
                <c:pt idx="9">
                  <c:v>34.368600000000001</c:v>
                </c:pt>
                <c:pt idx="10">
                  <c:v>34.369599999999998</c:v>
                </c:pt>
                <c:pt idx="11">
                  <c:v>34.370600000000003</c:v>
                </c:pt>
                <c:pt idx="12">
                  <c:v>34.371600000000001</c:v>
                </c:pt>
                <c:pt idx="13">
                  <c:v>34.372599999999998</c:v>
                </c:pt>
                <c:pt idx="14">
                  <c:v>34.373600000000003</c:v>
                </c:pt>
                <c:pt idx="15">
                  <c:v>34.374600000000001</c:v>
                </c:pt>
                <c:pt idx="16">
                  <c:v>34.375599999999999</c:v>
                </c:pt>
                <c:pt idx="17">
                  <c:v>34.376600000000003</c:v>
                </c:pt>
                <c:pt idx="18">
                  <c:v>34.377600000000001</c:v>
                </c:pt>
                <c:pt idx="19">
                  <c:v>34.378599999999999</c:v>
                </c:pt>
                <c:pt idx="20">
                  <c:v>34.379600000000003</c:v>
                </c:pt>
                <c:pt idx="21">
                  <c:v>34.380600000000001</c:v>
                </c:pt>
                <c:pt idx="22">
                  <c:v>34.381599999999999</c:v>
                </c:pt>
                <c:pt idx="23">
                  <c:v>34.382599999999996</c:v>
                </c:pt>
                <c:pt idx="24">
                  <c:v>34.383600000000001</c:v>
                </c:pt>
                <c:pt idx="25">
                  <c:v>34.384599999999999</c:v>
                </c:pt>
                <c:pt idx="26">
                  <c:v>34.385599999999997</c:v>
                </c:pt>
                <c:pt idx="27">
                  <c:v>34.386600000000001</c:v>
                </c:pt>
                <c:pt idx="28">
                  <c:v>34.387599999999999</c:v>
                </c:pt>
                <c:pt idx="29">
                  <c:v>34.388599999999997</c:v>
                </c:pt>
                <c:pt idx="30">
                  <c:v>34.389600000000002</c:v>
                </c:pt>
                <c:pt idx="31">
                  <c:v>34.390599999999999</c:v>
                </c:pt>
                <c:pt idx="32">
                  <c:v>34.391599999999997</c:v>
                </c:pt>
                <c:pt idx="33">
                  <c:v>34.392600000000002</c:v>
                </c:pt>
                <c:pt idx="34">
                  <c:v>34.393599999999999</c:v>
                </c:pt>
                <c:pt idx="35">
                  <c:v>34.394599999999997</c:v>
                </c:pt>
                <c:pt idx="36">
                  <c:v>34.395600000000002</c:v>
                </c:pt>
                <c:pt idx="37">
                  <c:v>34.396599999999999</c:v>
                </c:pt>
                <c:pt idx="38">
                  <c:v>34.397599999999997</c:v>
                </c:pt>
                <c:pt idx="39">
                  <c:v>34.398600000000002</c:v>
                </c:pt>
                <c:pt idx="40">
                  <c:v>34.3996</c:v>
                </c:pt>
                <c:pt idx="41">
                  <c:v>34.400599999999997</c:v>
                </c:pt>
                <c:pt idx="42">
                  <c:v>34.401600000000002</c:v>
                </c:pt>
                <c:pt idx="43">
                  <c:v>34.4026</c:v>
                </c:pt>
                <c:pt idx="44">
                  <c:v>34.403599999999997</c:v>
                </c:pt>
                <c:pt idx="45">
                  <c:v>34.404600000000002</c:v>
                </c:pt>
                <c:pt idx="46">
                  <c:v>34.4056</c:v>
                </c:pt>
                <c:pt idx="47">
                  <c:v>34.406599999999997</c:v>
                </c:pt>
                <c:pt idx="48">
                  <c:v>34.407600000000002</c:v>
                </c:pt>
                <c:pt idx="49">
                  <c:v>34.4086</c:v>
                </c:pt>
                <c:pt idx="50">
                  <c:v>34.409599999999998</c:v>
                </c:pt>
                <c:pt idx="51">
                  <c:v>34.410600000000002</c:v>
                </c:pt>
                <c:pt idx="52">
                  <c:v>34.4116</c:v>
                </c:pt>
                <c:pt idx="53">
                  <c:v>34.412599999999998</c:v>
                </c:pt>
                <c:pt idx="54">
                  <c:v>34.413600000000002</c:v>
                </c:pt>
                <c:pt idx="55">
                  <c:v>34.4146</c:v>
                </c:pt>
                <c:pt idx="56">
                  <c:v>34.415599999999998</c:v>
                </c:pt>
                <c:pt idx="57">
                  <c:v>34.416600000000003</c:v>
                </c:pt>
                <c:pt idx="58">
                  <c:v>34.4176</c:v>
                </c:pt>
                <c:pt idx="59">
                  <c:v>34.418599999999998</c:v>
                </c:pt>
                <c:pt idx="60">
                  <c:v>34.419600000000003</c:v>
                </c:pt>
                <c:pt idx="61">
                  <c:v>34.4206</c:v>
                </c:pt>
                <c:pt idx="62">
                  <c:v>34.421599999999998</c:v>
                </c:pt>
                <c:pt idx="63">
                  <c:v>34.422600000000003</c:v>
                </c:pt>
                <c:pt idx="64">
                  <c:v>34.4236</c:v>
                </c:pt>
                <c:pt idx="65">
                  <c:v>34.424599999999998</c:v>
                </c:pt>
                <c:pt idx="66">
                  <c:v>34.425600000000003</c:v>
                </c:pt>
                <c:pt idx="67">
                  <c:v>34.426600000000001</c:v>
                </c:pt>
                <c:pt idx="68">
                  <c:v>34.427599999999998</c:v>
                </c:pt>
                <c:pt idx="69">
                  <c:v>34.428600000000003</c:v>
                </c:pt>
                <c:pt idx="70">
                  <c:v>34.429600000000001</c:v>
                </c:pt>
                <c:pt idx="71">
                  <c:v>34.430599999999998</c:v>
                </c:pt>
                <c:pt idx="72">
                  <c:v>34.431600000000003</c:v>
                </c:pt>
                <c:pt idx="73">
                  <c:v>34.432600000000001</c:v>
                </c:pt>
                <c:pt idx="74">
                  <c:v>34.433599999999998</c:v>
                </c:pt>
                <c:pt idx="75">
                  <c:v>34.434600000000003</c:v>
                </c:pt>
                <c:pt idx="76">
                  <c:v>34.435600000000001</c:v>
                </c:pt>
                <c:pt idx="77">
                  <c:v>34.436599999999999</c:v>
                </c:pt>
                <c:pt idx="78">
                  <c:v>34.437600000000003</c:v>
                </c:pt>
                <c:pt idx="79">
                  <c:v>34.438600000000001</c:v>
                </c:pt>
                <c:pt idx="80">
                  <c:v>34.439599999999999</c:v>
                </c:pt>
                <c:pt idx="81">
                  <c:v>34.440600000000003</c:v>
                </c:pt>
                <c:pt idx="82">
                  <c:v>34.441600000000001</c:v>
                </c:pt>
                <c:pt idx="83">
                  <c:v>34.442599999999999</c:v>
                </c:pt>
                <c:pt idx="84">
                  <c:v>34.443600000000004</c:v>
                </c:pt>
                <c:pt idx="85">
                  <c:v>34.444600000000001</c:v>
                </c:pt>
                <c:pt idx="86">
                  <c:v>34.445599999999999</c:v>
                </c:pt>
                <c:pt idx="87">
                  <c:v>34.446599999999997</c:v>
                </c:pt>
                <c:pt idx="88">
                  <c:v>34.447600000000001</c:v>
                </c:pt>
                <c:pt idx="89">
                  <c:v>34.448599999999999</c:v>
                </c:pt>
                <c:pt idx="90">
                  <c:v>34.449599999999997</c:v>
                </c:pt>
                <c:pt idx="91">
                  <c:v>34.450600000000001</c:v>
                </c:pt>
                <c:pt idx="92">
                  <c:v>34.451599999999999</c:v>
                </c:pt>
                <c:pt idx="93">
                  <c:v>34.452599999999997</c:v>
                </c:pt>
                <c:pt idx="94">
                  <c:v>34.453600000000002</c:v>
                </c:pt>
                <c:pt idx="95">
                  <c:v>34.454599999999999</c:v>
                </c:pt>
                <c:pt idx="96">
                  <c:v>34.455599999999997</c:v>
                </c:pt>
                <c:pt idx="97">
                  <c:v>34.456600000000002</c:v>
                </c:pt>
                <c:pt idx="98">
                  <c:v>34.457599999999999</c:v>
                </c:pt>
                <c:pt idx="99">
                  <c:v>34.458599999999997</c:v>
                </c:pt>
                <c:pt idx="100">
                  <c:v>34.459600000000002</c:v>
                </c:pt>
                <c:pt idx="101">
                  <c:v>34.460599999999999</c:v>
                </c:pt>
                <c:pt idx="102">
                  <c:v>34.461599999999997</c:v>
                </c:pt>
                <c:pt idx="103">
                  <c:v>34.462600000000002</c:v>
                </c:pt>
                <c:pt idx="104">
                  <c:v>34.4636</c:v>
                </c:pt>
                <c:pt idx="105">
                  <c:v>34.464599999999997</c:v>
                </c:pt>
                <c:pt idx="106">
                  <c:v>34.465600000000002</c:v>
                </c:pt>
                <c:pt idx="107">
                  <c:v>34.4666</c:v>
                </c:pt>
                <c:pt idx="108">
                  <c:v>34.467599999999997</c:v>
                </c:pt>
                <c:pt idx="109">
                  <c:v>34.468600000000002</c:v>
                </c:pt>
                <c:pt idx="110">
                  <c:v>34.4696</c:v>
                </c:pt>
                <c:pt idx="111">
                  <c:v>34.470599999999997</c:v>
                </c:pt>
                <c:pt idx="112">
                  <c:v>34.471600000000002</c:v>
                </c:pt>
                <c:pt idx="113">
                  <c:v>34.4726</c:v>
                </c:pt>
                <c:pt idx="114">
                  <c:v>34.473599999999998</c:v>
                </c:pt>
                <c:pt idx="115">
                  <c:v>34.474600000000002</c:v>
                </c:pt>
                <c:pt idx="116">
                  <c:v>34.4756</c:v>
                </c:pt>
                <c:pt idx="117">
                  <c:v>34.476599999999998</c:v>
                </c:pt>
                <c:pt idx="118">
                  <c:v>34.477600000000002</c:v>
                </c:pt>
                <c:pt idx="119">
                  <c:v>34.4786</c:v>
                </c:pt>
                <c:pt idx="120">
                  <c:v>34.479599999999998</c:v>
                </c:pt>
                <c:pt idx="121">
                  <c:v>34.480600000000003</c:v>
                </c:pt>
                <c:pt idx="122">
                  <c:v>34.4816</c:v>
                </c:pt>
                <c:pt idx="123">
                  <c:v>34.482599999999998</c:v>
                </c:pt>
                <c:pt idx="124">
                  <c:v>34.483600000000003</c:v>
                </c:pt>
                <c:pt idx="125">
                  <c:v>34.4846</c:v>
                </c:pt>
                <c:pt idx="126">
                  <c:v>34.485599999999998</c:v>
                </c:pt>
                <c:pt idx="127">
                  <c:v>34.486600000000003</c:v>
                </c:pt>
                <c:pt idx="128">
                  <c:v>34.4876</c:v>
                </c:pt>
                <c:pt idx="129">
                  <c:v>34.488599999999998</c:v>
                </c:pt>
                <c:pt idx="130">
                  <c:v>34.489600000000003</c:v>
                </c:pt>
                <c:pt idx="131">
                  <c:v>34.490600000000001</c:v>
                </c:pt>
                <c:pt idx="132">
                  <c:v>34.491599999999998</c:v>
                </c:pt>
                <c:pt idx="133">
                  <c:v>34.492600000000003</c:v>
                </c:pt>
                <c:pt idx="134">
                  <c:v>34.493600000000001</c:v>
                </c:pt>
                <c:pt idx="135">
                  <c:v>34.494599999999998</c:v>
                </c:pt>
                <c:pt idx="136">
                  <c:v>34.495600000000003</c:v>
                </c:pt>
                <c:pt idx="137">
                  <c:v>34.496600000000001</c:v>
                </c:pt>
                <c:pt idx="138">
                  <c:v>34.497599999999998</c:v>
                </c:pt>
                <c:pt idx="139">
                  <c:v>34.498600000000003</c:v>
                </c:pt>
                <c:pt idx="140">
                  <c:v>34.499600000000001</c:v>
                </c:pt>
                <c:pt idx="141">
                  <c:v>34.500599999999999</c:v>
                </c:pt>
                <c:pt idx="142">
                  <c:v>34.501600000000003</c:v>
                </c:pt>
                <c:pt idx="143">
                  <c:v>34.502600000000001</c:v>
                </c:pt>
                <c:pt idx="144">
                  <c:v>34.503599999999999</c:v>
                </c:pt>
                <c:pt idx="145">
                  <c:v>34.504600000000003</c:v>
                </c:pt>
                <c:pt idx="146">
                  <c:v>34.505600000000001</c:v>
                </c:pt>
                <c:pt idx="147">
                  <c:v>34.506599999999999</c:v>
                </c:pt>
                <c:pt idx="148">
                  <c:v>34.507599999999996</c:v>
                </c:pt>
                <c:pt idx="149">
                  <c:v>34.508600000000001</c:v>
                </c:pt>
                <c:pt idx="150">
                  <c:v>34.509599999999999</c:v>
                </c:pt>
                <c:pt idx="151">
                  <c:v>34.510599999999997</c:v>
                </c:pt>
                <c:pt idx="152">
                  <c:v>34.511600000000001</c:v>
                </c:pt>
                <c:pt idx="153">
                  <c:v>34.512599999999999</c:v>
                </c:pt>
                <c:pt idx="154">
                  <c:v>34.513599999999997</c:v>
                </c:pt>
                <c:pt idx="155">
                  <c:v>34.514600000000002</c:v>
                </c:pt>
                <c:pt idx="156">
                  <c:v>34.515599999999999</c:v>
                </c:pt>
                <c:pt idx="157">
                  <c:v>34.516599999999997</c:v>
                </c:pt>
                <c:pt idx="158">
                  <c:v>34.517600000000002</c:v>
                </c:pt>
                <c:pt idx="159">
                  <c:v>34.518599999999999</c:v>
                </c:pt>
                <c:pt idx="160">
                  <c:v>34.519599999999997</c:v>
                </c:pt>
                <c:pt idx="161">
                  <c:v>34.520600000000002</c:v>
                </c:pt>
                <c:pt idx="162">
                  <c:v>34.521599999999999</c:v>
                </c:pt>
                <c:pt idx="163">
                  <c:v>34.522599999999997</c:v>
                </c:pt>
                <c:pt idx="164">
                  <c:v>34.523600000000002</c:v>
                </c:pt>
                <c:pt idx="165">
                  <c:v>34.5246</c:v>
                </c:pt>
                <c:pt idx="166">
                  <c:v>34.525599999999997</c:v>
                </c:pt>
                <c:pt idx="167">
                  <c:v>34.526600000000002</c:v>
                </c:pt>
                <c:pt idx="168">
                  <c:v>34.5276</c:v>
                </c:pt>
                <c:pt idx="169">
                  <c:v>34.528599999999997</c:v>
                </c:pt>
                <c:pt idx="170">
                  <c:v>34.529600000000002</c:v>
                </c:pt>
                <c:pt idx="171">
                  <c:v>34.5306</c:v>
                </c:pt>
                <c:pt idx="172">
                  <c:v>34.531599999999997</c:v>
                </c:pt>
                <c:pt idx="173">
                  <c:v>34.532600000000002</c:v>
                </c:pt>
                <c:pt idx="174">
                  <c:v>34.5336</c:v>
                </c:pt>
                <c:pt idx="175">
                  <c:v>34.534599999999998</c:v>
                </c:pt>
                <c:pt idx="176">
                  <c:v>34.535600000000002</c:v>
                </c:pt>
                <c:pt idx="177">
                  <c:v>34.5366</c:v>
                </c:pt>
                <c:pt idx="178">
                  <c:v>34.537599999999998</c:v>
                </c:pt>
                <c:pt idx="179">
                  <c:v>34.538600000000002</c:v>
                </c:pt>
                <c:pt idx="180">
                  <c:v>34.5396</c:v>
                </c:pt>
                <c:pt idx="181">
                  <c:v>34.540599999999998</c:v>
                </c:pt>
                <c:pt idx="182">
                  <c:v>34.541600000000003</c:v>
                </c:pt>
                <c:pt idx="183">
                  <c:v>34.5426</c:v>
                </c:pt>
                <c:pt idx="184">
                  <c:v>34.543599999999998</c:v>
                </c:pt>
                <c:pt idx="185">
                  <c:v>34.544600000000003</c:v>
                </c:pt>
                <c:pt idx="186">
                  <c:v>34.5456</c:v>
                </c:pt>
                <c:pt idx="187">
                  <c:v>34.546599999999998</c:v>
                </c:pt>
                <c:pt idx="188">
                  <c:v>34.547600000000003</c:v>
                </c:pt>
                <c:pt idx="189">
                  <c:v>34.5486</c:v>
                </c:pt>
                <c:pt idx="190">
                  <c:v>34.549599999999998</c:v>
                </c:pt>
                <c:pt idx="191">
                  <c:v>34.550600000000003</c:v>
                </c:pt>
                <c:pt idx="192">
                  <c:v>34.551600000000001</c:v>
                </c:pt>
                <c:pt idx="193">
                  <c:v>34.552599999999998</c:v>
                </c:pt>
                <c:pt idx="194">
                  <c:v>34.553600000000003</c:v>
                </c:pt>
                <c:pt idx="195">
                  <c:v>34.554600000000001</c:v>
                </c:pt>
                <c:pt idx="196">
                  <c:v>34.555599999999998</c:v>
                </c:pt>
                <c:pt idx="197">
                  <c:v>34.556600000000003</c:v>
                </c:pt>
                <c:pt idx="198">
                  <c:v>34.557600000000001</c:v>
                </c:pt>
                <c:pt idx="199">
                  <c:v>34.558599999999998</c:v>
                </c:pt>
                <c:pt idx="200">
                  <c:v>34.559600000000003</c:v>
                </c:pt>
              </c:numCache>
            </c:numRef>
          </c:xVal>
          <c:yVal>
            <c:numRef>
              <c:f>'thermo-ω'!$F$20:$F$220</c:f>
              <c:numCache>
                <c:formatCode>0.00E+00</c:formatCode>
                <c:ptCount val="201"/>
                <c:pt idx="0">
                  <c:v>2.447369567904022E-2</c:v>
                </c:pt>
                <c:pt idx="1">
                  <c:v>2.3329013267610589E-2</c:v>
                </c:pt>
                <c:pt idx="2">
                  <c:v>2.032875723463964E-2</c:v>
                </c:pt>
                <c:pt idx="3">
                  <c:v>2.1913951960091285E-2</c:v>
                </c:pt>
                <c:pt idx="4">
                  <c:v>2.3487841318435548E-2</c:v>
                </c:pt>
                <c:pt idx="5">
                  <c:v>2.1919097499354747E-2</c:v>
                </c:pt>
                <c:pt idx="6">
                  <c:v>2.4489747517577411E-2</c:v>
                </c:pt>
                <c:pt idx="7">
                  <c:v>2.17675711736924E-2</c:v>
                </c:pt>
                <c:pt idx="8">
                  <c:v>2.6339308381581626E-2</c:v>
                </c:pt>
                <c:pt idx="9">
                  <c:v>2.4781173997088343E-2</c:v>
                </c:pt>
                <c:pt idx="10">
                  <c:v>2.8945357141071087E-2</c:v>
                </c:pt>
                <c:pt idx="11">
                  <c:v>2.7657140816533088E-2</c:v>
                </c:pt>
                <c:pt idx="12">
                  <c:v>2.8511596382620578E-2</c:v>
                </c:pt>
                <c:pt idx="13">
                  <c:v>2.7929174192325879E-2</c:v>
                </c:pt>
                <c:pt idx="14">
                  <c:v>2.9516937126588358E-2</c:v>
                </c:pt>
                <c:pt idx="15">
                  <c:v>2.794597873202101E-2</c:v>
                </c:pt>
                <c:pt idx="16">
                  <c:v>2.9815630319554611E-2</c:v>
                </c:pt>
                <c:pt idx="17">
                  <c:v>2.6958639052187022E-2</c:v>
                </c:pt>
                <c:pt idx="18">
                  <c:v>2.9963247854351893E-2</c:v>
                </c:pt>
                <c:pt idx="19">
                  <c:v>3.313321968304303E-2</c:v>
                </c:pt>
                <c:pt idx="20">
                  <c:v>2.8113004639907981E-2</c:v>
                </c:pt>
                <c:pt idx="21">
                  <c:v>3.3285650204688814E-2</c:v>
                </c:pt>
                <c:pt idx="22">
                  <c:v>3.2575298016620693E-2</c:v>
                </c:pt>
                <c:pt idx="23">
                  <c:v>3.8883293616416334E-2</c:v>
                </c:pt>
                <c:pt idx="24">
                  <c:v>3.4001533282644748E-2</c:v>
                </c:pt>
                <c:pt idx="25">
                  <c:v>3.6024488959613618E-2</c:v>
                </c:pt>
                <c:pt idx="26">
                  <c:v>3.9028596037085146E-2</c:v>
                </c:pt>
                <c:pt idx="27">
                  <c:v>3.8318930438569203E-2</c:v>
                </c:pt>
                <c:pt idx="28">
                  <c:v>4.0190823157579103E-2</c:v>
                </c:pt>
                <c:pt idx="29">
                  <c:v>4.12180558810274E-2</c:v>
                </c:pt>
                <c:pt idx="30">
                  <c:v>4.6516867231413975E-2</c:v>
                </c:pt>
                <c:pt idx="31">
                  <c:v>4.278652990445337E-2</c:v>
                </c:pt>
                <c:pt idx="32">
                  <c:v>4.5370417006394416E-2</c:v>
                </c:pt>
                <c:pt idx="33">
                  <c:v>4.8386749864308909E-2</c:v>
                </c:pt>
                <c:pt idx="34">
                  <c:v>4.8234446974838849E-2</c:v>
                </c:pt>
                <c:pt idx="35">
                  <c:v>4.4230523803281074E-2</c:v>
                </c:pt>
                <c:pt idx="36">
                  <c:v>4.9847942944188164E-2</c:v>
                </c:pt>
                <c:pt idx="37">
                  <c:v>5.3619178852894862E-2</c:v>
                </c:pt>
                <c:pt idx="38">
                  <c:v>4.6420514820755369E-2</c:v>
                </c:pt>
                <c:pt idx="39">
                  <c:v>5.4750482364682815E-2</c:v>
                </c:pt>
                <c:pt idx="40">
                  <c:v>5.4499713481057754E-2</c:v>
                </c:pt>
                <c:pt idx="41">
                  <c:v>5.2064938613136165E-2</c:v>
                </c:pt>
                <c:pt idx="42">
                  <c:v>5.2517848082757536E-2</c:v>
                </c:pt>
                <c:pt idx="43">
                  <c:v>5.7387982936237016E-2</c:v>
                </c:pt>
                <c:pt idx="44">
                  <c:v>6.532798779638653E-2</c:v>
                </c:pt>
                <c:pt idx="45">
                  <c:v>6.491294626966887E-2</c:v>
                </c:pt>
                <c:pt idx="46">
                  <c:v>6.3042147172928886E-2</c:v>
                </c:pt>
                <c:pt idx="47">
                  <c:v>7.3703060417378424E-2</c:v>
                </c:pt>
                <c:pt idx="48">
                  <c:v>7.4257967545325029E-2</c:v>
                </c:pt>
                <c:pt idx="49">
                  <c:v>7.269470445276946E-2</c:v>
                </c:pt>
                <c:pt idx="50">
                  <c:v>7.7903502414749373E-2</c:v>
                </c:pt>
                <c:pt idx="51">
                  <c:v>7.8635158643552153E-2</c:v>
                </c:pt>
                <c:pt idx="52">
                  <c:v>8.5872969988564057E-2</c:v>
                </c:pt>
                <c:pt idx="53">
                  <c:v>8.7005817937877122E-2</c:v>
                </c:pt>
                <c:pt idx="54">
                  <c:v>8.7589796468684825E-2</c:v>
                </c:pt>
                <c:pt idx="55">
                  <c:v>9.2120370906310908E-2</c:v>
                </c:pt>
                <c:pt idx="56">
                  <c:v>9.5739032008889086E-2</c:v>
                </c:pt>
                <c:pt idx="57">
                  <c:v>0.10598098421411077</c:v>
                </c:pt>
                <c:pt idx="58">
                  <c:v>0.10050540954865703</c:v>
                </c:pt>
                <c:pt idx="59">
                  <c:v>0.10329204738658281</c:v>
                </c:pt>
                <c:pt idx="60">
                  <c:v>0.10564207935304791</c:v>
                </c:pt>
                <c:pt idx="61">
                  <c:v>0.11499180311879702</c:v>
                </c:pt>
                <c:pt idx="62">
                  <c:v>0.12092417178522476</c:v>
                </c:pt>
                <c:pt idx="63">
                  <c:v>0.11963394840287381</c:v>
                </c:pt>
                <c:pt idx="64">
                  <c:v>0.13481980005732871</c:v>
                </c:pt>
                <c:pt idx="65">
                  <c:v>0.132530600203947</c:v>
                </c:pt>
                <c:pt idx="66">
                  <c:v>0.14210991867153339</c:v>
                </c:pt>
                <c:pt idx="67">
                  <c:v>0.14602487573478065</c:v>
                </c:pt>
                <c:pt idx="68">
                  <c:v>0.16212275970043183</c:v>
                </c:pt>
                <c:pt idx="69">
                  <c:v>0.15544552696105873</c:v>
                </c:pt>
                <c:pt idx="70">
                  <c:v>0.17180596739778753</c:v>
                </c:pt>
                <c:pt idx="71">
                  <c:v>0.17971438396338141</c:v>
                </c:pt>
                <c:pt idx="72">
                  <c:v>0.18846975838682836</c:v>
                </c:pt>
                <c:pt idx="73">
                  <c:v>0.20242223269410917</c:v>
                </c:pt>
                <c:pt idx="74">
                  <c:v>0.19882154022741341</c:v>
                </c:pt>
                <c:pt idx="75">
                  <c:v>0.21993360895070255</c:v>
                </c:pt>
                <c:pt idx="76">
                  <c:v>0.24022195179396902</c:v>
                </c:pt>
                <c:pt idx="77">
                  <c:v>0.27204805752774747</c:v>
                </c:pt>
                <c:pt idx="78">
                  <c:v>0.3027578625566591</c:v>
                </c:pt>
                <c:pt idx="79">
                  <c:v>0.37458655659140105</c:v>
                </c:pt>
                <c:pt idx="80">
                  <c:v>0.41259837775107627</c:v>
                </c:pt>
                <c:pt idx="81">
                  <c:v>0.51903037145977193</c:v>
                </c:pt>
                <c:pt idx="82">
                  <c:v>0.61936766595944315</c:v>
                </c:pt>
                <c:pt idx="83">
                  <c:v>0.69957575562065577</c:v>
                </c:pt>
                <c:pt idx="84">
                  <c:v>0.89487291929205526</c:v>
                </c:pt>
                <c:pt idx="85">
                  <c:v>1.0207954503673677</c:v>
                </c:pt>
                <c:pt idx="86">
                  <c:v>1.2640996214142499</c:v>
                </c:pt>
                <c:pt idx="87">
                  <c:v>1.5897812983232285</c:v>
                </c:pt>
                <c:pt idx="88">
                  <c:v>1.9553009822022844</c:v>
                </c:pt>
                <c:pt idx="89">
                  <c:v>2.4653218682104234</c:v>
                </c:pt>
                <c:pt idx="90">
                  <c:v>3.2697142066105331</c:v>
                </c:pt>
                <c:pt idx="91">
                  <c:v>4.5815449823152274</c:v>
                </c:pt>
                <c:pt idx="92">
                  <c:v>7.9494170198175729</c:v>
                </c:pt>
                <c:pt idx="93">
                  <c:v>24.803879445128096</c:v>
                </c:pt>
                <c:pt idx="94">
                  <c:v>146.19885753608386</c:v>
                </c:pt>
                <c:pt idx="95">
                  <c:v>866.48527317751928</c:v>
                </c:pt>
                <c:pt idx="96">
                  <c:v>3348.6995710815409</c:v>
                </c:pt>
                <c:pt idx="97">
                  <c:v>8985.7523320378059</c:v>
                </c:pt>
                <c:pt idx="98">
                  <c:v>16401.353282043317</c:v>
                </c:pt>
                <c:pt idx="99">
                  <c:v>20162.346285589239</c:v>
                </c:pt>
                <c:pt idx="100">
                  <c:v>20515.619631616981</c:v>
                </c:pt>
                <c:pt idx="101">
                  <c:v>16364.632110330273</c:v>
                </c:pt>
                <c:pt idx="102">
                  <c:v>9082.8589648711877</c:v>
                </c:pt>
                <c:pt idx="103">
                  <c:v>2884.0251808422531</c:v>
                </c:pt>
                <c:pt idx="104">
                  <c:v>665.90499087893033</c:v>
                </c:pt>
                <c:pt idx="105">
                  <c:v>192.28158879492639</c:v>
                </c:pt>
                <c:pt idx="106">
                  <c:v>50.722211903099435</c:v>
                </c:pt>
                <c:pt idx="107">
                  <c:v>26.199046101421064</c:v>
                </c:pt>
                <c:pt idx="108">
                  <c:v>18.40322937810252</c:v>
                </c:pt>
                <c:pt idx="109">
                  <c:v>14.251318851725063</c:v>
                </c:pt>
                <c:pt idx="110">
                  <c:v>11.314474800020076</c:v>
                </c:pt>
                <c:pt idx="111">
                  <c:v>9.3752196237392464</c:v>
                </c:pt>
                <c:pt idx="112">
                  <c:v>7.8021410768196864</c:v>
                </c:pt>
                <c:pt idx="113">
                  <c:v>6.6202069291363337</c:v>
                </c:pt>
                <c:pt idx="114">
                  <c:v>5.6183659647813187</c:v>
                </c:pt>
                <c:pt idx="115">
                  <c:v>4.9295127555090028</c:v>
                </c:pt>
                <c:pt idx="116">
                  <c:v>4.2879667576625939</c:v>
                </c:pt>
                <c:pt idx="117">
                  <c:v>3.7570057769773362</c:v>
                </c:pt>
                <c:pt idx="118">
                  <c:v>3.3103734230211881</c:v>
                </c:pt>
                <c:pt idx="119">
                  <c:v>2.9414672184030533</c:v>
                </c:pt>
                <c:pt idx="120">
                  <c:v>2.6424514891245701</c:v>
                </c:pt>
                <c:pt idx="121">
                  <c:v>2.3705244249909616</c:v>
                </c:pt>
                <c:pt idx="122">
                  <c:v>2.159842611563255</c:v>
                </c:pt>
                <c:pt idx="123">
                  <c:v>1.9710264640649797</c:v>
                </c:pt>
                <c:pt idx="124">
                  <c:v>1.7435863135765401</c:v>
                </c:pt>
                <c:pt idx="125">
                  <c:v>1.5439383201371755</c:v>
                </c:pt>
                <c:pt idx="126">
                  <c:v>1.3592385017231692</c:v>
                </c:pt>
                <c:pt idx="127">
                  <c:v>1.1776750299686498</c:v>
                </c:pt>
                <c:pt idx="128">
                  <c:v>1.0247481555151745</c:v>
                </c:pt>
                <c:pt idx="129">
                  <c:v>0.86186463161015781</c:v>
                </c:pt>
                <c:pt idx="130">
                  <c:v>0.75007673357807481</c:v>
                </c:pt>
                <c:pt idx="131">
                  <c:v>0.64311990514796946</c:v>
                </c:pt>
                <c:pt idx="132">
                  <c:v>0.5567560917242772</c:v>
                </c:pt>
                <c:pt idx="133">
                  <c:v>0.46764872023533938</c:v>
                </c:pt>
                <c:pt idx="134">
                  <c:v>0.3749537102733847</c:v>
                </c:pt>
                <c:pt idx="135">
                  <c:v>0.31691409289857037</c:v>
                </c:pt>
                <c:pt idx="136">
                  <c:v>0.2594001647504543</c:v>
                </c:pt>
                <c:pt idx="137">
                  <c:v>0.2187788665040673</c:v>
                </c:pt>
                <c:pt idx="138">
                  <c:v>0.20370279776387695</c:v>
                </c:pt>
                <c:pt idx="139">
                  <c:v>0.16949707082951471</c:v>
                </c:pt>
                <c:pt idx="140">
                  <c:v>0.14631161617226202</c:v>
                </c:pt>
                <c:pt idx="141">
                  <c:v>0.13134572613339066</c:v>
                </c:pt>
                <c:pt idx="142">
                  <c:v>0.12700412509398307</c:v>
                </c:pt>
                <c:pt idx="143">
                  <c:v>0.1176727523967757</c:v>
                </c:pt>
                <c:pt idx="144">
                  <c:v>0.10930886079662518</c:v>
                </c:pt>
                <c:pt idx="145">
                  <c:v>0.10086334792776835</c:v>
                </c:pt>
                <c:pt idx="146">
                  <c:v>0.10308499365027102</c:v>
                </c:pt>
                <c:pt idx="147">
                  <c:v>9.8966580168221296E-2</c:v>
                </c:pt>
                <c:pt idx="148">
                  <c:v>8.598135217748723E-2</c:v>
                </c:pt>
                <c:pt idx="149">
                  <c:v>9.0391129426356132E-2</c:v>
                </c:pt>
                <c:pt idx="150">
                  <c:v>8.8353107854157564E-2</c:v>
                </c:pt>
                <c:pt idx="151">
                  <c:v>8.5579938146442519E-2</c:v>
                </c:pt>
                <c:pt idx="152">
                  <c:v>7.4792418900184496E-2</c:v>
                </c:pt>
                <c:pt idx="153">
                  <c:v>8.0379241537677101E-2</c:v>
                </c:pt>
                <c:pt idx="154">
                  <c:v>6.750529280946771E-2</c:v>
                </c:pt>
                <c:pt idx="155">
                  <c:v>6.4323264871158747E-2</c:v>
                </c:pt>
                <c:pt idx="156">
                  <c:v>6.9423205409409397E-2</c:v>
                </c:pt>
                <c:pt idx="157">
                  <c:v>6.3160729582453473E-2</c:v>
                </c:pt>
                <c:pt idx="158">
                  <c:v>6.023061072845181E-2</c:v>
                </c:pt>
                <c:pt idx="159">
                  <c:v>5.4825423060377049E-2</c:v>
                </c:pt>
                <c:pt idx="160">
                  <c:v>5.8061891431487857E-2</c:v>
                </c:pt>
                <c:pt idx="161">
                  <c:v>5.7977380886166406E-2</c:v>
                </c:pt>
                <c:pt idx="162">
                  <c:v>5.8395862154093973E-2</c:v>
                </c:pt>
                <c:pt idx="163">
                  <c:v>5.3709492962629536E-2</c:v>
                </c:pt>
                <c:pt idx="164">
                  <c:v>5.5338154848191122E-2</c:v>
                </c:pt>
                <c:pt idx="165">
                  <c:v>4.8138237567235696E-2</c:v>
                </c:pt>
                <c:pt idx="166">
                  <c:v>5.3833093244564124E-2</c:v>
                </c:pt>
                <c:pt idx="167">
                  <c:v>4.6540772900273884E-2</c:v>
                </c:pt>
                <c:pt idx="168">
                  <c:v>4.5227177429524937E-2</c:v>
                </c:pt>
                <c:pt idx="169">
                  <c:v>4.9187470563458145E-2</c:v>
                </c:pt>
                <c:pt idx="170">
                  <c:v>4.4230947940247504E-2</c:v>
                </c:pt>
                <c:pt idx="171">
                  <c:v>3.9402611874634778E-2</c:v>
                </c:pt>
                <c:pt idx="172">
                  <c:v>4.4693234503745592E-2</c:v>
                </c:pt>
                <c:pt idx="173">
                  <c:v>4.102872794898195E-2</c:v>
                </c:pt>
                <c:pt idx="174">
                  <c:v>3.9881423729878192E-2</c:v>
                </c:pt>
                <c:pt idx="175">
                  <c:v>3.7095138635163109E-2</c:v>
                </c:pt>
                <c:pt idx="176">
                  <c:v>4.2382447917800929E-2</c:v>
                </c:pt>
                <c:pt idx="177">
                  <c:v>3.696181073446668E-2</c:v>
                </c:pt>
                <c:pt idx="178">
                  <c:v>4.019833211545102E-2</c:v>
                </c:pt>
                <c:pt idx="179">
                  <c:v>3.6965473748778122E-2</c:v>
                </c:pt>
                <c:pt idx="180">
                  <c:v>3.522501393993234E-2</c:v>
                </c:pt>
                <c:pt idx="181">
                  <c:v>3.4191719132490049E-2</c:v>
                </c:pt>
                <c:pt idx="182">
                  <c:v>3.43326295095377E-2</c:v>
                </c:pt>
                <c:pt idx="183">
                  <c:v>3.1548492299754052E-2</c:v>
                </c:pt>
                <c:pt idx="184">
                  <c:v>3.112284546780536E-2</c:v>
                </c:pt>
                <c:pt idx="185">
                  <c:v>3.1712071771230643E-2</c:v>
                </c:pt>
                <c:pt idx="186">
                  <c:v>3.2011276897383638E-2</c:v>
                </c:pt>
                <c:pt idx="187">
                  <c:v>2.9060677020428159E-2</c:v>
                </c:pt>
                <c:pt idx="188">
                  <c:v>3.1843974036389971E-2</c:v>
                </c:pt>
                <c:pt idx="189">
                  <c:v>3.0964936846424287E-2</c:v>
                </c:pt>
                <c:pt idx="190">
                  <c:v>2.6119913293627152E-2</c:v>
                </c:pt>
                <c:pt idx="191">
                  <c:v>2.465331278890601E-2</c:v>
                </c:pt>
                <c:pt idx="192">
                  <c:v>2.4219827965828025E-2</c:v>
                </c:pt>
                <c:pt idx="193">
                  <c:v>2.6568227810839971E-2</c:v>
                </c:pt>
                <c:pt idx="194">
                  <c:v>2.5825277558637907E-2</c:v>
                </c:pt>
                <c:pt idx="195">
                  <c:v>2.5825438990643237E-2</c:v>
                </c:pt>
                <c:pt idx="196">
                  <c:v>2.1867805271919848E-2</c:v>
                </c:pt>
                <c:pt idx="197">
                  <c:v>2.3632094380420059E-2</c:v>
                </c:pt>
                <c:pt idx="198">
                  <c:v>2.2917361961310143E-2</c:v>
                </c:pt>
                <c:pt idx="199">
                  <c:v>2.1598764021748634E-2</c:v>
                </c:pt>
                <c:pt idx="200">
                  <c:v>2.1312082629501804E-2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B-4487-9B0E-60E8C468591A}"/>
            </c:ext>
          </c:extLst>
        </c:ser>
        <c:ser>
          <c:idx val="1"/>
          <c:order val="1"/>
          <c:tx>
            <c:strRef>
              <c:f>'thermo-ω'!$X$1</c:f>
              <c:strCache>
                <c:ptCount val="1"/>
                <c:pt idx="0">
                  <c:v>Si_Thermo_omega_2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'thermo-ω'!$X$20:$X$220</c:f>
              <c:numCache>
                <c:formatCode>General</c:formatCode>
                <c:ptCount val="201"/>
                <c:pt idx="0">
                  <c:v>34.358800000000002</c:v>
                </c:pt>
                <c:pt idx="1">
                  <c:v>34.3598</c:v>
                </c:pt>
                <c:pt idx="2">
                  <c:v>34.360799999999998</c:v>
                </c:pt>
                <c:pt idx="3">
                  <c:v>34.361800000000002</c:v>
                </c:pt>
                <c:pt idx="4">
                  <c:v>34.3628</c:v>
                </c:pt>
                <c:pt idx="5">
                  <c:v>34.363799999999998</c:v>
                </c:pt>
                <c:pt idx="6">
                  <c:v>34.364800000000002</c:v>
                </c:pt>
                <c:pt idx="7">
                  <c:v>34.3658</c:v>
                </c:pt>
                <c:pt idx="8">
                  <c:v>34.366799999999998</c:v>
                </c:pt>
                <c:pt idx="9">
                  <c:v>34.367800000000003</c:v>
                </c:pt>
                <c:pt idx="10">
                  <c:v>34.3688</c:v>
                </c:pt>
                <c:pt idx="11">
                  <c:v>34.369799999999998</c:v>
                </c:pt>
                <c:pt idx="12">
                  <c:v>34.370800000000003</c:v>
                </c:pt>
                <c:pt idx="13">
                  <c:v>34.3718</c:v>
                </c:pt>
                <c:pt idx="14">
                  <c:v>34.372799999999998</c:v>
                </c:pt>
                <c:pt idx="15">
                  <c:v>34.373800000000003</c:v>
                </c:pt>
                <c:pt idx="16">
                  <c:v>34.3748</c:v>
                </c:pt>
                <c:pt idx="17">
                  <c:v>34.375799999999998</c:v>
                </c:pt>
                <c:pt idx="18">
                  <c:v>34.376800000000003</c:v>
                </c:pt>
                <c:pt idx="19">
                  <c:v>34.377800000000001</c:v>
                </c:pt>
                <c:pt idx="20">
                  <c:v>34.378799999999998</c:v>
                </c:pt>
                <c:pt idx="21">
                  <c:v>34.379800000000003</c:v>
                </c:pt>
                <c:pt idx="22">
                  <c:v>34.380800000000001</c:v>
                </c:pt>
                <c:pt idx="23">
                  <c:v>34.381799999999998</c:v>
                </c:pt>
                <c:pt idx="24">
                  <c:v>34.382800000000003</c:v>
                </c:pt>
                <c:pt idx="25">
                  <c:v>34.383800000000001</c:v>
                </c:pt>
                <c:pt idx="26">
                  <c:v>34.384799999999998</c:v>
                </c:pt>
                <c:pt idx="27">
                  <c:v>34.385800000000003</c:v>
                </c:pt>
                <c:pt idx="28">
                  <c:v>34.386800000000001</c:v>
                </c:pt>
                <c:pt idx="29">
                  <c:v>34.387799999999999</c:v>
                </c:pt>
                <c:pt idx="30">
                  <c:v>34.388800000000003</c:v>
                </c:pt>
                <c:pt idx="31">
                  <c:v>34.389800000000001</c:v>
                </c:pt>
                <c:pt idx="32">
                  <c:v>34.390799999999999</c:v>
                </c:pt>
                <c:pt idx="33">
                  <c:v>34.391800000000003</c:v>
                </c:pt>
                <c:pt idx="34">
                  <c:v>34.392800000000001</c:v>
                </c:pt>
                <c:pt idx="35">
                  <c:v>34.393799999999999</c:v>
                </c:pt>
                <c:pt idx="36">
                  <c:v>34.394799999999996</c:v>
                </c:pt>
                <c:pt idx="37">
                  <c:v>34.395800000000001</c:v>
                </c:pt>
                <c:pt idx="38">
                  <c:v>34.396799999999999</c:v>
                </c:pt>
                <c:pt idx="39">
                  <c:v>34.397799999999997</c:v>
                </c:pt>
                <c:pt idx="40">
                  <c:v>34.398800000000001</c:v>
                </c:pt>
                <c:pt idx="41">
                  <c:v>34.399799999999999</c:v>
                </c:pt>
                <c:pt idx="42">
                  <c:v>34.400799999999997</c:v>
                </c:pt>
                <c:pt idx="43">
                  <c:v>34.401800000000001</c:v>
                </c:pt>
                <c:pt idx="44">
                  <c:v>34.402799999999999</c:v>
                </c:pt>
                <c:pt idx="45">
                  <c:v>34.403799999999997</c:v>
                </c:pt>
                <c:pt idx="46">
                  <c:v>34.404800000000002</c:v>
                </c:pt>
                <c:pt idx="47">
                  <c:v>34.405799999999999</c:v>
                </c:pt>
                <c:pt idx="48">
                  <c:v>34.406799999999997</c:v>
                </c:pt>
                <c:pt idx="49">
                  <c:v>34.407800000000002</c:v>
                </c:pt>
                <c:pt idx="50">
                  <c:v>34.408799999999999</c:v>
                </c:pt>
                <c:pt idx="51">
                  <c:v>34.409799999999997</c:v>
                </c:pt>
                <c:pt idx="52">
                  <c:v>34.410800000000002</c:v>
                </c:pt>
                <c:pt idx="53">
                  <c:v>34.411799999999999</c:v>
                </c:pt>
                <c:pt idx="54">
                  <c:v>34.412799999999997</c:v>
                </c:pt>
                <c:pt idx="55">
                  <c:v>34.413800000000002</c:v>
                </c:pt>
                <c:pt idx="56">
                  <c:v>34.4148</c:v>
                </c:pt>
                <c:pt idx="57">
                  <c:v>34.415799999999997</c:v>
                </c:pt>
                <c:pt idx="58">
                  <c:v>34.416800000000002</c:v>
                </c:pt>
                <c:pt idx="59">
                  <c:v>34.4178</c:v>
                </c:pt>
                <c:pt idx="60">
                  <c:v>34.418799999999997</c:v>
                </c:pt>
                <c:pt idx="61">
                  <c:v>34.419800000000002</c:v>
                </c:pt>
                <c:pt idx="62">
                  <c:v>34.4208</c:v>
                </c:pt>
                <c:pt idx="63">
                  <c:v>34.421799999999998</c:v>
                </c:pt>
                <c:pt idx="64">
                  <c:v>34.422800000000002</c:v>
                </c:pt>
                <c:pt idx="65">
                  <c:v>34.4238</c:v>
                </c:pt>
                <c:pt idx="66">
                  <c:v>34.424799999999998</c:v>
                </c:pt>
                <c:pt idx="67">
                  <c:v>34.425800000000002</c:v>
                </c:pt>
                <c:pt idx="68">
                  <c:v>34.4268</c:v>
                </c:pt>
                <c:pt idx="69">
                  <c:v>34.427799999999998</c:v>
                </c:pt>
                <c:pt idx="70">
                  <c:v>34.428800000000003</c:v>
                </c:pt>
                <c:pt idx="71">
                  <c:v>34.4298</c:v>
                </c:pt>
                <c:pt idx="72">
                  <c:v>34.430799999999998</c:v>
                </c:pt>
                <c:pt idx="73">
                  <c:v>34.431800000000003</c:v>
                </c:pt>
                <c:pt idx="74">
                  <c:v>34.4328</c:v>
                </c:pt>
                <c:pt idx="75">
                  <c:v>34.433799999999998</c:v>
                </c:pt>
                <c:pt idx="76">
                  <c:v>34.434800000000003</c:v>
                </c:pt>
                <c:pt idx="77">
                  <c:v>34.4358</c:v>
                </c:pt>
                <c:pt idx="78">
                  <c:v>34.436799999999998</c:v>
                </c:pt>
                <c:pt idx="79">
                  <c:v>34.437800000000003</c:v>
                </c:pt>
                <c:pt idx="80">
                  <c:v>34.438800000000001</c:v>
                </c:pt>
                <c:pt idx="81">
                  <c:v>34.439799999999998</c:v>
                </c:pt>
                <c:pt idx="82">
                  <c:v>34.440800000000003</c:v>
                </c:pt>
                <c:pt idx="83">
                  <c:v>34.441800000000001</c:v>
                </c:pt>
                <c:pt idx="84">
                  <c:v>34.442799999999998</c:v>
                </c:pt>
                <c:pt idx="85">
                  <c:v>34.443800000000003</c:v>
                </c:pt>
                <c:pt idx="86">
                  <c:v>34.444800000000001</c:v>
                </c:pt>
                <c:pt idx="87">
                  <c:v>34.445799999999998</c:v>
                </c:pt>
                <c:pt idx="88">
                  <c:v>34.446800000000003</c:v>
                </c:pt>
                <c:pt idx="89">
                  <c:v>34.447800000000001</c:v>
                </c:pt>
                <c:pt idx="90">
                  <c:v>34.448799999999999</c:v>
                </c:pt>
                <c:pt idx="91">
                  <c:v>34.449800000000003</c:v>
                </c:pt>
                <c:pt idx="92">
                  <c:v>34.450800000000001</c:v>
                </c:pt>
                <c:pt idx="93">
                  <c:v>34.451799999999999</c:v>
                </c:pt>
                <c:pt idx="94">
                  <c:v>34.452800000000003</c:v>
                </c:pt>
                <c:pt idx="95">
                  <c:v>34.453800000000001</c:v>
                </c:pt>
                <c:pt idx="96">
                  <c:v>34.454799999999999</c:v>
                </c:pt>
                <c:pt idx="97">
                  <c:v>34.455800000000004</c:v>
                </c:pt>
                <c:pt idx="98">
                  <c:v>34.456800000000001</c:v>
                </c:pt>
                <c:pt idx="99">
                  <c:v>34.457799999999999</c:v>
                </c:pt>
                <c:pt idx="100">
                  <c:v>34.458799999999997</c:v>
                </c:pt>
                <c:pt idx="101">
                  <c:v>34.459800000000001</c:v>
                </c:pt>
                <c:pt idx="102">
                  <c:v>34.460799999999999</c:v>
                </c:pt>
                <c:pt idx="103">
                  <c:v>34.461799999999997</c:v>
                </c:pt>
                <c:pt idx="104">
                  <c:v>34.462800000000001</c:v>
                </c:pt>
                <c:pt idx="105">
                  <c:v>34.463799999999999</c:v>
                </c:pt>
                <c:pt idx="106">
                  <c:v>34.464799999999997</c:v>
                </c:pt>
                <c:pt idx="107">
                  <c:v>34.465800000000002</c:v>
                </c:pt>
                <c:pt idx="108">
                  <c:v>34.466799999999999</c:v>
                </c:pt>
                <c:pt idx="109">
                  <c:v>34.467799999999997</c:v>
                </c:pt>
                <c:pt idx="110">
                  <c:v>34.468800000000002</c:v>
                </c:pt>
                <c:pt idx="111">
                  <c:v>34.469799999999999</c:v>
                </c:pt>
                <c:pt idx="112">
                  <c:v>34.470799999999997</c:v>
                </c:pt>
                <c:pt idx="113">
                  <c:v>34.471800000000002</c:v>
                </c:pt>
                <c:pt idx="114">
                  <c:v>34.472799999999999</c:v>
                </c:pt>
                <c:pt idx="115">
                  <c:v>34.473799999999997</c:v>
                </c:pt>
                <c:pt idx="116">
                  <c:v>34.474800000000002</c:v>
                </c:pt>
                <c:pt idx="117">
                  <c:v>34.4758</c:v>
                </c:pt>
                <c:pt idx="118">
                  <c:v>34.476799999999997</c:v>
                </c:pt>
                <c:pt idx="119">
                  <c:v>34.477800000000002</c:v>
                </c:pt>
                <c:pt idx="120">
                  <c:v>34.4788</c:v>
                </c:pt>
                <c:pt idx="121">
                  <c:v>34.479799999999997</c:v>
                </c:pt>
                <c:pt idx="122">
                  <c:v>34.480800000000002</c:v>
                </c:pt>
                <c:pt idx="123">
                  <c:v>34.4818</c:v>
                </c:pt>
                <c:pt idx="124">
                  <c:v>34.482799999999997</c:v>
                </c:pt>
                <c:pt idx="125">
                  <c:v>34.483800000000002</c:v>
                </c:pt>
                <c:pt idx="126">
                  <c:v>34.4848</c:v>
                </c:pt>
                <c:pt idx="127">
                  <c:v>34.485799999999998</c:v>
                </c:pt>
                <c:pt idx="128">
                  <c:v>34.486800000000002</c:v>
                </c:pt>
                <c:pt idx="129">
                  <c:v>34.4878</c:v>
                </c:pt>
                <c:pt idx="130">
                  <c:v>34.488799999999998</c:v>
                </c:pt>
                <c:pt idx="131">
                  <c:v>34.489800000000002</c:v>
                </c:pt>
                <c:pt idx="132">
                  <c:v>34.4908</c:v>
                </c:pt>
                <c:pt idx="133">
                  <c:v>34.491799999999998</c:v>
                </c:pt>
                <c:pt idx="134">
                  <c:v>34.492800000000003</c:v>
                </c:pt>
                <c:pt idx="135">
                  <c:v>34.4938</c:v>
                </c:pt>
                <c:pt idx="136">
                  <c:v>34.494799999999998</c:v>
                </c:pt>
                <c:pt idx="137">
                  <c:v>34.495800000000003</c:v>
                </c:pt>
                <c:pt idx="138">
                  <c:v>34.4968</c:v>
                </c:pt>
                <c:pt idx="139">
                  <c:v>34.497799999999998</c:v>
                </c:pt>
                <c:pt idx="140">
                  <c:v>34.498800000000003</c:v>
                </c:pt>
                <c:pt idx="141">
                  <c:v>34.4998</c:v>
                </c:pt>
                <c:pt idx="142">
                  <c:v>34.500799999999998</c:v>
                </c:pt>
                <c:pt idx="143">
                  <c:v>34.501800000000003</c:v>
                </c:pt>
                <c:pt idx="144">
                  <c:v>34.502800000000001</c:v>
                </c:pt>
                <c:pt idx="145">
                  <c:v>34.503799999999998</c:v>
                </c:pt>
                <c:pt idx="146">
                  <c:v>34.504800000000003</c:v>
                </c:pt>
                <c:pt idx="147">
                  <c:v>34.505800000000001</c:v>
                </c:pt>
                <c:pt idx="148">
                  <c:v>34.506799999999998</c:v>
                </c:pt>
                <c:pt idx="149">
                  <c:v>34.507800000000003</c:v>
                </c:pt>
                <c:pt idx="150">
                  <c:v>34.508800000000001</c:v>
                </c:pt>
                <c:pt idx="151">
                  <c:v>34.509799999999998</c:v>
                </c:pt>
                <c:pt idx="152">
                  <c:v>34.510800000000003</c:v>
                </c:pt>
                <c:pt idx="153">
                  <c:v>34.511800000000001</c:v>
                </c:pt>
                <c:pt idx="154">
                  <c:v>34.512799999999999</c:v>
                </c:pt>
                <c:pt idx="155">
                  <c:v>34.513800000000003</c:v>
                </c:pt>
                <c:pt idx="156">
                  <c:v>34.514800000000001</c:v>
                </c:pt>
                <c:pt idx="157">
                  <c:v>34.515799999999999</c:v>
                </c:pt>
                <c:pt idx="158">
                  <c:v>34.516800000000003</c:v>
                </c:pt>
                <c:pt idx="159">
                  <c:v>34.517800000000001</c:v>
                </c:pt>
                <c:pt idx="160">
                  <c:v>34.518799999999999</c:v>
                </c:pt>
                <c:pt idx="161">
                  <c:v>34.519799999999996</c:v>
                </c:pt>
                <c:pt idx="162">
                  <c:v>34.520800000000001</c:v>
                </c:pt>
                <c:pt idx="163">
                  <c:v>34.521799999999999</c:v>
                </c:pt>
                <c:pt idx="164">
                  <c:v>34.522799999999997</c:v>
                </c:pt>
                <c:pt idx="165">
                  <c:v>34.523800000000001</c:v>
                </c:pt>
                <c:pt idx="166">
                  <c:v>34.524799999999999</c:v>
                </c:pt>
                <c:pt idx="167">
                  <c:v>34.525799999999997</c:v>
                </c:pt>
                <c:pt idx="168">
                  <c:v>34.526800000000001</c:v>
                </c:pt>
                <c:pt idx="169">
                  <c:v>34.527799999999999</c:v>
                </c:pt>
                <c:pt idx="170">
                  <c:v>34.528799999999997</c:v>
                </c:pt>
                <c:pt idx="171">
                  <c:v>34.529800000000002</c:v>
                </c:pt>
                <c:pt idx="172">
                  <c:v>34.530799999999999</c:v>
                </c:pt>
                <c:pt idx="173">
                  <c:v>34.531799999999997</c:v>
                </c:pt>
                <c:pt idx="174">
                  <c:v>34.532800000000002</c:v>
                </c:pt>
                <c:pt idx="175">
                  <c:v>34.533799999999999</c:v>
                </c:pt>
                <c:pt idx="176">
                  <c:v>34.534799999999997</c:v>
                </c:pt>
                <c:pt idx="177">
                  <c:v>34.535800000000002</c:v>
                </c:pt>
                <c:pt idx="178">
                  <c:v>34.536799999999999</c:v>
                </c:pt>
                <c:pt idx="179">
                  <c:v>34.537799999999997</c:v>
                </c:pt>
                <c:pt idx="180">
                  <c:v>34.538800000000002</c:v>
                </c:pt>
                <c:pt idx="181">
                  <c:v>34.5398</c:v>
                </c:pt>
                <c:pt idx="182">
                  <c:v>34.540799999999997</c:v>
                </c:pt>
                <c:pt idx="183">
                  <c:v>34.541800000000002</c:v>
                </c:pt>
                <c:pt idx="184">
                  <c:v>34.5428</c:v>
                </c:pt>
                <c:pt idx="185">
                  <c:v>34.543799999999997</c:v>
                </c:pt>
                <c:pt idx="186">
                  <c:v>34.544800000000002</c:v>
                </c:pt>
                <c:pt idx="187">
                  <c:v>34.5458</c:v>
                </c:pt>
                <c:pt idx="188">
                  <c:v>34.546799999999998</c:v>
                </c:pt>
                <c:pt idx="189">
                  <c:v>34.547800000000002</c:v>
                </c:pt>
                <c:pt idx="190">
                  <c:v>34.5488</c:v>
                </c:pt>
                <c:pt idx="191">
                  <c:v>34.549799999999998</c:v>
                </c:pt>
                <c:pt idx="192">
                  <c:v>34.550800000000002</c:v>
                </c:pt>
                <c:pt idx="193">
                  <c:v>34.5518</c:v>
                </c:pt>
                <c:pt idx="194">
                  <c:v>34.552799999999998</c:v>
                </c:pt>
                <c:pt idx="195">
                  <c:v>34.553800000000003</c:v>
                </c:pt>
                <c:pt idx="196">
                  <c:v>34.5548</c:v>
                </c:pt>
                <c:pt idx="197">
                  <c:v>34.555799999999998</c:v>
                </c:pt>
                <c:pt idx="198">
                  <c:v>34.556800000000003</c:v>
                </c:pt>
                <c:pt idx="199">
                  <c:v>34.5578</c:v>
                </c:pt>
                <c:pt idx="200">
                  <c:v>34.558799999999998</c:v>
                </c:pt>
              </c:numCache>
            </c:numRef>
          </c:xVal>
          <c:yVal>
            <c:numRef>
              <c:f>'thermo-ω'!$AB$20:$AB$220</c:f>
              <c:numCache>
                <c:formatCode>0.00E+00</c:formatCode>
                <c:ptCount val="201"/>
                <c:pt idx="0">
                  <c:v>2.1948558877729639E-2</c:v>
                </c:pt>
                <c:pt idx="1">
                  <c:v>2.1114863803347015E-2</c:v>
                </c:pt>
                <c:pt idx="2">
                  <c:v>2.0787346567798692E-2</c:v>
                </c:pt>
                <c:pt idx="3">
                  <c:v>2.2129123435244653E-2</c:v>
                </c:pt>
                <c:pt idx="4">
                  <c:v>2.5150366496170654E-2</c:v>
                </c:pt>
                <c:pt idx="5">
                  <c:v>2.0457297052462336E-2</c:v>
                </c:pt>
                <c:pt idx="6">
                  <c:v>2.4980218684546376E-2</c:v>
                </c:pt>
                <c:pt idx="7">
                  <c:v>1.9962799742067206E-2</c:v>
                </c:pt>
                <c:pt idx="8">
                  <c:v>2.5329541104032835E-2</c:v>
                </c:pt>
                <c:pt idx="9">
                  <c:v>2.5331435835439481E-2</c:v>
                </c:pt>
                <c:pt idx="10">
                  <c:v>2.3323584242915366E-2</c:v>
                </c:pt>
                <c:pt idx="11">
                  <c:v>2.7516550911751689E-2</c:v>
                </c:pt>
                <c:pt idx="12">
                  <c:v>2.4497051209407674E-2</c:v>
                </c:pt>
                <c:pt idx="13">
                  <c:v>2.902783141494604E-2</c:v>
                </c:pt>
                <c:pt idx="14">
                  <c:v>2.7344934217566733E-2</c:v>
                </c:pt>
                <c:pt idx="15">
                  <c:v>2.4822457789955614E-2</c:v>
                </c:pt>
                <c:pt idx="16">
                  <c:v>2.7007058940675118E-2</c:v>
                </c:pt>
                <c:pt idx="17">
                  <c:v>2.9688334381622269E-2</c:v>
                </c:pt>
                <c:pt idx="18">
                  <c:v>2.7502933841927424E-2</c:v>
                </c:pt>
                <c:pt idx="19">
                  <c:v>2.9850692204012107E-2</c:v>
                </c:pt>
                <c:pt idx="20">
                  <c:v>2.8674446731580917E-2</c:v>
                </c:pt>
                <c:pt idx="21">
                  <c:v>2.8179476494769005E-2</c:v>
                </c:pt>
                <c:pt idx="22">
                  <c:v>3.3712180531175487E-2</c:v>
                </c:pt>
                <c:pt idx="23">
                  <c:v>3.2386901917962403E-2</c:v>
                </c:pt>
                <c:pt idx="24">
                  <c:v>3.3560328684489486E-2</c:v>
                </c:pt>
                <c:pt idx="25">
                  <c:v>3.5752032763229961E-2</c:v>
                </c:pt>
                <c:pt idx="26">
                  <c:v>3.9117054545559547E-2</c:v>
                </c:pt>
                <c:pt idx="27">
                  <c:v>3.7106429231189036E-2</c:v>
                </c:pt>
                <c:pt idx="28">
                  <c:v>3.7090075160771625E-2</c:v>
                </c:pt>
                <c:pt idx="29">
                  <c:v>3.4581124960590529E-2</c:v>
                </c:pt>
                <c:pt idx="30">
                  <c:v>4.0295520632397899E-2</c:v>
                </c:pt>
                <c:pt idx="31">
                  <c:v>3.8612692949095626E-2</c:v>
                </c:pt>
                <c:pt idx="32">
                  <c:v>4.3999465423288794E-2</c:v>
                </c:pt>
                <c:pt idx="33">
                  <c:v>4.1316352424455319E-2</c:v>
                </c:pt>
                <c:pt idx="34">
                  <c:v>4.3015899130001756E-2</c:v>
                </c:pt>
                <c:pt idx="35">
                  <c:v>4.4374085372781986E-2</c:v>
                </c:pt>
                <c:pt idx="36">
                  <c:v>4.3563720207818797E-2</c:v>
                </c:pt>
                <c:pt idx="37">
                  <c:v>4.5941047841593655E-2</c:v>
                </c:pt>
                <c:pt idx="38">
                  <c:v>4.8631024052416504E-2</c:v>
                </c:pt>
                <c:pt idx="39">
                  <c:v>5.6538797781215656E-2</c:v>
                </c:pt>
                <c:pt idx="40">
                  <c:v>4.9642487426525536E-2</c:v>
                </c:pt>
                <c:pt idx="41">
                  <c:v>5.3179631184784797E-2</c:v>
                </c:pt>
                <c:pt idx="42">
                  <c:v>5.2352197709909502E-2</c:v>
                </c:pt>
                <c:pt idx="43">
                  <c:v>5.6076212995845913E-2</c:v>
                </c:pt>
                <c:pt idx="44">
                  <c:v>5.6921729455937396E-2</c:v>
                </c:pt>
                <c:pt idx="45">
                  <c:v>5.6415521772593888E-2</c:v>
                </c:pt>
                <c:pt idx="46">
                  <c:v>6.3321077336726261E-2</c:v>
                </c:pt>
                <c:pt idx="47">
                  <c:v>6.2970507762689337E-2</c:v>
                </c:pt>
                <c:pt idx="48">
                  <c:v>6.4484097169351856E-2</c:v>
                </c:pt>
                <c:pt idx="49">
                  <c:v>5.9098424739065299E-2</c:v>
                </c:pt>
                <c:pt idx="50">
                  <c:v>6.8689704160851892E-2</c:v>
                </c:pt>
                <c:pt idx="51">
                  <c:v>6.8019245068878326E-2</c:v>
                </c:pt>
                <c:pt idx="52">
                  <c:v>7.5582369733869934E-2</c:v>
                </c:pt>
                <c:pt idx="53">
                  <c:v>8.2623878603814635E-2</c:v>
                </c:pt>
                <c:pt idx="54">
                  <c:v>7.7256301854610743E-2</c:v>
                </c:pt>
                <c:pt idx="55">
                  <c:v>8.382239267081236E-2</c:v>
                </c:pt>
                <c:pt idx="56">
                  <c:v>8.6045322782526579E-2</c:v>
                </c:pt>
                <c:pt idx="57">
                  <c:v>8.3696792690066954E-2</c:v>
                </c:pt>
                <c:pt idx="58">
                  <c:v>9.4017197126969251E-2</c:v>
                </c:pt>
                <c:pt idx="59">
                  <c:v>9.7074666715788252E-2</c:v>
                </c:pt>
                <c:pt idx="60">
                  <c:v>9.6752818646432454E-2</c:v>
                </c:pt>
                <c:pt idx="61">
                  <c:v>0.1005207192513824</c:v>
                </c:pt>
                <c:pt idx="62">
                  <c:v>0.11079754076679151</c:v>
                </c:pt>
                <c:pt idx="63">
                  <c:v>0.11372415127235642</c:v>
                </c:pt>
                <c:pt idx="64">
                  <c:v>0.11753944744604429</c:v>
                </c:pt>
                <c:pt idx="65">
                  <c:v>0.11132223294695846</c:v>
                </c:pt>
                <c:pt idx="66">
                  <c:v>0.11975376329156984</c:v>
                </c:pt>
                <c:pt idx="67">
                  <c:v>0.13782648345000362</c:v>
                </c:pt>
                <c:pt idx="68">
                  <c:v>0.12872828014355128</c:v>
                </c:pt>
                <c:pt idx="69">
                  <c:v>0.14572457356523477</c:v>
                </c:pt>
                <c:pt idx="70">
                  <c:v>0.14256050456148853</c:v>
                </c:pt>
                <c:pt idx="71">
                  <c:v>0.15433972923475459</c:v>
                </c:pt>
                <c:pt idx="72">
                  <c:v>0.15959409530219665</c:v>
                </c:pt>
                <c:pt idx="73">
                  <c:v>0.16816472281641739</c:v>
                </c:pt>
                <c:pt idx="74">
                  <c:v>0.18506431364821452</c:v>
                </c:pt>
                <c:pt idx="75">
                  <c:v>0.18657565061799766</c:v>
                </c:pt>
                <c:pt idx="76">
                  <c:v>0.19520864105572075</c:v>
                </c:pt>
                <c:pt idx="77">
                  <c:v>0.21015354486965701</c:v>
                </c:pt>
                <c:pt idx="78">
                  <c:v>0.22645420057585949</c:v>
                </c:pt>
                <c:pt idx="79">
                  <c:v>0.23743751084100803</c:v>
                </c:pt>
                <c:pt idx="80">
                  <c:v>0.24708135571072445</c:v>
                </c:pt>
                <c:pt idx="81">
                  <c:v>0.27873279585626937</c:v>
                </c:pt>
                <c:pt idx="82">
                  <c:v>0.33959197339803149</c:v>
                </c:pt>
                <c:pt idx="83">
                  <c:v>0.38363710998492306</c:v>
                </c:pt>
                <c:pt idx="84">
                  <c:v>0.45532878051894837</c:v>
                </c:pt>
                <c:pt idx="85">
                  <c:v>0.56721616394921526</c:v>
                </c:pt>
                <c:pt idx="86">
                  <c:v>0.67208344718029855</c:v>
                </c:pt>
                <c:pt idx="87">
                  <c:v>0.8266397768397572</c:v>
                </c:pt>
                <c:pt idx="88">
                  <c:v>1.0144080982056705</c:v>
                </c:pt>
                <c:pt idx="89">
                  <c:v>1.2188024104706887</c:v>
                </c:pt>
                <c:pt idx="90">
                  <c:v>1.4348847037144987</c:v>
                </c:pt>
                <c:pt idx="91">
                  <c:v>1.865909824128607</c:v>
                </c:pt>
                <c:pt idx="92">
                  <c:v>2.3400029139658929</c:v>
                </c:pt>
                <c:pt idx="93">
                  <c:v>3.0172539077870768</c:v>
                </c:pt>
                <c:pt idx="94">
                  <c:v>4.2013602489418842</c:v>
                </c:pt>
                <c:pt idx="95">
                  <c:v>7.0098732161690673</c:v>
                </c:pt>
                <c:pt idx="96">
                  <c:v>19.575459742538566</c:v>
                </c:pt>
                <c:pt idx="97">
                  <c:v>109.06392154371206</c:v>
                </c:pt>
                <c:pt idx="98">
                  <c:v>691.82807795620249</c:v>
                </c:pt>
                <c:pt idx="99">
                  <c:v>3084.9727682149287</c:v>
                </c:pt>
                <c:pt idx="100">
                  <c:v>9071.7800270856442</c:v>
                </c:pt>
                <c:pt idx="101">
                  <c:v>16629.301759878668</c:v>
                </c:pt>
                <c:pt idx="102">
                  <c:v>20865.261919724631</c:v>
                </c:pt>
                <c:pt idx="103">
                  <c:v>21112.86719558575</c:v>
                </c:pt>
                <c:pt idx="104">
                  <c:v>17441.866422104384</c:v>
                </c:pt>
                <c:pt idx="105">
                  <c:v>10415.902067426265</c:v>
                </c:pt>
                <c:pt idx="106">
                  <c:v>3711.6760343033434</c:v>
                </c:pt>
                <c:pt idx="107">
                  <c:v>789.80587087788547</c:v>
                </c:pt>
                <c:pt idx="108">
                  <c:v>197.93448123385096</c:v>
                </c:pt>
                <c:pt idx="109">
                  <c:v>51.647463293702572</c:v>
                </c:pt>
                <c:pt idx="110">
                  <c:v>27.766691159322303</c:v>
                </c:pt>
                <c:pt idx="111">
                  <c:v>19.651859536390983</c:v>
                </c:pt>
                <c:pt idx="112">
                  <c:v>15.113635076581344</c:v>
                </c:pt>
                <c:pt idx="113">
                  <c:v>11.958909299389072</c:v>
                </c:pt>
                <c:pt idx="114">
                  <c:v>9.8192785960152396</c:v>
                </c:pt>
                <c:pt idx="115">
                  <c:v>8.3494823583553437</c:v>
                </c:pt>
                <c:pt idx="116">
                  <c:v>7.0244053719064228</c:v>
                </c:pt>
                <c:pt idx="117">
                  <c:v>5.9527866966922858</c:v>
                </c:pt>
                <c:pt idx="118">
                  <c:v>5.1772628935571259</c:v>
                </c:pt>
                <c:pt idx="119">
                  <c:v>4.4579100518243484</c:v>
                </c:pt>
                <c:pt idx="120">
                  <c:v>3.9370826990307459</c:v>
                </c:pt>
                <c:pt idx="121">
                  <c:v>3.4716060224271654</c:v>
                </c:pt>
                <c:pt idx="122">
                  <c:v>3.0786917548264787</c:v>
                </c:pt>
                <c:pt idx="123">
                  <c:v>2.7892131558430098</c:v>
                </c:pt>
                <c:pt idx="124">
                  <c:v>2.496939095027364</c:v>
                </c:pt>
                <c:pt idx="125">
                  <c:v>2.2597762008618751</c:v>
                </c:pt>
                <c:pt idx="126">
                  <c:v>2.0681477949396672</c:v>
                </c:pt>
                <c:pt idx="127">
                  <c:v>1.8717217080243793</c:v>
                </c:pt>
                <c:pt idx="128">
                  <c:v>1.6895997693306877</c:v>
                </c:pt>
                <c:pt idx="129">
                  <c:v>1.4829163136085268</c:v>
                </c:pt>
                <c:pt idx="130">
                  <c:v>1.311653014826226</c:v>
                </c:pt>
                <c:pt idx="131">
                  <c:v>1.1663193639979406</c:v>
                </c:pt>
                <c:pt idx="132">
                  <c:v>1.0251041650821644</c:v>
                </c:pt>
                <c:pt idx="133">
                  <c:v>0.89255672823917176</c:v>
                </c:pt>
                <c:pt idx="134">
                  <c:v>0.76242151857408724</c:v>
                </c:pt>
                <c:pt idx="135">
                  <c:v>0.65270130011656735</c:v>
                </c:pt>
                <c:pt idx="136">
                  <c:v>0.56208920435365983</c:v>
                </c:pt>
                <c:pt idx="137">
                  <c:v>0.48654807314502657</c:v>
                </c:pt>
                <c:pt idx="138">
                  <c:v>0.42353279795261062</c:v>
                </c:pt>
                <c:pt idx="139">
                  <c:v>0.34777578394994918</c:v>
                </c:pt>
                <c:pt idx="140">
                  <c:v>0.26896575290950647</c:v>
                </c:pt>
                <c:pt idx="141">
                  <c:v>0.22627447657149996</c:v>
                </c:pt>
                <c:pt idx="142">
                  <c:v>0.20389770652229577</c:v>
                </c:pt>
                <c:pt idx="143">
                  <c:v>0.17068444155664617</c:v>
                </c:pt>
                <c:pt idx="144">
                  <c:v>0.15191140187575786</c:v>
                </c:pt>
                <c:pt idx="145">
                  <c:v>0.12933217160681898</c:v>
                </c:pt>
                <c:pt idx="146">
                  <c:v>0.11850801063217198</c:v>
                </c:pt>
                <c:pt idx="147">
                  <c:v>0.11038012674083894</c:v>
                </c:pt>
                <c:pt idx="148">
                  <c:v>0.10654021673984354</c:v>
                </c:pt>
                <c:pt idx="149">
                  <c:v>9.8893369600579206E-2</c:v>
                </c:pt>
                <c:pt idx="150">
                  <c:v>9.2411068827950915E-2</c:v>
                </c:pt>
                <c:pt idx="151">
                  <c:v>8.4606985601250198E-2</c:v>
                </c:pt>
                <c:pt idx="152">
                  <c:v>8.6858707586285416E-2</c:v>
                </c:pt>
                <c:pt idx="153">
                  <c:v>8.248832407536541E-2</c:v>
                </c:pt>
                <c:pt idx="154">
                  <c:v>8.6362938412616552E-2</c:v>
                </c:pt>
                <c:pt idx="155">
                  <c:v>7.6861654310730609E-2</c:v>
                </c:pt>
                <c:pt idx="156">
                  <c:v>7.9572909749731968E-2</c:v>
                </c:pt>
                <c:pt idx="157">
                  <c:v>6.5626472345208575E-2</c:v>
                </c:pt>
                <c:pt idx="158">
                  <c:v>7.1242603457735115E-2</c:v>
                </c:pt>
                <c:pt idx="159">
                  <c:v>6.3068638789569004E-2</c:v>
                </c:pt>
                <c:pt idx="160">
                  <c:v>6.6123893193967956E-2</c:v>
                </c:pt>
                <c:pt idx="161">
                  <c:v>6.4955914913668922E-2</c:v>
                </c:pt>
                <c:pt idx="162">
                  <c:v>6.1695095698781087E-2</c:v>
                </c:pt>
                <c:pt idx="163">
                  <c:v>5.6941359034883739E-2</c:v>
                </c:pt>
                <c:pt idx="164">
                  <c:v>5.338322295870291E-2</c:v>
                </c:pt>
                <c:pt idx="165">
                  <c:v>5.1874428913561692E-2</c:v>
                </c:pt>
                <c:pt idx="166">
                  <c:v>5.5642439438054248E-2</c:v>
                </c:pt>
                <c:pt idx="167">
                  <c:v>5.3286294303744514E-2</c:v>
                </c:pt>
                <c:pt idx="168">
                  <c:v>5.5847941855209381E-2</c:v>
                </c:pt>
                <c:pt idx="169">
                  <c:v>5.3644350219609754E-2</c:v>
                </c:pt>
                <c:pt idx="170">
                  <c:v>5.2961363595377023E-2</c:v>
                </c:pt>
                <c:pt idx="171">
                  <c:v>4.5285294375268507E-2</c:v>
                </c:pt>
                <c:pt idx="172">
                  <c:v>5.0399602442487326E-2</c:v>
                </c:pt>
                <c:pt idx="173">
                  <c:v>5.0559425574108238E-2</c:v>
                </c:pt>
                <c:pt idx="174">
                  <c:v>3.9850229214601546E-2</c:v>
                </c:pt>
                <c:pt idx="175">
                  <c:v>3.9004124217745892E-2</c:v>
                </c:pt>
                <c:pt idx="176">
                  <c:v>3.8154224006446975E-2</c:v>
                </c:pt>
                <c:pt idx="177">
                  <c:v>4.2752174467570209E-2</c:v>
                </c:pt>
                <c:pt idx="178">
                  <c:v>4.1224102363057534E-2</c:v>
                </c:pt>
                <c:pt idx="179">
                  <c:v>3.680309004196302E-2</c:v>
                </c:pt>
                <c:pt idx="180">
                  <c:v>3.1679768095922115E-2</c:v>
                </c:pt>
                <c:pt idx="181">
                  <c:v>3.47654707708282E-2</c:v>
                </c:pt>
                <c:pt idx="182">
                  <c:v>3.2538986817042446E-2</c:v>
                </c:pt>
                <c:pt idx="183">
                  <c:v>3.4253047541355441E-2</c:v>
                </c:pt>
                <c:pt idx="184">
                  <c:v>3.5620555323775768E-2</c:v>
                </c:pt>
                <c:pt idx="185">
                  <c:v>3.9392500118177499E-2</c:v>
                </c:pt>
                <c:pt idx="186">
                  <c:v>2.6260748703494898E-2</c:v>
                </c:pt>
                <c:pt idx="187">
                  <c:v>3.2741026562828957E-2</c:v>
                </c:pt>
                <c:pt idx="188">
                  <c:v>3.3260041278951949E-2</c:v>
                </c:pt>
                <c:pt idx="189">
                  <c:v>2.7463184535013403E-2</c:v>
                </c:pt>
                <c:pt idx="190">
                  <c:v>3.0018277890625847E-2</c:v>
                </c:pt>
                <c:pt idx="191">
                  <c:v>2.9321165913203624E-2</c:v>
                </c:pt>
                <c:pt idx="192">
                  <c:v>2.9137045069130195E-2</c:v>
                </c:pt>
                <c:pt idx="193">
                  <c:v>2.7432799438803303E-2</c:v>
                </c:pt>
                <c:pt idx="194">
                  <c:v>2.6407312106352162E-2</c:v>
                </c:pt>
                <c:pt idx="195">
                  <c:v>2.8282427434404404E-2</c:v>
                </c:pt>
                <c:pt idx="196">
                  <c:v>2.5896168867963119E-2</c:v>
                </c:pt>
                <c:pt idx="197">
                  <c:v>2.2838531547869204E-2</c:v>
                </c:pt>
                <c:pt idx="198">
                  <c:v>2.284516010791781E-2</c:v>
                </c:pt>
                <c:pt idx="199">
                  <c:v>2.9829890023672829E-2</c:v>
                </c:pt>
                <c:pt idx="200">
                  <c:v>2.5915648009781383E-2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B-4487-9B0E-60E8C468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274320"/>
        <c:axId val="1833273360"/>
      </c:scatterChart>
      <c:valAx>
        <c:axId val="183327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273360"/>
        <c:crosses val="autoZero"/>
        <c:crossBetween val="midCat"/>
      </c:valAx>
      <c:valAx>
        <c:axId val="1833273360"/>
        <c:scaling>
          <c:logBase val="10"/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27432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8185498324359214"/>
          <c:y val="0.16440735554064717"/>
          <c:w val="0.28707142702570954"/>
          <c:h val="0.194461196427303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Si_Thermo_2thome.VS.</a:t>
            </a:r>
            <a:r>
              <a:rPr lang="en-US" altLang="zh-CN"/>
              <a:t>Si_Thermo_2thome_2</a:t>
            </a:r>
            <a:endParaRPr lang="zh-CN" altLang="en-US"/>
          </a:p>
        </c:rich>
      </c:tx>
      <c:layout>
        <c:manualLayout>
          <c:xMode val="edge"/>
          <c:yMode val="edge"/>
          <c:x val="0.27643573579137659"/>
          <c:y val="1.7669798766035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47676563704177"/>
          <c:y val="2.9714711591550317E-2"/>
          <c:w val="0.82071133595834134"/>
          <c:h val="0.793003408972593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'2thome'!$A$1</c:f>
              <c:strCache>
                <c:ptCount val="1"/>
                <c:pt idx="0">
                  <c:v>Si_Thermo_2θ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'2thome'!$A$20:$A$220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'2thome'!$E$20:$E$220</c:f>
              <c:numCache>
                <c:formatCode>0.00E+00</c:formatCode>
                <c:ptCount val="201"/>
                <c:pt idx="0">
                  <c:v>3.3946991123939268E-3</c:v>
                </c:pt>
                <c:pt idx="1">
                  <c:v>3.691562401070742E-3</c:v>
                </c:pt>
                <c:pt idx="2">
                  <c:v>4.1333725354194229E-3</c:v>
                </c:pt>
                <c:pt idx="3">
                  <c:v>2.954014487225549E-3</c:v>
                </c:pt>
                <c:pt idx="4">
                  <c:v>5.7601152164830751E-3</c:v>
                </c:pt>
                <c:pt idx="5">
                  <c:v>4.2843898183101085E-3</c:v>
                </c:pt>
                <c:pt idx="6">
                  <c:v>4.7289879096921728E-3</c:v>
                </c:pt>
                <c:pt idx="7">
                  <c:v>5.1769285593473106E-3</c:v>
                </c:pt>
                <c:pt idx="8">
                  <c:v>5.7691490965135301E-3</c:v>
                </c:pt>
                <c:pt idx="9">
                  <c:v>5.6205594622059383E-3</c:v>
                </c:pt>
                <c:pt idx="10">
                  <c:v>8.5856138240935319E-3</c:v>
                </c:pt>
                <c:pt idx="11">
                  <c:v>8.8863651611831122E-3</c:v>
                </c:pt>
                <c:pt idx="12">
                  <c:v>5.926289844020792E-3</c:v>
                </c:pt>
                <c:pt idx="13">
                  <c:v>8.592567133134419E-3</c:v>
                </c:pt>
                <c:pt idx="14">
                  <c:v>7.5557495424289937E-3</c:v>
                </c:pt>
                <c:pt idx="15">
                  <c:v>7.996097667416888E-3</c:v>
                </c:pt>
                <c:pt idx="16">
                  <c:v>6.6607786370297337E-3</c:v>
                </c:pt>
                <c:pt idx="17">
                  <c:v>7.9950523062972054E-3</c:v>
                </c:pt>
                <c:pt idx="18">
                  <c:v>1.0217423817259154E-2</c:v>
                </c:pt>
                <c:pt idx="19">
                  <c:v>1.1992916894445718E-2</c:v>
                </c:pt>
                <c:pt idx="20">
                  <c:v>1.1702577308966277E-2</c:v>
                </c:pt>
                <c:pt idx="21">
                  <c:v>1.0964919267003445E-2</c:v>
                </c:pt>
                <c:pt idx="22">
                  <c:v>1.3636471906177635E-2</c:v>
                </c:pt>
                <c:pt idx="23">
                  <c:v>1.2303517093772887E-2</c:v>
                </c:pt>
                <c:pt idx="24">
                  <c:v>1.1566490772965446E-2</c:v>
                </c:pt>
                <c:pt idx="25">
                  <c:v>1.2760051519153126E-2</c:v>
                </c:pt>
                <c:pt idx="26">
                  <c:v>1.5128168513321659E-2</c:v>
                </c:pt>
                <c:pt idx="27">
                  <c:v>1.5564483573918497E-2</c:v>
                </c:pt>
                <c:pt idx="28">
                  <c:v>1.5710928868947406E-2</c:v>
                </c:pt>
                <c:pt idx="29">
                  <c:v>1.8229497006827747E-2</c:v>
                </c:pt>
                <c:pt idx="30">
                  <c:v>1.9410596208909045E-2</c:v>
                </c:pt>
                <c:pt idx="31">
                  <c:v>2.0457814156383414E-2</c:v>
                </c:pt>
                <c:pt idx="32">
                  <c:v>1.7943459210950766E-2</c:v>
                </c:pt>
                <c:pt idx="33">
                  <c:v>2.298721225831208E-2</c:v>
                </c:pt>
                <c:pt idx="34">
                  <c:v>2.417079457127513E-2</c:v>
                </c:pt>
                <c:pt idx="35">
                  <c:v>2.832048576720626E-2</c:v>
                </c:pt>
                <c:pt idx="36">
                  <c:v>2.6260467578159089E-2</c:v>
                </c:pt>
                <c:pt idx="37">
                  <c:v>2.8339944008579733E-2</c:v>
                </c:pt>
                <c:pt idx="38">
                  <c:v>3.0427084201463811E-2</c:v>
                </c:pt>
                <c:pt idx="39">
                  <c:v>3.6393491720681168E-2</c:v>
                </c:pt>
                <c:pt idx="40">
                  <c:v>3.9819482240347481E-2</c:v>
                </c:pt>
                <c:pt idx="41">
                  <c:v>3.922953548931133E-2</c:v>
                </c:pt>
                <c:pt idx="42">
                  <c:v>3.9395111111309326E-2</c:v>
                </c:pt>
                <c:pt idx="43">
                  <c:v>4.6837640708636552E-2</c:v>
                </c:pt>
                <c:pt idx="44">
                  <c:v>4.8772971660732474E-2</c:v>
                </c:pt>
                <c:pt idx="45">
                  <c:v>5.058601217016135E-2</c:v>
                </c:pt>
                <c:pt idx="46">
                  <c:v>5.1066073514123907E-2</c:v>
                </c:pt>
                <c:pt idx="47">
                  <c:v>5.7027831517451034E-2</c:v>
                </c:pt>
                <c:pt idx="48">
                  <c:v>6.0472059793342844E-2</c:v>
                </c:pt>
                <c:pt idx="49">
                  <c:v>6.4772077927569865E-2</c:v>
                </c:pt>
                <c:pt idx="50">
                  <c:v>6.3290221225979534E-2</c:v>
                </c:pt>
                <c:pt idx="51">
                  <c:v>6.6431547644892161E-2</c:v>
                </c:pt>
                <c:pt idx="52">
                  <c:v>7.323759314236522E-2</c:v>
                </c:pt>
                <c:pt idx="53">
                  <c:v>8.1401422364107731E-2</c:v>
                </c:pt>
                <c:pt idx="54">
                  <c:v>7.7080583896434532E-2</c:v>
                </c:pt>
                <c:pt idx="55">
                  <c:v>8.2137634313818111E-2</c:v>
                </c:pt>
                <c:pt idx="56">
                  <c:v>8.1056634657327278E-2</c:v>
                </c:pt>
                <c:pt idx="57">
                  <c:v>9.4797202146149132E-2</c:v>
                </c:pt>
                <c:pt idx="58">
                  <c:v>9.9231495951845911E-2</c:v>
                </c:pt>
                <c:pt idx="59">
                  <c:v>9.881333224003723E-2</c:v>
                </c:pt>
                <c:pt idx="60">
                  <c:v>0.10953452988992687</c:v>
                </c:pt>
                <c:pt idx="61">
                  <c:v>0.11075215240258336</c:v>
                </c:pt>
                <c:pt idx="62">
                  <c:v>0.12428323481601991</c:v>
                </c:pt>
                <c:pt idx="63">
                  <c:v>0.12983298246379743</c:v>
                </c:pt>
                <c:pt idx="64">
                  <c:v>0.13365891671936408</c:v>
                </c:pt>
                <c:pt idx="65">
                  <c:v>0.15327535111685248</c:v>
                </c:pt>
                <c:pt idx="66">
                  <c:v>0.16473717995941764</c:v>
                </c:pt>
                <c:pt idx="67">
                  <c:v>0.17418169380547804</c:v>
                </c:pt>
                <c:pt idx="68">
                  <c:v>0.19396063038190356</c:v>
                </c:pt>
                <c:pt idx="69">
                  <c:v>0.20553343199933871</c:v>
                </c:pt>
                <c:pt idx="70">
                  <c:v>0.22737776488075426</c:v>
                </c:pt>
                <c:pt idx="71">
                  <c:v>0.23429326981674667</c:v>
                </c:pt>
                <c:pt idx="72">
                  <c:v>0.26405840523607343</c:v>
                </c:pt>
                <c:pt idx="73">
                  <c:v>0.27969530343449839</c:v>
                </c:pt>
                <c:pt idx="74">
                  <c:v>0.30304530948771208</c:v>
                </c:pt>
                <c:pt idx="75">
                  <c:v>0.32737924961538167</c:v>
                </c:pt>
                <c:pt idx="76">
                  <c:v>0.37128135158249931</c:v>
                </c:pt>
                <c:pt idx="77">
                  <c:v>0.40342704244734334</c:v>
                </c:pt>
                <c:pt idx="78">
                  <c:v>0.43211705689229246</c:v>
                </c:pt>
                <c:pt idx="79">
                  <c:v>0.50585511600921573</c:v>
                </c:pt>
                <c:pt idx="80">
                  <c:v>0.53944849798943706</c:v>
                </c:pt>
                <c:pt idx="81">
                  <c:v>0.58132610939552354</c:v>
                </c:pt>
                <c:pt idx="82">
                  <c:v>0.67424963789355918</c:v>
                </c:pt>
                <c:pt idx="83">
                  <c:v>0.76344392366021463</c:v>
                </c:pt>
                <c:pt idx="84">
                  <c:v>0.86314710644103976</c:v>
                </c:pt>
                <c:pt idx="85">
                  <c:v>0.97869733052227048</c:v>
                </c:pt>
                <c:pt idx="86">
                  <c:v>1.1300502345097299</c:v>
                </c:pt>
                <c:pt idx="87">
                  <c:v>1.3203855471947259</c:v>
                </c:pt>
                <c:pt idx="88">
                  <c:v>1.5834157368275676</c:v>
                </c:pt>
                <c:pt idx="89">
                  <c:v>1.9131690395990215</c:v>
                </c:pt>
                <c:pt idx="90">
                  <c:v>2.2906535066699738</c:v>
                </c:pt>
                <c:pt idx="91">
                  <c:v>2.8802174778199237</c:v>
                </c:pt>
                <c:pt idx="92">
                  <c:v>3.7146865177918071</c:v>
                </c:pt>
                <c:pt idx="93">
                  <c:v>4.9763885560833891</c:v>
                </c:pt>
                <c:pt idx="94">
                  <c:v>6.9960907588100483</c:v>
                </c:pt>
                <c:pt idx="95">
                  <c:v>10.545257756600973</c:v>
                </c:pt>
                <c:pt idx="96">
                  <c:v>17.790741783790711</c:v>
                </c:pt>
                <c:pt idx="97">
                  <c:v>36.672456418865664</c:v>
                </c:pt>
                <c:pt idx="98">
                  <c:v>127.52415137218667</c:v>
                </c:pt>
                <c:pt idx="99">
                  <c:v>8246.4958319914203</c:v>
                </c:pt>
                <c:pt idx="100">
                  <c:v>15421.187251350579</c:v>
                </c:pt>
                <c:pt idx="101">
                  <c:v>192.41958161017442</c:v>
                </c:pt>
                <c:pt idx="102">
                  <c:v>43.548261582485203</c:v>
                </c:pt>
                <c:pt idx="103">
                  <c:v>19.833856507128914</c:v>
                </c:pt>
                <c:pt idx="104">
                  <c:v>11.514196950272874</c:v>
                </c:pt>
                <c:pt idx="105">
                  <c:v>7.5864213118573289</c:v>
                </c:pt>
                <c:pt idx="106">
                  <c:v>5.3401518251592828</c:v>
                </c:pt>
                <c:pt idx="107">
                  <c:v>4.0453302596343601</c:v>
                </c:pt>
                <c:pt idx="108">
                  <c:v>3.1135874408889763</c:v>
                </c:pt>
                <c:pt idx="109">
                  <c:v>2.4835526530492698</c:v>
                </c:pt>
                <c:pt idx="110">
                  <c:v>2.0426967295268099</c:v>
                </c:pt>
                <c:pt idx="111">
                  <c:v>1.6668144525426767</c:v>
                </c:pt>
                <c:pt idx="112">
                  <c:v>1.4100199571362344</c:v>
                </c:pt>
                <c:pt idx="113">
                  <c:v>1.1959706260840879</c:v>
                </c:pt>
                <c:pt idx="114">
                  <c:v>1.0122790303609115</c:v>
                </c:pt>
                <c:pt idx="115">
                  <c:v>0.92309467836820269</c:v>
                </c:pt>
                <c:pt idx="116">
                  <c:v>0.81071671194246653</c:v>
                </c:pt>
                <c:pt idx="117">
                  <c:v>0.71925561798450222</c:v>
                </c:pt>
                <c:pt idx="118">
                  <c:v>0.64214185640816768</c:v>
                </c:pt>
                <c:pt idx="119">
                  <c:v>0.58564115704742403</c:v>
                </c:pt>
                <c:pt idx="120">
                  <c:v>0.51473765106134872</c:v>
                </c:pt>
                <c:pt idx="121">
                  <c:v>0.46260438019229777</c:v>
                </c:pt>
                <c:pt idx="122">
                  <c:v>0.42156198180968324</c:v>
                </c:pt>
                <c:pt idx="123">
                  <c:v>0.39691053744816318</c:v>
                </c:pt>
                <c:pt idx="124">
                  <c:v>0.35902991200279094</c:v>
                </c:pt>
                <c:pt idx="125">
                  <c:v>0.32356462011166964</c:v>
                </c:pt>
                <c:pt idx="126">
                  <c:v>0.30229262549090014</c:v>
                </c:pt>
                <c:pt idx="127">
                  <c:v>0.2873009130648646</c:v>
                </c:pt>
                <c:pt idx="128">
                  <c:v>0.26919168973203583</c:v>
                </c:pt>
                <c:pt idx="129">
                  <c:v>0.2501464778353073</c:v>
                </c:pt>
                <c:pt idx="130">
                  <c:v>0.23940385160620722</c:v>
                </c:pt>
                <c:pt idx="131">
                  <c:v>0.2201907514135065</c:v>
                </c:pt>
                <c:pt idx="132">
                  <c:v>0.21402126772382438</c:v>
                </c:pt>
                <c:pt idx="133">
                  <c:v>0.19569605957252997</c:v>
                </c:pt>
                <c:pt idx="134">
                  <c:v>0.19481585377694119</c:v>
                </c:pt>
                <c:pt idx="135">
                  <c:v>0.1831818926747836</c:v>
                </c:pt>
                <c:pt idx="136">
                  <c:v>0.17556946521179209</c:v>
                </c:pt>
                <c:pt idx="137">
                  <c:v>0.16943938747601128</c:v>
                </c:pt>
                <c:pt idx="138">
                  <c:v>0.15784018902470684</c:v>
                </c:pt>
                <c:pt idx="139">
                  <c:v>0.137221114107273</c:v>
                </c:pt>
                <c:pt idx="140">
                  <c:v>0.13184803256109356</c:v>
                </c:pt>
                <c:pt idx="141">
                  <c:v>0.12628692715751935</c:v>
                </c:pt>
                <c:pt idx="142">
                  <c:v>0.12220108780391054</c:v>
                </c:pt>
                <c:pt idx="143">
                  <c:v>0.10813488320030028</c:v>
                </c:pt>
                <c:pt idx="144">
                  <c:v>0.11736202155931286</c:v>
                </c:pt>
                <c:pt idx="145">
                  <c:v>0.10737731143047315</c:v>
                </c:pt>
                <c:pt idx="146">
                  <c:v>0.10289092418468673</c:v>
                </c:pt>
                <c:pt idx="147">
                  <c:v>0.10154887688526509</c:v>
                </c:pt>
                <c:pt idx="148">
                  <c:v>9.2967894850533958E-2</c:v>
                </c:pt>
                <c:pt idx="149">
                  <c:v>8.8976609318346569E-2</c:v>
                </c:pt>
                <c:pt idx="150">
                  <c:v>8.8735505293299641E-2</c:v>
                </c:pt>
                <c:pt idx="151">
                  <c:v>8.4530495850747275E-2</c:v>
                </c:pt>
                <c:pt idx="152">
                  <c:v>8.1210592541065676E-2</c:v>
                </c:pt>
                <c:pt idx="153">
                  <c:v>7.0940031653472374E-2</c:v>
                </c:pt>
                <c:pt idx="154">
                  <c:v>6.6099652653131905E-2</c:v>
                </c:pt>
                <c:pt idx="155">
                  <c:v>6.5830295038216302E-2</c:v>
                </c:pt>
                <c:pt idx="156">
                  <c:v>6.7198895032223302E-2</c:v>
                </c:pt>
                <c:pt idx="157">
                  <c:v>6.3357011315199316E-2</c:v>
                </c:pt>
                <c:pt idx="158">
                  <c:v>5.5955814385308292E-2</c:v>
                </c:pt>
                <c:pt idx="159">
                  <c:v>6.1128724959805592E-2</c:v>
                </c:pt>
                <c:pt idx="160">
                  <c:v>6.024536088772478E-2</c:v>
                </c:pt>
                <c:pt idx="161">
                  <c:v>5.2213152066219716E-2</c:v>
                </c:pt>
                <c:pt idx="162">
                  <c:v>5.2074773258641155E-2</c:v>
                </c:pt>
                <c:pt idx="163">
                  <c:v>5.2201305604584858E-2</c:v>
                </c:pt>
                <c:pt idx="164">
                  <c:v>4.8888739279592495E-2</c:v>
                </c:pt>
                <c:pt idx="165">
                  <c:v>4.9475924379726234E-2</c:v>
                </c:pt>
                <c:pt idx="166">
                  <c:v>4.7533221824028048E-2</c:v>
                </c:pt>
                <c:pt idx="167">
                  <c:v>4.4956194275605176E-2</c:v>
                </c:pt>
                <c:pt idx="168">
                  <c:v>4.1643408192230578E-2</c:v>
                </c:pt>
                <c:pt idx="169">
                  <c:v>4.1640043537012505E-2</c:v>
                </c:pt>
                <c:pt idx="170">
                  <c:v>3.921477485533495E-2</c:v>
                </c:pt>
                <c:pt idx="171">
                  <c:v>4.1803673409952599E-2</c:v>
                </c:pt>
                <c:pt idx="172">
                  <c:v>3.877849909152277E-2</c:v>
                </c:pt>
                <c:pt idx="173">
                  <c:v>3.8634216510512721E-2</c:v>
                </c:pt>
                <c:pt idx="174">
                  <c:v>3.7437725110426513E-2</c:v>
                </c:pt>
                <c:pt idx="175">
                  <c:v>3.320381017208883E-2</c:v>
                </c:pt>
                <c:pt idx="176">
                  <c:v>3.1537874075576386E-2</c:v>
                </c:pt>
                <c:pt idx="177">
                  <c:v>3.2157161391499225E-2</c:v>
                </c:pt>
                <c:pt idx="178">
                  <c:v>2.928335793995188E-2</c:v>
                </c:pt>
                <c:pt idx="179">
                  <c:v>3.2328320227766216E-2</c:v>
                </c:pt>
                <c:pt idx="180">
                  <c:v>2.6568751152704247E-2</c:v>
                </c:pt>
                <c:pt idx="181">
                  <c:v>2.7939813935720176E-2</c:v>
                </c:pt>
                <c:pt idx="182">
                  <c:v>2.6877478422395882E-2</c:v>
                </c:pt>
                <c:pt idx="183">
                  <c:v>2.7034221512305591E-2</c:v>
                </c:pt>
                <c:pt idx="184">
                  <c:v>2.4009091969607588E-2</c:v>
                </c:pt>
                <c:pt idx="185">
                  <c:v>2.5386141067137602E-2</c:v>
                </c:pt>
                <c:pt idx="186">
                  <c:v>2.7505871933784828E-2</c:v>
                </c:pt>
                <c:pt idx="187">
                  <c:v>2.5384011453265968E-2</c:v>
                </c:pt>
                <c:pt idx="188">
                  <c:v>2.2197435423859421E-2</c:v>
                </c:pt>
                <c:pt idx="189">
                  <c:v>2.1887328864457566E-2</c:v>
                </c:pt>
                <c:pt idx="190">
                  <c:v>1.96060732562841E-2</c:v>
                </c:pt>
                <c:pt idx="191">
                  <c:v>2.4177604485684647E-2</c:v>
                </c:pt>
                <c:pt idx="192">
                  <c:v>2.2353340871021803E-2</c:v>
                </c:pt>
                <c:pt idx="193">
                  <c:v>2.0838501129507605E-2</c:v>
                </c:pt>
                <c:pt idx="194">
                  <c:v>2.2506127559347784E-2</c:v>
                </c:pt>
                <c:pt idx="195">
                  <c:v>2.1287476621599001E-2</c:v>
                </c:pt>
                <c:pt idx="196">
                  <c:v>2.1755515532844757E-2</c:v>
                </c:pt>
                <c:pt idx="197">
                  <c:v>1.7796397169587981E-2</c:v>
                </c:pt>
                <c:pt idx="198">
                  <c:v>1.7497183409919268E-2</c:v>
                </c:pt>
                <c:pt idx="199">
                  <c:v>1.6584075687530515E-2</c:v>
                </c:pt>
                <c:pt idx="200">
                  <c:v>1.4308179432119926E-2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0-4AF4-869D-0D7205C26C93}"/>
            </c:ext>
          </c:extLst>
        </c:ser>
        <c:ser>
          <c:idx val="1"/>
          <c:order val="1"/>
          <c:tx>
            <c:strRef>
              <c:f>'2thome'!$G$1</c:f>
              <c:strCache>
                <c:ptCount val="1"/>
                <c:pt idx="0">
                  <c:v>Si_Thermo_2θ_90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'2thome'!$A$20:$A$220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'2thome'!$K$20:$K$220</c:f>
              <c:numCache>
                <c:formatCode>0.00E+00</c:formatCode>
                <c:ptCount val="201"/>
                <c:pt idx="0">
                  <c:v>1.1978686339804744E-2</c:v>
                </c:pt>
                <c:pt idx="1">
                  <c:v>1.0008764067605034E-2</c:v>
                </c:pt>
                <c:pt idx="2">
                  <c:v>1.3951054285275589E-2</c:v>
                </c:pt>
                <c:pt idx="3">
                  <c:v>1.5919877782605896E-2</c:v>
                </c:pt>
                <c:pt idx="4">
                  <c:v>1.608861372033038E-2</c:v>
                </c:pt>
                <c:pt idx="5">
                  <c:v>1.7735033282253152E-2</c:v>
                </c:pt>
                <c:pt idx="6">
                  <c:v>1.970990501895321E-2</c:v>
                </c:pt>
                <c:pt idx="7">
                  <c:v>1.8066698374269791E-2</c:v>
                </c:pt>
                <c:pt idx="8">
                  <c:v>1.7906683410018023E-2</c:v>
                </c:pt>
                <c:pt idx="9">
                  <c:v>1.8893315656637679E-2</c:v>
                </c:pt>
                <c:pt idx="10">
                  <c:v>1.6594579921024914E-2</c:v>
                </c:pt>
                <c:pt idx="11">
                  <c:v>2.0547587621160084E-2</c:v>
                </c:pt>
                <c:pt idx="12">
                  <c:v>2.1693378912875427E-2</c:v>
                </c:pt>
                <c:pt idx="13">
                  <c:v>1.9236892848517376E-2</c:v>
                </c:pt>
                <c:pt idx="14">
                  <c:v>2.3180458538075554E-2</c:v>
                </c:pt>
                <c:pt idx="15">
                  <c:v>2.2364326321042668E-2</c:v>
                </c:pt>
                <c:pt idx="16">
                  <c:v>2.434000513705676E-2</c:v>
                </c:pt>
                <c:pt idx="17">
                  <c:v>2.3687772653048798E-2</c:v>
                </c:pt>
                <c:pt idx="18">
                  <c:v>2.6162672024299234E-2</c:v>
                </c:pt>
                <c:pt idx="19">
                  <c:v>2.6162685800113428E-2</c:v>
                </c:pt>
                <c:pt idx="20">
                  <c:v>2.896419862126794E-2</c:v>
                </c:pt>
                <c:pt idx="21">
                  <c:v>2.7153556819722764E-2</c:v>
                </c:pt>
                <c:pt idx="22">
                  <c:v>2.9455429985101148E-2</c:v>
                </c:pt>
                <c:pt idx="23">
                  <c:v>3.0778253317336104E-2</c:v>
                </c:pt>
                <c:pt idx="24">
                  <c:v>2.7823940640503822E-2</c:v>
                </c:pt>
                <c:pt idx="25">
                  <c:v>3.4410914127744906E-2</c:v>
                </c:pt>
                <c:pt idx="26">
                  <c:v>3.095945151708723E-2</c:v>
                </c:pt>
                <c:pt idx="27">
                  <c:v>3.5404178048698234E-2</c:v>
                </c:pt>
                <c:pt idx="28">
                  <c:v>3.4575875028957294E-2</c:v>
                </c:pt>
                <c:pt idx="29">
                  <c:v>4.2158833999953425E-2</c:v>
                </c:pt>
                <c:pt idx="30">
                  <c:v>4.2990663811427729E-2</c:v>
                </c:pt>
                <c:pt idx="31">
                  <c:v>3.8390837975439226E-2</c:v>
                </c:pt>
                <c:pt idx="32">
                  <c:v>4.4806446118905996E-2</c:v>
                </c:pt>
                <c:pt idx="33">
                  <c:v>4.2019432158292049E-2</c:v>
                </c:pt>
                <c:pt idx="34">
                  <c:v>4.2675085247190075E-2</c:v>
                </c:pt>
                <c:pt idx="35">
                  <c:v>5.0936919521051852E-2</c:v>
                </c:pt>
                <c:pt idx="36">
                  <c:v>4.6988082849453633E-2</c:v>
                </c:pt>
                <c:pt idx="37">
                  <c:v>4.8804569980790455E-2</c:v>
                </c:pt>
                <c:pt idx="38">
                  <c:v>6.3157521537250766E-2</c:v>
                </c:pt>
                <c:pt idx="39">
                  <c:v>5.5898750247401437E-2</c:v>
                </c:pt>
                <c:pt idx="40">
                  <c:v>5.8377219177417825E-2</c:v>
                </c:pt>
                <c:pt idx="41">
                  <c:v>5.6385212295517663E-2</c:v>
                </c:pt>
                <c:pt idx="42">
                  <c:v>6.3974181339466668E-2</c:v>
                </c:pt>
                <c:pt idx="43">
                  <c:v>6.6611038754961854E-2</c:v>
                </c:pt>
                <c:pt idx="44">
                  <c:v>6.4966913455744305E-2</c:v>
                </c:pt>
                <c:pt idx="45">
                  <c:v>7.1256576573776959E-2</c:v>
                </c:pt>
                <c:pt idx="46">
                  <c:v>7.5547023543768022E-2</c:v>
                </c:pt>
                <c:pt idx="47">
                  <c:v>7.488475994189206E-2</c:v>
                </c:pt>
                <c:pt idx="48">
                  <c:v>8.6002726170868932E-2</c:v>
                </c:pt>
                <c:pt idx="49">
                  <c:v>8.6872068129634133E-2</c:v>
                </c:pt>
                <c:pt idx="50">
                  <c:v>9.282525216838633E-2</c:v>
                </c:pt>
                <c:pt idx="51">
                  <c:v>9.6537321973359069E-2</c:v>
                </c:pt>
                <c:pt idx="52">
                  <c:v>9.0760633624946643E-2</c:v>
                </c:pt>
                <c:pt idx="53">
                  <c:v>9.4805430137365629E-2</c:v>
                </c:pt>
                <c:pt idx="54">
                  <c:v>0.1014635026098217</c:v>
                </c:pt>
                <c:pt idx="55">
                  <c:v>0.10912888094343789</c:v>
                </c:pt>
                <c:pt idx="56">
                  <c:v>0.11277039434366222</c:v>
                </c:pt>
                <c:pt idx="57">
                  <c:v>0.11556421496136049</c:v>
                </c:pt>
                <c:pt idx="58">
                  <c:v>0.12381946499595584</c:v>
                </c:pt>
                <c:pt idx="59">
                  <c:v>0.12410814644880425</c:v>
                </c:pt>
                <c:pt idx="60">
                  <c:v>0.14384769373081294</c:v>
                </c:pt>
                <c:pt idx="61">
                  <c:v>0.15340419548063297</c:v>
                </c:pt>
                <c:pt idx="62">
                  <c:v>0.14956964808280335</c:v>
                </c:pt>
                <c:pt idx="63">
                  <c:v>0.15669850448237976</c:v>
                </c:pt>
                <c:pt idx="64">
                  <c:v>0.17735373176985211</c:v>
                </c:pt>
                <c:pt idx="65">
                  <c:v>0.18222957135748369</c:v>
                </c:pt>
                <c:pt idx="66">
                  <c:v>0.19315970025255921</c:v>
                </c:pt>
                <c:pt idx="67">
                  <c:v>0.19748389624768845</c:v>
                </c:pt>
                <c:pt idx="68">
                  <c:v>0.22349143282840825</c:v>
                </c:pt>
                <c:pt idx="69">
                  <c:v>0.22646671840636562</c:v>
                </c:pt>
                <c:pt idx="70">
                  <c:v>0.23888418340206538</c:v>
                </c:pt>
                <c:pt idx="71">
                  <c:v>0.25397458217745783</c:v>
                </c:pt>
                <c:pt idx="72">
                  <c:v>0.28961087789717266</c:v>
                </c:pt>
                <c:pt idx="73">
                  <c:v>0.2983344527221678</c:v>
                </c:pt>
                <c:pt idx="74">
                  <c:v>0.34218585976448707</c:v>
                </c:pt>
                <c:pt idx="75">
                  <c:v>0.33938299244877806</c:v>
                </c:pt>
                <c:pt idx="76">
                  <c:v>0.39072574044721509</c:v>
                </c:pt>
                <c:pt idx="77">
                  <c:v>0.4214615647836189</c:v>
                </c:pt>
                <c:pt idx="78">
                  <c:v>0.441713026383799</c:v>
                </c:pt>
                <c:pt idx="79">
                  <c:v>0.48362475411185424</c:v>
                </c:pt>
                <c:pt idx="80">
                  <c:v>0.53947211957220587</c:v>
                </c:pt>
                <c:pt idx="81">
                  <c:v>0.58644905099621791</c:v>
                </c:pt>
                <c:pt idx="82">
                  <c:v>0.66799133381525955</c:v>
                </c:pt>
                <c:pt idx="83">
                  <c:v>0.74369498982675286</c:v>
                </c:pt>
                <c:pt idx="84">
                  <c:v>0.82650778006175529</c:v>
                </c:pt>
                <c:pt idx="85">
                  <c:v>0.9100009552523689</c:v>
                </c:pt>
                <c:pt idx="86">
                  <c:v>1.0458924439560076</c:v>
                </c:pt>
                <c:pt idx="87">
                  <c:v>1.2048223749598661</c:v>
                </c:pt>
                <c:pt idx="88">
                  <c:v>1.384814913024847</c:v>
                </c:pt>
                <c:pt idx="89">
                  <c:v>1.5629704900354617</c:v>
                </c:pt>
                <c:pt idx="90">
                  <c:v>1.8979324133327165</c:v>
                </c:pt>
                <c:pt idx="91">
                  <c:v>2.3735845935925393</c:v>
                </c:pt>
                <c:pt idx="92">
                  <c:v>3.0024166443775555</c:v>
                </c:pt>
                <c:pt idx="93">
                  <c:v>3.7956303866888041</c:v>
                </c:pt>
                <c:pt idx="94">
                  <c:v>5.0886525205001547</c:v>
                </c:pt>
                <c:pt idx="95">
                  <c:v>7.1198079358223314</c:v>
                </c:pt>
                <c:pt idx="96">
                  <c:v>11.051106364051215</c:v>
                </c:pt>
                <c:pt idx="97">
                  <c:v>18.737379072691301</c:v>
                </c:pt>
                <c:pt idx="98">
                  <c:v>39.952260413515617</c:v>
                </c:pt>
                <c:pt idx="99">
                  <c:v>187.50362405538468</c:v>
                </c:pt>
                <c:pt idx="100">
                  <c:v>11747.363038625652</c:v>
                </c:pt>
                <c:pt idx="101">
                  <c:v>5819.7639594137927</c:v>
                </c:pt>
                <c:pt idx="102">
                  <c:v>104.1875430828705</c:v>
                </c:pt>
                <c:pt idx="103">
                  <c:v>31.059037744809935</c:v>
                </c:pt>
                <c:pt idx="104">
                  <c:v>14.629796815420331</c:v>
                </c:pt>
                <c:pt idx="105">
                  <c:v>8.5112530689758064</c:v>
                </c:pt>
                <c:pt idx="106">
                  <c:v>5.7252626091885634</c:v>
                </c:pt>
                <c:pt idx="107">
                  <c:v>4.0247201393610839</c:v>
                </c:pt>
                <c:pt idx="108">
                  <c:v>2.8825993717747243</c:v>
                </c:pt>
                <c:pt idx="109">
                  <c:v>2.1540654805010315</c:v>
                </c:pt>
                <c:pt idx="110">
                  <c:v>1.7302038076110364</c:v>
                </c:pt>
                <c:pt idx="111">
                  <c:v>1.4757337908495765</c:v>
                </c:pt>
                <c:pt idx="112">
                  <c:v>1.2462239099901409</c:v>
                </c:pt>
                <c:pt idx="113">
                  <c:v>1.0368686811713204</c:v>
                </c:pt>
                <c:pt idx="114">
                  <c:v>0.89395279394305038</c:v>
                </c:pt>
                <c:pt idx="115">
                  <c:v>0.7680808574956971</c:v>
                </c:pt>
                <c:pt idx="116">
                  <c:v>0.66314483737427188</c:v>
                </c:pt>
                <c:pt idx="117">
                  <c:v>0.59695177433124635</c:v>
                </c:pt>
                <c:pt idx="118">
                  <c:v>0.50083348020519991</c:v>
                </c:pt>
                <c:pt idx="119">
                  <c:v>0.43470447393427791</c:v>
                </c:pt>
                <c:pt idx="120">
                  <c:v>0.39570173925776053</c:v>
                </c:pt>
                <c:pt idx="121">
                  <c:v>0.37152842544393994</c:v>
                </c:pt>
                <c:pt idx="122">
                  <c:v>0.33223341922674665</c:v>
                </c:pt>
                <c:pt idx="123">
                  <c:v>0.29124415565769018</c:v>
                </c:pt>
                <c:pt idx="124">
                  <c:v>0.25259517865267628</c:v>
                </c:pt>
                <c:pt idx="125">
                  <c:v>0.23205064182780638</c:v>
                </c:pt>
                <c:pt idx="126">
                  <c:v>0.204645703510003</c:v>
                </c:pt>
                <c:pt idx="127">
                  <c:v>0.17838413828857094</c:v>
                </c:pt>
                <c:pt idx="128">
                  <c:v>0.15513738446317885</c:v>
                </c:pt>
                <c:pt idx="129">
                  <c:v>0.1394800211411148</c:v>
                </c:pt>
                <c:pt idx="130">
                  <c:v>0.12383484706612476</c:v>
                </c:pt>
                <c:pt idx="131">
                  <c:v>0.12323946560773198</c:v>
                </c:pt>
                <c:pt idx="132">
                  <c:v>0.11259542857570526</c:v>
                </c:pt>
                <c:pt idx="133">
                  <c:v>9.6985225091145724E-2</c:v>
                </c:pt>
                <c:pt idx="134">
                  <c:v>8.7677881910004932E-2</c:v>
                </c:pt>
                <c:pt idx="135">
                  <c:v>7.8009484057081982E-2</c:v>
                </c:pt>
                <c:pt idx="136">
                  <c:v>6.6204813239631899E-2</c:v>
                </c:pt>
                <c:pt idx="137">
                  <c:v>5.43825961323397E-2</c:v>
                </c:pt>
                <c:pt idx="138">
                  <c:v>5.2881558529284035E-2</c:v>
                </c:pt>
                <c:pt idx="139">
                  <c:v>4.6053765859661706E-2</c:v>
                </c:pt>
                <c:pt idx="140">
                  <c:v>4.8049873440956181E-2</c:v>
                </c:pt>
                <c:pt idx="141">
                  <c:v>4.1743186139984956E-2</c:v>
                </c:pt>
                <c:pt idx="142">
                  <c:v>3.3924846852182479E-2</c:v>
                </c:pt>
                <c:pt idx="143">
                  <c:v>2.861569972082224E-2</c:v>
                </c:pt>
                <c:pt idx="144">
                  <c:v>2.7291114434155602E-2</c:v>
                </c:pt>
                <c:pt idx="145">
                  <c:v>2.5302187184315681E-2</c:v>
                </c:pt>
                <c:pt idx="146">
                  <c:v>2.3139231636676638E-2</c:v>
                </c:pt>
                <c:pt idx="147">
                  <c:v>1.6970946587988693E-2</c:v>
                </c:pt>
                <c:pt idx="148">
                  <c:v>1.3146370642350474E-2</c:v>
                </c:pt>
                <c:pt idx="149">
                  <c:v>1.4975117843362064E-2</c:v>
                </c:pt>
                <c:pt idx="150">
                  <c:v>1.4977437738167263E-2</c:v>
                </c:pt>
                <c:pt idx="151">
                  <c:v>1.3648871949862033E-2</c:v>
                </c:pt>
                <c:pt idx="152">
                  <c:v>1.1820392564560196E-2</c:v>
                </c:pt>
                <c:pt idx="153">
                  <c:v>1.3152920549400489E-2</c:v>
                </c:pt>
                <c:pt idx="154">
                  <c:v>1.032206129832685E-2</c:v>
                </c:pt>
                <c:pt idx="155">
                  <c:v>6.9955509461907392E-3</c:v>
                </c:pt>
                <c:pt idx="156">
                  <c:v>1.0328074277911022E-2</c:v>
                </c:pt>
                <c:pt idx="157">
                  <c:v>7.665767855385623E-3</c:v>
                </c:pt>
                <c:pt idx="158">
                  <c:v>5.5005260336396834E-3</c:v>
                </c:pt>
                <c:pt idx="159">
                  <c:v>4.334962050825196E-3</c:v>
                </c:pt>
                <c:pt idx="160">
                  <c:v>6.6704583775570826E-3</c:v>
                </c:pt>
                <c:pt idx="161">
                  <c:v>4.6714297342809012E-3</c:v>
                </c:pt>
                <c:pt idx="162">
                  <c:v>4.1712524721136341E-3</c:v>
                </c:pt>
                <c:pt idx="163">
                  <c:v>4.0033970158144857E-3</c:v>
                </c:pt>
                <c:pt idx="164">
                  <c:v>4.1683525568582879E-3</c:v>
                </c:pt>
                <c:pt idx="165">
                  <c:v>3.0002025136696728E-3</c:v>
                </c:pt>
                <c:pt idx="166">
                  <c:v>3.1660749800208172E-3</c:v>
                </c:pt>
                <c:pt idx="167">
                  <c:v>3.4991189801594456E-3</c:v>
                </c:pt>
                <c:pt idx="168">
                  <c:v>2.1668012611383378E-3</c:v>
                </c:pt>
                <c:pt idx="169">
                  <c:v>2.6675747980470818E-3</c:v>
                </c:pt>
                <c:pt idx="170">
                  <c:v>6.3365490263550582E-3</c:v>
                </c:pt>
                <c:pt idx="171">
                  <c:v>2.8361096483365839E-3</c:v>
                </c:pt>
                <c:pt idx="172">
                  <c:v>2.001488940981345E-3</c:v>
                </c:pt>
                <c:pt idx="173">
                  <c:v>2.3359702154453648E-3</c:v>
                </c:pt>
                <c:pt idx="174">
                  <c:v>2.8370116608021465E-3</c:v>
                </c:pt>
                <c:pt idx="175">
                  <c:v>1.6695031246503956E-3</c:v>
                </c:pt>
                <c:pt idx="176">
                  <c:v>1.5025743857379915E-3</c:v>
                </c:pt>
                <c:pt idx="177">
                  <c:v>1.8365598629191719E-3</c:v>
                </c:pt>
                <c:pt idx="178">
                  <c:v>1.1688874944617692E-3</c:v>
                </c:pt>
                <c:pt idx="179">
                  <c:v>6.6768961166437731E-4</c:v>
                </c:pt>
                <c:pt idx="180">
                  <c:v>1.6692504159229529E-3</c:v>
                </c:pt>
                <c:pt idx="181">
                  <c:v>8.3445259851125972E-4</c:v>
                </c:pt>
                <c:pt idx="182">
                  <c:v>1.3353356245912203E-3</c:v>
                </c:pt>
                <c:pt idx="183">
                  <c:v>1.0014516041001432E-3</c:v>
                </c:pt>
                <c:pt idx="184">
                  <c:v>1.6688960057661024E-3</c:v>
                </c:pt>
                <c:pt idx="185">
                  <c:v>1.8355325154322812E-3</c:v>
                </c:pt>
                <c:pt idx="186">
                  <c:v>2.8364069111356882E-3</c:v>
                </c:pt>
                <c:pt idx="187">
                  <c:v>1.8352125604083154E-3</c:v>
                </c:pt>
                <c:pt idx="188">
                  <c:v>1.0010452413887962E-3</c:v>
                </c:pt>
                <c:pt idx="189">
                  <c:v>6.6776363537868503E-4</c:v>
                </c:pt>
                <c:pt idx="190">
                  <c:v>1.5024002095347492E-3</c:v>
                </c:pt>
                <c:pt idx="191">
                  <c:v>1.0021493598395157E-3</c:v>
                </c:pt>
                <c:pt idx="192">
                  <c:v>8.3514036830525387E-4</c:v>
                </c:pt>
                <c:pt idx="193">
                  <c:v>6.6821901740297908E-4</c:v>
                </c:pt>
                <c:pt idx="194">
                  <c:v>2.5061135386719134E-3</c:v>
                </c:pt>
                <c:pt idx="195">
                  <c:v>1.002624989194627E-3</c:v>
                </c:pt>
                <c:pt idx="196">
                  <c:v>5.0122408109712076E-4</c:v>
                </c:pt>
                <c:pt idx="197">
                  <c:v>1.3367298078232012E-3</c:v>
                </c:pt>
                <c:pt idx="198">
                  <c:v>1.1699259047484101E-3</c:v>
                </c:pt>
                <c:pt idx="199">
                  <c:v>8.356122987557298E-4</c:v>
                </c:pt>
                <c:pt idx="200">
                  <c:v>6.6862575126162577E-4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20-4AF4-869D-0D7205C26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40448"/>
        <c:axId val="365364928"/>
      </c:scatterChart>
      <c:valAx>
        <c:axId val="365340448"/>
        <c:scaling>
          <c:orientation val="minMax"/>
          <c:max val="70.7"/>
          <c:min val="68.5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364928"/>
        <c:crosses val="autoZero"/>
        <c:crossBetween val="midCat"/>
      </c:valAx>
      <c:valAx>
        <c:axId val="365364928"/>
        <c:scaling>
          <c:logBase val="10"/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3404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1298662821349388"/>
          <c:y val="0.12998479052360809"/>
          <c:w val="0.29072171008014358"/>
          <c:h val="9.9393313720320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'2thome'!$G$20:$G$220</c:f>
              <c:numCache>
                <c:formatCode>General</c:formatCode>
                <c:ptCount val="201"/>
                <c:pt idx="0">
                  <c:v>68.588999999999999</c:v>
                </c:pt>
                <c:pt idx="1">
                  <c:v>68.599000000000004</c:v>
                </c:pt>
                <c:pt idx="2">
                  <c:v>68.608999999999995</c:v>
                </c:pt>
                <c:pt idx="3">
                  <c:v>68.619</c:v>
                </c:pt>
                <c:pt idx="4">
                  <c:v>68.629000000000005</c:v>
                </c:pt>
                <c:pt idx="5">
                  <c:v>68.638999999999996</c:v>
                </c:pt>
                <c:pt idx="6">
                  <c:v>68.649000000000001</c:v>
                </c:pt>
                <c:pt idx="7">
                  <c:v>68.659000000000006</c:v>
                </c:pt>
                <c:pt idx="8">
                  <c:v>68.668999999999997</c:v>
                </c:pt>
                <c:pt idx="9">
                  <c:v>68.679000000000002</c:v>
                </c:pt>
                <c:pt idx="10">
                  <c:v>68.688999999999993</c:v>
                </c:pt>
                <c:pt idx="11">
                  <c:v>68.698999999999998</c:v>
                </c:pt>
                <c:pt idx="12">
                  <c:v>68.709000000000003</c:v>
                </c:pt>
                <c:pt idx="13">
                  <c:v>68.718999999999994</c:v>
                </c:pt>
                <c:pt idx="14">
                  <c:v>68.728999999999999</c:v>
                </c:pt>
                <c:pt idx="15">
                  <c:v>68.739000000000004</c:v>
                </c:pt>
                <c:pt idx="16">
                  <c:v>68.748999999999995</c:v>
                </c:pt>
                <c:pt idx="17">
                  <c:v>68.759</c:v>
                </c:pt>
                <c:pt idx="18">
                  <c:v>68.769000000000005</c:v>
                </c:pt>
                <c:pt idx="19">
                  <c:v>68.778999999999996</c:v>
                </c:pt>
                <c:pt idx="20">
                  <c:v>68.789000000000001</c:v>
                </c:pt>
                <c:pt idx="21">
                  <c:v>68.799000000000007</c:v>
                </c:pt>
                <c:pt idx="22">
                  <c:v>68.808999999999997</c:v>
                </c:pt>
                <c:pt idx="23">
                  <c:v>68.819000000000003</c:v>
                </c:pt>
                <c:pt idx="24">
                  <c:v>68.828999999999994</c:v>
                </c:pt>
                <c:pt idx="25">
                  <c:v>68.838999999999999</c:v>
                </c:pt>
                <c:pt idx="26">
                  <c:v>68.849000000000004</c:v>
                </c:pt>
                <c:pt idx="27">
                  <c:v>68.858999999999995</c:v>
                </c:pt>
                <c:pt idx="28">
                  <c:v>68.869</c:v>
                </c:pt>
                <c:pt idx="29">
                  <c:v>68.879000000000005</c:v>
                </c:pt>
                <c:pt idx="30">
                  <c:v>68.888999999999996</c:v>
                </c:pt>
                <c:pt idx="31">
                  <c:v>68.899000000000001</c:v>
                </c:pt>
                <c:pt idx="32">
                  <c:v>68.909000000000006</c:v>
                </c:pt>
                <c:pt idx="33">
                  <c:v>68.918999999999997</c:v>
                </c:pt>
                <c:pt idx="34">
                  <c:v>68.929000000000002</c:v>
                </c:pt>
                <c:pt idx="35">
                  <c:v>68.938999999999993</c:v>
                </c:pt>
                <c:pt idx="36">
                  <c:v>68.948999999999998</c:v>
                </c:pt>
                <c:pt idx="37">
                  <c:v>68.959000000000003</c:v>
                </c:pt>
                <c:pt idx="38">
                  <c:v>68.968999999999994</c:v>
                </c:pt>
                <c:pt idx="39">
                  <c:v>68.978999999999999</c:v>
                </c:pt>
                <c:pt idx="40">
                  <c:v>68.989000000000004</c:v>
                </c:pt>
                <c:pt idx="41">
                  <c:v>68.998999999999995</c:v>
                </c:pt>
                <c:pt idx="42">
                  <c:v>69.009</c:v>
                </c:pt>
                <c:pt idx="43">
                  <c:v>69.019000000000005</c:v>
                </c:pt>
                <c:pt idx="44">
                  <c:v>69.028999999999996</c:v>
                </c:pt>
                <c:pt idx="45">
                  <c:v>69.039000000000001</c:v>
                </c:pt>
                <c:pt idx="46">
                  <c:v>69.049000000000007</c:v>
                </c:pt>
                <c:pt idx="47">
                  <c:v>69.058999999999997</c:v>
                </c:pt>
                <c:pt idx="48">
                  <c:v>69.069000000000003</c:v>
                </c:pt>
                <c:pt idx="49">
                  <c:v>69.078999999999994</c:v>
                </c:pt>
                <c:pt idx="50">
                  <c:v>69.088999999999999</c:v>
                </c:pt>
                <c:pt idx="51">
                  <c:v>69.099000000000004</c:v>
                </c:pt>
                <c:pt idx="52">
                  <c:v>69.108999999999995</c:v>
                </c:pt>
                <c:pt idx="53">
                  <c:v>69.119</c:v>
                </c:pt>
                <c:pt idx="54">
                  <c:v>69.129000000000005</c:v>
                </c:pt>
                <c:pt idx="55">
                  <c:v>69.138999999999996</c:v>
                </c:pt>
                <c:pt idx="56">
                  <c:v>69.149000000000001</c:v>
                </c:pt>
                <c:pt idx="57">
                  <c:v>69.159000000000006</c:v>
                </c:pt>
                <c:pt idx="58">
                  <c:v>69.168999999999997</c:v>
                </c:pt>
                <c:pt idx="59">
                  <c:v>69.179000000000002</c:v>
                </c:pt>
                <c:pt idx="60">
                  <c:v>69.188999999999993</c:v>
                </c:pt>
                <c:pt idx="61">
                  <c:v>69.198999999999998</c:v>
                </c:pt>
                <c:pt idx="62">
                  <c:v>69.209000000000003</c:v>
                </c:pt>
                <c:pt idx="63">
                  <c:v>69.218999999999994</c:v>
                </c:pt>
                <c:pt idx="64">
                  <c:v>69.228999999999999</c:v>
                </c:pt>
                <c:pt idx="65">
                  <c:v>69.239000000000004</c:v>
                </c:pt>
                <c:pt idx="66">
                  <c:v>69.248999999999995</c:v>
                </c:pt>
                <c:pt idx="67">
                  <c:v>69.259</c:v>
                </c:pt>
                <c:pt idx="68">
                  <c:v>69.269000000000005</c:v>
                </c:pt>
                <c:pt idx="69">
                  <c:v>69.278999999999996</c:v>
                </c:pt>
                <c:pt idx="70">
                  <c:v>69.289000000000001</c:v>
                </c:pt>
                <c:pt idx="71">
                  <c:v>69.299000000000007</c:v>
                </c:pt>
                <c:pt idx="72">
                  <c:v>69.308999999999997</c:v>
                </c:pt>
                <c:pt idx="73">
                  <c:v>69.319000000000003</c:v>
                </c:pt>
                <c:pt idx="74">
                  <c:v>69.328999999999994</c:v>
                </c:pt>
                <c:pt idx="75">
                  <c:v>69.338999999999999</c:v>
                </c:pt>
                <c:pt idx="76">
                  <c:v>69.349000000000004</c:v>
                </c:pt>
                <c:pt idx="77">
                  <c:v>69.358999999999995</c:v>
                </c:pt>
                <c:pt idx="78">
                  <c:v>69.369</c:v>
                </c:pt>
                <c:pt idx="79">
                  <c:v>69.379000000000005</c:v>
                </c:pt>
                <c:pt idx="80">
                  <c:v>69.388999999999996</c:v>
                </c:pt>
                <c:pt idx="81">
                  <c:v>69.399000000000001</c:v>
                </c:pt>
                <c:pt idx="82">
                  <c:v>69.409000000000006</c:v>
                </c:pt>
                <c:pt idx="83">
                  <c:v>69.418999999999997</c:v>
                </c:pt>
                <c:pt idx="84">
                  <c:v>69.429000000000002</c:v>
                </c:pt>
                <c:pt idx="85">
                  <c:v>69.438999999999993</c:v>
                </c:pt>
                <c:pt idx="86">
                  <c:v>69.448999999999998</c:v>
                </c:pt>
                <c:pt idx="87">
                  <c:v>69.459000000000003</c:v>
                </c:pt>
                <c:pt idx="88">
                  <c:v>69.468999999999994</c:v>
                </c:pt>
                <c:pt idx="89">
                  <c:v>69.478999999999999</c:v>
                </c:pt>
                <c:pt idx="90">
                  <c:v>69.489000000000004</c:v>
                </c:pt>
                <c:pt idx="91">
                  <c:v>69.498999999999995</c:v>
                </c:pt>
                <c:pt idx="92">
                  <c:v>69.509</c:v>
                </c:pt>
                <c:pt idx="93">
                  <c:v>69.519000000000005</c:v>
                </c:pt>
                <c:pt idx="94">
                  <c:v>69.528999999999996</c:v>
                </c:pt>
                <c:pt idx="95">
                  <c:v>69.539000000000001</c:v>
                </c:pt>
                <c:pt idx="96">
                  <c:v>69.549000000000007</c:v>
                </c:pt>
                <c:pt idx="97">
                  <c:v>69.558999999999997</c:v>
                </c:pt>
                <c:pt idx="98">
                  <c:v>69.569000000000003</c:v>
                </c:pt>
                <c:pt idx="99">
                  <c:v>69.578999999999994</c:v>
                </c:pt>
                <c:pt idx="100">
                  <c:v>69.588999999999999</c:v>
                </c:pt>
                <c:pt idx="101">
                  <c:v>69.599000000000004</c:v>
                </c:pt>
                <c:pt idx="102">
                  <c:v>69.608999999999995</c:v>
                </c:pt>
                <c:pt idx="103">
                  <c:v>69.619</c:v>
                </c:pt>
                <c:pt idx="104">
                  <c:v>69.629000000000005</c:v>
                </c:pt>
                <c:pt idx="105">
                  <c:v>69.638999999999996</c:v>
                </c:pt>
                <c:pt idx="106">
                  <c:v>69.649000000000001</c:v>
                </c:pt>
                <c:pt idx="107">
                  <c:v>69.659000000000006</c:v>
                </c:pt>
                <c:pt idx="108">
                  <c:v>69.668999999999997</c:v>
                </c:pt>
                <c:pt idx="109">
                  <c:v>69.679000000000002</c:v>
                </c:pt>
                <c:pt idx="110">
                  <c:v>69.688999999999993</c:v>
                </c:pt>
                <c:pt idx="111">
                  <c:v>69.698999999999998</c:v>
                </c:pt>
                <c:pt idx="112">
                  <c:v>69.709000000000003</c:v>
                </c:pt>
                <c:pt idx="113">
                  <c:v>69.718999999999994</c:v>
                </c:pt>
                <c:pt idx="114">
                  <c:v>69.728999999999999</c:v>
                </c:pt>
                <c:pt idx="115">
                  <c:v>69.739000000000004</c:v>
                </c:pt>
                <c:pt idx="116">
                  <c:v>69.748999999999995</c:v>
                </c:pt>
                <c:pt idx="117">
                  <c:v>69.759</c:v>
                </c:pt>
                <c:pt idx="118">
                  <c:v>69.769000000000005</c:v>
                </c:pt>
                <c:pt idx="119">
                  <c:v>69.778999999999996</c:v>
                </c:pt>
                <c:pt idx="120">
                  <c:v>69.789000000000001</c:v>
                </c:pt>
                <c:pt idx="121">
                  <c:v>69.799000000000007</c:v>
                </c:pt>
                <c:pt idx="122">
                  <c:v>69.808999999999997</c:v>
                </c:pt>
                <c:pt idx="123">
                  <c:v>69.819000000000003</c:v>
                </c:pt>
                <c:pt idx="124">
                  <c:v>69.828999999999994</c:v>
                </c:pt>
                <c:pt idx="125">
                  <c:v>69.838999999999999</c:v>
                </c:pt>
                <c:pt idx="126">
                  <c:v>69.849000000000004</c:v>
                </c:pt>
                <c:pt idx="127">
                  <c:v>69.858999999999995</c:v>
                </c:pt>
                <c:pt idx="128">
                  <c:v>69.869</c:v>
                </c:pt>
                <c:pt idx="129">
                  <c:v>69.879000000000005</c:v>
                </c:pt>
                <c:pt idx="130">
                  <c:v>69.888999999999996</c:v>
                </c:pt>
                <c:pt idx="131">
                  <c:v>69.899000000000001</c:v>
                </c:pt>
                <c:pt idx="132">
                  <c:v>69.909000000000006</c:v>
                </c:pt>
                <c:pt idx="133">
                  <c:v>69.918999999999997</c:v>
                </c:pt>
                <c:pt idx="134">
                  <c:v>69.929000000000002</c:v>
                </c:pt>
                <c:pt idx="135">
                  <c:v>69.938999999999993</c:v>
                </c:pt>
                <c:pt idx="136">
                  <c:v>69.948999999999998</c:v>
                </c:pt>
                <c:pt idx="137">
                  <c:v>69.959000000000003</c:v>
                </c:pt>
                <c:pt idx="138">
                  <c:v>69.968999999999994</c:v>
                </c:pt>
                <c:pt idx="139">
                  <c:v>69.978999999999999</c:v>
                </c:pt>
                <c:pt idx="140">
                  <c:v>69.989000000000004</c:v>
                </c:pt>
                <c:pt idx="141">
                  <c:v>69.998999999999995</c:v>
                </c:pt>
                <c:pt idx="142">
                  <c:v>70.009</c:v>
                </c:pt>
                <c:pt idx="143">
                  <c:v>70.019000000000005</c:v>
                </c:pt>
                <c:pt idx="144">
                  <c:v>70.028999999999996</c:v>
                </c:pt>
                <c:pt idx="145">
                  <c:v>70.039000000000001</c:v>
                </c:pt>
                <c:pt idx="146">
                  <c:v>70.049000000000007</c:v>
                </c:pt>
                <c:pt idx="147">
                  <c:v>70.058999999999997</c:v>
                </c:pt>
                <c:pt idx="148">
                  <c:v>70.069000000000003</c:v>
                </c:pt>
                <c:pt idx="149">
                  <c:v>70.078999999999994</c:v>
                </c:pt>
                <c:pt idx="150">
                  <c:v>70.088999999999999</c:v>
                </c:pt>
                <c:pt idx="151">
                  <c:v>70.099000000000004</c:v>
                </c:pt>
                <c:pt idx="152">
                  <c:v>70.108999999999995</c:v>
                </c:pt>
                <c:pt idx="153">
                  <c:v>70.119</c:v>
                </c:pt>
                <c:pt idx="154">
                  <c:v>70.129000000000005</c:v>
                </c:pt>
                <c:pt idx="155">
                  <c:v>70.138999999999996</c:v>
                </c:pt>
                <c:pt idx="156">
                  <c:v>70.149000000000001</c:v>
                </c:pt>
                <c:pt idx="157">
                  <c:v>70.159000000000006</c:v>
                </c:pt>
                <c:pt idx="158">
                  <c:v>70.168999999999997</c:v>
                </c:pt>
                <c:pt idx="159">
                  <c:v>70.179000000000002</c:v>
                </c:pt>
                <c:pt idx="160">
                  <c:v>70.188999999999993</c:v>
                </c:pt>
                <c:pt idx="161">
                  <c:v>70.198999999999998</c:v>
                </c:pt>
                <c:pt idx="162">
                  <c:v>70.209000000000003</c:v>
                </c:pt>
                <c:pt idx="163">
                  <c:v>70.218999999999994</c:v>
                </c:pt>
                <c:pt idx="164">
                  <c:v>70.228999999999999</c:v>
                </c:pt>
                <c:pt idx="165">
                  <c:v>70.239000000000004</c:v>
                </c:pt>
                <c:pt idx="166">
                  <c:v>70.248999999999995</c:v>
                </c:pt>
                <c:pt idx="167">
                  <c:v>70.259</c:v>
                </c:pt>
                <c:pt idx="168">
                  <c:v>70.269000000000005</c:v>
                </c:pt>
                <c:pt idx="169">
                  <c:v>70.278999999999996</c:v>
                </c:pt>
                <c:pt idx="170">
                  <c:v>70.289000000000001</c:v>
                </c:pt>
                <c:pt idx="171">
                  <c:v>70.299000000000007</c:v>
                </c:pt>
                <c:pt idx="172">
                  <c:v>70.308999999999997</c:v>
                </c:pt>
                <c:pt idx="173">
                  <c:v>70.319000000000003</c:v>
                </c:pt>
                <c:pt idx="174">
                  <c:v>70.328999999999994</c:v>
                </c:pt>
                <c:pt idx="175">
                  <c:v>70.338999999999999</c:v>
                </c:pt>
                <c:pt idx="176">
                  <c:v>70.349000000000004</c:v>
                </c:pt>
                <c:pt idx="177">
                  <c:v>70.358999999999995</c:v>
                </c:pt>
                <c:pt idx="178">
                  <c:v>70.369</c:v>
                </c:pt>
                <c:pt idx="179">
                  <c:v>70.379000000000005</c:v>
                </c:pt>
                <c:pt idx="180">
                  <c:v>70.388999999999996</c:v>
                </c:pt>
                <c:pt idx="181">
                  <c:v>70.399000000000001</c:v>
                </c:pt>
                <c:pt idx="182">
                  <c:v>70.409000000000006</c:v>
                </c:pt>
                <c:pt idx="183">
                  <c:v>70.418999999999997</c:v>
                </c:pt>
                <c:pt idx="184">
                  <c:v>70.429000000000002</c:v>
                </c:pt>
                <c:pt idx="185">
                  <c:v>70.438999999999993</c:v>
                </c:pt>
                <c:pt idx="186">
                  <c:v>70.448999999999998</c:v>
                </c:pt>
                <c:pt idx="187">
                  <c:v>70.459000000000003</c:v>
                </c:pt>
                <c:pt idx="188">
                  <c:v>70.468999999999994</c:v>
                </c:pt>
                <c:pt idx="189">
                  <c:v>70.478999999999999</c:v>
                </c:pt>
                <c:pt idx="190">
                  <c:v>70.489000000000004</c:v>
                </c:pt>
                <c:pt idx="191">
                  <c:v>70.498999999999995</c:v>
                </c:pt>
                <c:pt idx="192">
                  <c:v>70.509</c:v>
                </c:pt>
                <c:pt idx="193">
                  <c:v>70.519000000000005</c:v>
                </c:pt>
                <c:pt idx="194">
                  <c:v>70.528999999999996</c:v>
                </c:pt>
                <c:pt idx="195">
                  <c:v>70.539000000000001</c:v>
                </c:pt>
                <c:pt idx="196">
                  <c:v>70.549000000000007</c:v>
                </c:pt>
                <c:pt idx="197">
                  <c:v>70.558999999999997</c:v>
                </c:pt>
                <c:pt idx="198">
                  <c:v>70.569000000000003</c:v>
                </c:pt>
                <c:pt idx="199">
                  <c:v>70.578999999999994</c:v>
                </c:pt>
                <c:pt idx="200">
                  <c:v>70.588999999999999</c:v>
                </c:pt>
              </c:numCache>
            </c:numRef>
          </c:xVal>
          <c:yVal>
            <c:numRef>
              <c:f>'2thome'!$M$20:$M$220</c:f>
              <c:numCache>
                <c:formatCode>General</c:formatCode>
                <c:ptCount val="201"/>
                <c:pt idx="0">
                  <c:v>73</c:v>
                </c:pt>
                <c:pt idx="1">
                  <c:v>61</c:v>
                </c:pt>
                <c:pt idx="2">
                  <c:v>85</c:v>
                </c:pt>
                <c:pt idx="3">
                  <c:v>97</c:v>
                </c:pt>
                <c:pt idx="4">
                  <c:v>98</c:v>
                </c:pt>
                <c:pt idx="5">
                  <c:v>108</c:v>
                </c:pt>
                <c:pt idx="6">
                  <c:v>120</c:v>
                </c:pt>
                <c:pt idx="7">
                  <c:v>110</c:v>
                </c:pt>
                <c:pt idx="8">
                  <c:v>109</c:v>
                </c:pt>
                <c:pt idx="9">
                  <c:v>115</c:v>
                </c:pt>
                <c:pt idx="10">
                  <c:v>101</c:v>
                </c:pt>
                <c:pt idx="11">
                  <c:v>125</c:v>
                </c:pt>
                <c:pt idx="12">
                  <c:v>132</c:v>
                </c:pt>
                <c:pt idx="13">
                  <c:v>117</c:v>
                </c:pt>
                <c:pt idx="14">
                  <c:v>141</c:v>
                </c:pt>
                <c:pt idx="15">
                  <c:v>136</c:v>
                </c:pt>
                <c:pt idx="16">
                  <c:v>148</c:v>
                </c:pt>
                <c:pt idx="17">
                  <c:v>144</c:v>
                </c:pt>
                <c:pt idx="18">
                  <c:v>159</c:v>
                </c:pt>
                <c:pt idx="19">
                  <c:v>159</c:v>
                </c:pt>
                <c:pt idx="20">
                  <c:v>176</c:v>
                </c:pt>
                <c:pt idx="21">
                  <c:v>165</c:v>
                </c:pt>
                <c:pt idx="22">
                  <c:v>179</c:v>
                </c:pt>
                <c:pt idx="23">
                  <c:v>187</c:v>
                </c:pt>
                <c:pt idx="24">
                  <c:v>169</c:v>
                </c:pt>
                <c:pt idx="25">
                  <c:v>209</c:v>
                </c:pt>
                <c:pt idx="26">
                  <c:v>188</c:v>
                </c:pt>
                <c:pt idx="27">
                  <c:v>215</c:v>
                </c:pt>
                <c:pt idx="28">
                  <c:v>210</c:v>
                </c:pt>
                <c:pt idx="29">
                  <c:v>256</c:v>
                </c:pt>
                <c:pt idx="30">
                  <c:v>261</c:v>
                </c:pt>
                <c:pt idx="31">
                  <c:v>233</c:v>
                </c:pt>
                <c:pt idx="32">
                  <c:v>272</c:v>
                </c:pt>
                <c:pt idx="33">
                  <c:v>255</c:v>
                </c:pt>
                <c:pt idx="34">
                  <c:v>259</c:v>
                </c:pt>
                <c:pt idx="35">
                  <c:v>309</c:v>
                </c:pt>
                <c:pt idx="36">
                  <c:v>285</c:v>
                </c:pt>
                <c:pt idx="37">
                  <c:v>296</c:v>
                </c:pt>
                <c:pt idx="38">
                  <c:v>383</c:v>
                </c:pt>
                <c:pt idx="39">
                  <c:v>339</c:v>
                </c:pt>
                <c:pt idx="40">
                  <c:v>354</c:v>
                </c:pt>
                <c:pt idx="41">
                  <c:v>342</c:v>
                </c:pt>
                <c:pt idx="42">
                  <c:v>388</c:v>
                </c:pt>
                <c:pt idx="43">
                  <c:v>404</c:v>
                </c:pt>
                <c:pt idx="44">
                  <c:v>394</c:v>
                </c:pt>
                <c:pt idx="45">
                  <c:v>432</c:v>
                </c:pt>
                <c:pt idx="46">
                  <c:v>458</c:v>
                </c:pt>
                <c:pt idx="47">
                  <c:v>454</c:v>
                </c:pt>
                <c:pt idx="48">
                  <c:v>521</c:v>
                </c:pt>
                <c:pt idx="49">
                  <c:v>526</c:v>
                </c:pt>
                <c:pt idx="50">
                  <c:v>562</c:v>
                </c:pt>
                <c:pt idx="51">
                  <c:v>584</c:v>
                </c:pt>
                <c:pt idx="52">
                  <c:v>549</c:v>
                </c:pt>
                <c:pt idx="53">
                  <c:v>573</c:v>
                </c:pt>
                <c:pt idx="54">
                  <c:v>613</c:v>
                </c:pt>
                <c:pt idx="55">
                  <c:v>659</c:v>
                </c:pt>
                <c:pt idx="56">
                  <c:v>681</c:v>
                </c:pt>
                <c:pt idx="57">
                  <c:v>698</c:v>
                </c:pt>
                <c:pt idx="58">
                  <c:v>748</c:v>
                </c:pt>
                <c:pt idx="59">
                  <c:v>750</c:v>
                </c:pt>
                <c:pt idx="60">
                  <c:v>869</c:v>
                </c:pt>
                <c:pt idx="61">
                  <c:v>927</c:v>
                </c:pt>
                <c:pt idx="62">
                  <c:v>904</c:v>
                </c:pt>
                <c:pt idx="63">
                  <c:v>947</c:v>
                </c:pt>
                <c:pt idx="64">
                  <c:v>1072</c:v>
                </c:pt>
                <c:pt idx="65">
                  <c:v>1101</c:v>
                </c:pt>
                <c:pt idx="66">
                  <c:v>1167</c:v>
                </c:pt>
                <c:pt idx="67">
                  <c:v>1193</c:v>
                </c:pt>
                <c:pt idx="68">
                  <c:v>1350</c:v>
                </c:pt>
                <c:pt idx="69">
                  <c:v>1368</c:v>
                </c:pt>
                <c:pt idx="70">
                  <c:v>1443</c:v>
                </c:pt>
                <c:pt idx="71">
                  <c:v>1534</c:v>
                </c:pt>
                <c:pt idx="72">
                  <c:v>1749</c:v>
                </c:pt>
                <c:pt idx="73">
                  <c:v>1802</c:v>
                </c:pt>
                <c:pt idx="74">
                  <c:v>2067</c:v>
                </c:pt>
                <c:pt idx="75">
                  <c:v>2050</c:v>
                </c:pt>
                <c:pt idx="76">
                  <c:v>2360</c:v>
                </c:pt>
                <c:pt idx="77">
                  <c:v>2545</c:v>
                </c:pt>
                <c:pt idx="78">
                  <c:v>2667</c:v>
                </c:pt>
                <c:pt idx="79">
                  <c:v>2919</c:v>
                </c:pt>
                <c:pt idx="80">
                  <c:v>3256</c:v>
                </c:pt>
                <c:pt idx="81">
                  <c:v>3540</c:v>
                </c:pt>
                <c:pt idx="82">
                  <c:v>4030</c:v>
                </c:pt>
                <c:pt idx="83">
                  <c:v>4489</c:v>
                </c:pt>
                <c:pt idx="84">
                  <c:v>4987</c:v>
                </c:pt>
                <c:pt idx="85">
                  <c:v>5490</c:v>
                </c:pt>
                <c:pt idx="86">
                  <c:v>6308</c:v>
                </c:pt>
                <c:pt idx="87">
                  <c:v>7263</c:v>
                </c:pt>
                <c:pt idx="88">
                  <c:v>8347</c:v>
                </c:pt>
                <c:pt idx="89">
                  <c:v>9421</c:v>
                </c:pt>
                <c:pt idx="90">
                  <c:v>11440</c:v>
                </c:pt>
                <c:pt idx="91">
                  <c:v>14305</c:v>
                </c:pt>
                <c:pt idx="92">
                  <c:v>18103</c:v>
                </c:pt>
                <c:pt idx="93">
                  <c:v>22880</c:v>
                </c:pt>
                <c:pt idx="94">
                  <c:v>30680</c:v>
                </c:pt>
                <c:pt idx="95">
                  <c:v>42935</c:v>
                </c:pt>
                <c:pt idx="96">
                  <c:v>66655</c:v>
                </c:pt>
                <c:pt idx="97">
                  <c:v>113021</c:v>
                </c:pt>
                <c:pt idx="98">
                  <c:v>240981</c:v>
                </c:pt>
                <c:pt idx="99">
                  <c:v>1131138</c:v>
                </c:pt>
                <c:pt idx="100">
                  <c:v>70883316</c:v>
                </c:pt>
                <c:pt idx="101">
                  <c:v>35119278</c:v>
                </c:pt>
                <c:pt idx="102">
                  <c:v>628306</c:v>
                </c:pt>
                <c:pt idx="103">
                  <c:v>187279</c:v>
                </c:pt>
                <c:pt idx="104">
                  <c:v>88169</c:v>
                </c:pt>
                <c:pt idx="105">
                  <c:v>51278</c:v>
                </c:pt>
                <c:pt idx="106">
                  <c:v>34482</c:v>
                </c:pt>
                <c:pt idx="107">
                  <c:v>24232</c:v>
                </c:pt>
                <c:pt idx="108">
                  <c:v>17354</c:v>
                </c:pt>
                <c:pt idx="109">
                  <c:v>12968</c:v>
                </c:pt>
                <c:pt idx="110">
                  <c:v>10417</c:v>
                </c:pt>
                <c:pt idx="111">
                  <c:v>8882</c:v>
                </c:pt>
                <c:pt idx="112">
                  <c:v>7502</c:v>
                </c:pt>
                <c:pt idx="113">
                  <c:v>6241</c:v>
                </c:pt>
                <c:pt idx="114">
                  <c:v>5381</c:v>
                </c:pt>
                <c:pt idx="115">
                  <c:v>4626</c:v>
                </c:pt>
                <c:pt idx="116">
                  <c:v>3994</c:v>
                </c:pt>
                <c:pt idx="117">
                  <c:v>3596</c:v>
                </c:pt>
                <c:pt idx="118">
                  <c:v>3017</c:v>
                </c:pt>
                <c:pt idx="119">
                  <c:v>2618</c:v>
                </c:pt>
                <c:pt idx="120">
                  <c:v>2383</c:v>
                </c:pt>
                <c:pt idx="121">
                  <c:v>2238</c:v>
                </c:pt>
                <c:pt idx="122">
                  <c:v>2000</c:v>
                </c:pt>
                <c:pt idx="123">
                  <c:v>1753</c:v>
                </c:pt>
                <c:pt idx="124">
                  <c:v>1520</c:v>
                </c:pt>
                <c:pt idx="125">
                  <c:v>1396</c:v>
                </c:pt>
                <c:pt idx="126">
                  <c:v>1231</c:v>
                </c:pt>
                <c:pt idx="127">
                  <c:v>1073</c:v>
                </c:pt>
                <c:pt idx="128">
                  <c:v>933</c:v>
                </c:pt>
                <c:pt idx="129">
                  <c:v>839</c:v>
                </c:pt>
                <c:pt idx="130">
                  <c:v>745</c:v>
                </c:pt>
                <c:pt idx="131">
                  <c:v>741</c:v>
                </c:pt>
                <c:pt idx="132">
                  <c:v>677</c:v>
                </c:pt>
                <c:pt idx="133">
                  <c:v>583</c:v>
                </c:pt>
                <c:pt idx="134">
                  <c:v>527</c:v>
                </c:pt>
                <c:pt idx="135">
                  <c:v>469</c:v>
                </c:pt>
                <c:pt idx="136">
                  <c:v>398</c:v>
                </c:pt>
                <c:pt idx="137">
                  <c:v>327</c:v>
                </c:pt>
                <c:pt idx="138">
                  <c:v>318</c:v>
                </c:pt>
                <c:pt idx="139">
                  <c:v>277</c:v>
                </c:pt>
                <c:pt idx="140">
                  <c:v>289</c:v>
                </c:pt>
                <c:pt idx="141">
                  <c:v>251</c:v>
                </c:pt>
                <c:pt idx="142">
                  <c:v>204</c:v>
                </c:pt>
                <c:pt idx="143">
                  <c:v>172</c:v>
                </c:pt>
                <c:pt idx="144">
                  <c:v>164</c:v>
                </c:pt>
                <c:pt idx="145">
                  <c:v>152</c:v>
                </c:pt>
                <c:pt idx="146">
                  <c:v>139</c:v>
                </c:pt>
                <c:pt idx="147">
                  <c:v>102</c:v>
                </c:pt>
                <c:pt idx="148">
                  <c:v>79</c:v>
                </c:pt>
                <c:pt idx="149">
                  <c:v>90</c:v>
                </c:pt>
                <c:pt idx="150">
                  <c:v>90</c:v>
                </c:pt>
                <c:pt idx="151">
                  <c:v>82</c:v>
                </c:pt>
                <c:pt idx="152">
                  <c:v>71</c:v>
                </c:pt>
                <c:pt idx="153">
                  <c:v>79</c:v>
                </c:pt>
                <c:pt idx="154">
                  <c:v>62</c:v>
                </c:pt>
                <c:pt idx="155">
                  <c:v>42</c:v>
                </c:pt>
                <c:pt idx="156">
                  <c:v>62</c:v>
                </c:pt>
                <c:pt idx="157">
                  <c:v>46</c:v>
                </c:pt>
                <c:pt idx="158">
                  <c:v>33</c:v>
                </c:pt>
                <c:pt idx="159">
                  <c:v>26</c:v>
                </c:pt>
                <c:pt idx="160">
                  <c:v>40</c:v>
                </c:pt>
                <c:pt idx="161">
                  <c:v>28</c:v>
                </c:pt>
                <c:pt idx="162">
                  <c:v>25</c:v>
                </c:pt>
                <c:pt idx="163">
                  <c:v>24</c:v>
                </c:pt>
                <c:pt idx="164">
                  <c:v>25</c:v>
                </c:pt>
                <c:pt idx="165">
                  <c:v>18</c:v>
                </c:pt>
                <c:pt idx="166">
                  <c:v>19</c:v>
                </c:pt>
                <c:pt idx="167">
                  <c:v>21</c:v>
                </c:pt>
                <c:pt idx="168">
                  <c:v>13</c:v>
                </c:pt>
                <c:pt idx="169">
                  <c:v>16</c:v>
                </c:pt>
                <c:pt idx="170">
                  <c:v>38</c:v>
                </c:pt>
                <c:pt idx="171">
                  <c:v>17</c:v>
                </c:pt>
                <c:pt idx="172">
                  <c:v>12</c:v>
                </c:pt>
                <c:pt idx="173">
                  <c:v>14</c:v>
                </c:pt>
                <c:pt idx="174">
                  <c:v>17</c:v>
                </c:pt>
                <c:pt idx="175">
                  <c:v>10</c:v>
                </c:pt>
                <c:pt idx="176">
                  <c:v>9</c:v>
                </c:pt>
                <c:pt idx="177">
                  <c:v>11</c:v>
                </c:pt>
                <c:pt idx="178">
                  <c:v>7</c:v>
                </c:pt>
                <c:pt idx="179">
                  <c:v>4</c:v>
                </c:pt>
                <c:pt idx="180">
                  <c:v>10</c:v>
                </c:pt>
                <c:pt idx="181">
                  <c:v>5</c:v>
                </c:pt>
                <c:pt idx="182">
                  <c:v>8</c:v>
                </c:pt>
                <c:pt idx="183">
                  <c:v>6</c:v>
                </c:pt>
                <c:pt idx="184">
                  <c:v>10</c:v>
                </c:pt>
                <c:pt idx="185">
                  <c:v>11</c:v>
                </c:pt>
                <c:pt idx="186">
                  <c:v>17</c:v>
                </c:pt>
                <c:pt idx="187">
                  <c:v>11</c:v>
                </c:pt>
                <c:pt idx="188">
                  <c:v>6</c:v>
                </c:pt>
                <c:pt idx="189">
                  <c:v>4</c:v>
                </c:pt>
                <c:pt idx="190">
                  <c:v>9</c:v>
                </c:pt>
                <c:pt idx="191">
                  <c:v>6</c:v>
                </c:pt>
                <c:pt idx="192">
                  <c:v>5</c:v>
                </c:pt>
                <c:pt idx="193">
                  <c:v>4</c:v>
                </c:pt>
                <c:pt idx="194">
                  <c:v>15</c:v>
                </c:pt>
                <c:pt idx="195">
                  <c:v>6</c:v>
                </c:pt>
                <c:pt idx="196">
                  <c:v>3</c:v>
                </c:pt>
                <c:pt idx="197">
                  <c:v>8</c:v>
                </c:pt>
                <c:pt idx="198">
                  <c:v>7</c:v>
                </c:pt>
                <c:pt idx="199">
                  <c:v>5</c:v>
                </c:pt>
                <c:pt idx="20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4D-4FDE-91D1-8212F3AF8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999712"/>
        <c:axId val="1099002592"/>
      </c:scatterChart>
      <c:valAx>
        <c:axId val="109899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9002592"/>
        <c:crosses val="autoZero"/>
        <c:crossBetween val="midCat"/>
      </c:valAx>
      <c:valAx>
        <c:axId val="1099002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899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23</xdr:row>
      <xdr:rowOff>126205</xdr:rowOff>
    </xdr:from>
    <xdr:to>
      <xdr:col>18</xdr:col>
      <xdr:colOff>133350</xdr:colOff>
      <xdr:row>33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08F6143-47FE-970F-0D3B-4CD518F65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171450</xdr:colOff>
      <xdr:row>23</xdr:row>
      <xdr:rowOff>92867</xdr:rowOff>
    </xdr:from>
    <xdr:to>
      <xdr:col>23</xdr:col>
      <xdr:colOff>76200</xdr:colOff>
      <xdr:row>33</xdr:row>
      <xdr:rowOff>80962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598E98D-AF37-A187-F883-C0E508F48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350041</xdr:colOff>
      <xdr:row>2</xdr:row>
      <xdr:rowOff>57150</xdr:rowOff>
    </xdr:from>
    <xdr:to>
      <xdr:col>27</xdr:col>
      <xdr:colOff>271462</xdr:colOff>
      <xdr:row>31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E79439-7CB0-FF01-72A4-07BF184C2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485775</xdr:colOff>
      <xdr:row>22</xdr:row>
      <xdr:rowOff>95250</xdr:rowOff>
    </xdr:from>
    <xdr:to>
      <xdr:col>26</xdr:col>
      <xdr:colOff>240505</xdr:colOff>
      <xdr:row>46</xdr:row>
      <xdr:rowOff>173831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936DF2A-1FCE-7840-BF57-F84EB17A2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428625</xdr:colOff>
      <xdr:row>4</xdr:row>
      <xdr:rowOff>38098</xdr:rowOff>
    </xdr:from>
    <xdr:to>
      <xdr:col>22</xdr:col>
      <xdr:colOff>542924</xdr:colOff>
      <xdr:row>23</xdr:row>
      <xdr:rowOff>47624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8915C57-7374-6BA9-6938-1A60C7A98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017A-7D8F-4D10-9A5E-85782FB2873C}">
  <dimension ref="A1:AJ220"/>
  <sheetViews>
    <sheetView zoomScaleNormal="100" workbookViewId="0">
      <selection sqref="A1:D220"/>
    </sheetView>
  </sheetViews>
  <sheetFormatPr defaultRowHeight="13.9" x14ac:dyDescent="0.4"/>
  <cols>
    <col min="4" max="4" width="13.19921875" customWidth="1"/>
  </cols>
  <sheetData>
    <row r="1" spans="1:34" x14ac:dyDescent="0.4">
      <c r="A1" s="1" t="s">
        <v>56</v>
      </c>
      <c r="B1" s="1"/>
      <c r="C1" s="1">
        <v>6987.0934999999999</v>
      </c>
      <c r="D1" s="1"/>
      <c r="E1" s="1"/>
      <c r="I1" s="3" t="s">
        <v>17</v>
      </c>
      <c r="J1" s="4"/>
      <c r="K1" s="4"/>
      <c r="L1" s="4"/>
      <c r="M1" s="5"/>
      <c r="X1" s="1" t="s">
        <v>57</v>
      </c>
      <c r="Y1" s="1"/>
      <c r="Z1" s="1"/>
      <c r="AA1" s="1"/>
      <c r="AE1" s="1" t="s">
        <v>42</v>
      </c>
      <c r="AF1" s="1"/>
      <c r="AG1" s="1"/>
      <c r="AH1" s="1"/>
    </row>
    <row r="2" spans="1:34" x14ac:dyDescent="0.4">
      <c r="A2" s="1" t="s">
        <v>53</v>
      </c>
      <c r="B2" s="1"/>
      <c r="C2" s="1"/>
      <c r="D2" s="1"/>
      <c r="E2" s="1"/>
      <c r="I2" s="6" t="s">
        <v>18</v>
      </c>
      <c r="J2" s="1"/>
      <c r="K2" s="1"/>
      <c r="L2" s="1"/>
      <c r="M2" s="7"/>
      <c r="X2" s="1" t="s">
        <v>28</v>
      </c>
      <c r="Y2" s="1"/>
      <c r="Z2" s="1"/>
      <c r="AA2" s="1"/>
      <c r="AE2" s="1" t="s">
        <v>41</v>
      </c>
      <c r="AF2" s="1"/>
      <c r="AG2" s="1"/>
      <c r="AH2" s="1"/>
    </row>
    <row r="3" spans="1:34" x14ac:dyDescent="0.4">
      <c r="A3" s="1" t="s">
        <v>54</v>
      </c>
      <c r="B3" s="1"/>
      <c r="C3" s="1"/>
      <c r="D3" s="1"/>
      <c r="E3" s="1"/>
      <c r="I3" s="6" t="s">
        <v>9</v>
      </c>
      <c r="J3" s="1"/>
      <c r="K3" s="1"/>
      <c r="L3" s="1"/>
      <c r="M3" s="7"/>
      <c r="X3" s="1" t="s">
        <v>29</v>
      </c>
      <c r="Y3" s="1"/>
      <c r="Z3" s="1"/>
      <c r="AA3" s="1"/>
      <c r="AE3" s="1" t="s">
        <v>40</v>
      </c>
      <c r="AF3" s="1"/>
      <c r="AG3" s="1"/>
      <c r="AH3" s="1"/>
    </row>
    <row r="4" spans="1:34" x14ac:dyDescent="0.4">
      <c r="A4" s="1" t="s">
        <v>45</v>
      </c>
      <c r="B4" s="1"/>
      <c r="C4" s="1"/>
      <c r="D4" s="1"/>
      <c r="E4" s="1"/>
      <c r="I4" s="6" t="s">
        <v>10</v>
      </c>
      <c r="J4" s="1"/>
      <c r="K4" s="1"/>
      <c r="L4" s="1"/>
      <c r="M4" s="7"/>
      <c r="X4" s="1" t="s">
        <v>30</v>
      </c>
      <c r="Y4" s="1"/>
      <c r="Z4" s="1"/>
      <c r="AA4" s="1"/>
      <c r="AE4" s="1" t="s">
        <v>10</v>
      </c>
      <c r="AF4" s="1"/>
      <c r="AG4" s="1"/>
      <c r="AH4" s="1"/>
    </row>
    <row r="5" spans="1:34" x14ac:dyDescent="0.4">
      <c r="A5" s="1" t="s">
        <v>11</v>
      </c>
      <c r="B5" s="1"/>
      <c r="C5" s="1"/>
      <c r="D5" s="1"/>
      <c r="E5" s="1"/>
      <c r="I5" s="6" t="s">
        <v>11</v>
      </c>
      <c r="J5" s="1"/>
      <c r="K5" s="1"/>
      <c r="L5" s="1"/>
      <c r="M5" s="7"/>
      <c r="X5" s="1" t="s">
        <v>31</v>
      </c>
      <c r="Y5" s="1"/>
      <c r="Z5" s="1"/>
      <c r="AA5" s="1"/>
      <c r="AE5" s="1" t="s">
        <v>31</v>
      </c>
      <c r="AF5" s="1"/>
      <c r="AG5" s="1"/>
      <c r="AH5" s="1"/>
    </row>
    <row r="6" spans="1:34" x14ac:dyDescent="0.4">
      <c r="A6" s="1" t="s">
        <v>12</v>
      </c>
      <c r="B6" s="1"/>
      <c r="C6" s="1"/>
      <c r="D6" s="1"/>
      <c r="E6" s="1"/>
      <c r="I6" s="6" t="s">
        <v>12</v>
      </c>
      <c r="J6" s="1"/>
      <c r="K6" s="1"/>
      <c r="L6" s="1"/>
      <c r="M6" s="7"/>
      <c r="X6" s="1" t="s">
        <v>12</v>
      </c>
      <c r="Y6" s="1"/>
      <c r="Z6" s="1"/>
      <c r="AA6" s="1"/>
      <c r="AE6" s="1" t="s">
        <v>12</v>
      </c>
      <c r="AF6" s="1"/>
      <c r="AG6" s="1"/>
      <c r="AH6" s="1"/>
    </row>
    <row r="7" spans="1:34" x14ac:dyDescent="0.4">
      <c r="A7" s="1" t="s">
        <v>7</v>
      </c>
      <c r="B7" s="1"/>
      <c r="C7" s="1"/>
      <c r="D7" s="1"/>
      <c r="E7" s="1"/>
      <c r="I7" s="6" t="s">
        <v>7</v>
      </c>
      <c r="J7" s="1"/>
      <c r="K7" s="1"/>
      <c r="L7" s="1"/>
      <c r="M7" s="7"/>
      <c r="X7" s="1" t="s">
        <v>32</v>
      </c>
      <c r="Y7" s="1"/>
      <c r="Z7" s="1"/>
      <c r="AA7" s="1"/>
      <c r="AE7" s="1" t="s">
        <v>32</v>
      </c>
      <c r="AF7" s="1"/>
      <c r="AG7" s="1"/>
      <c r="AH7" s="1"/>
    </row>
    <row r="8" spans="1:34" x14ac:dyDescent="0.4">
      <c r="A8" s="1" t="s">
        <v>0</v>
      </c>
      <c r="B8" s="1"/>
      <c r="C8" s="1"/>
      <c r="D8" s="1"/>
      <c r="E8" s="1"/>
      <c r="I8" s="6" t="s">
        <v>0</v>
      </c>
      <c r="J8" s="1"/>
      <c r="K8" s="1"/>
      <c r="L8" s="1"/>
      <c r="M8" s="7"/>
      <c r="X8" s="1" t="s">
        <v>0</v>
      </c>
      <c r="Y8" s="1"/>
      <c r="Z8" s="1"/>
      <c r="AA8" s="1"/>
      <c r="AE8" s="1" t="s">
        <v>0</v>
      </c>
      <c r="AF8" s="1"/>
      <c r="AG8" s="1"/>
      <c r="AH8" s="1"/>
    </row>
    <row r="9" spans="1:34" x14ac:dyDescent="0.4">
      <c r="A9" s="1" t="s">
        <v>8</v>
      </c>
      <c r="B9" s="1"/>
      <c r="C9" s="1"/>
      <c r="D9" s="1"/>
      <c r="E9" s="1"/>
      <c r="I9" s="6" t="s">
        <v>8</v>
      </c>
      <c r="J9" s="1"/>
      <c r="K9" s="1"/>
      <c r="L9" s="1"/>
      <c r="M9" s="7"/>
      <c r="X9" s="1" t="s">
        <v>33</v>
      </c>
      <c r="Y9" s="1"/>
      <c r="Z9" s="1"/>
      <c r="AA9" s="1"/>
      <c r="AE9" s="1" t="s">
        <v>33</v>
      </c>
      <c r="AF9" s="1"/>
      <c r="AG9" s="1"/>
      <c r="AH9" s="1"/>
    </row>
    <row r="10" spans="1:34" x14ac:dyDescent="0.4">
      <c r="A10" s="1" t="s">
        <v>1</v>
      </c>
      <c r="B10" s="1"/>
      <c r="C10" s="1"/>
      <c r="D10" s="1"/>
      <c r="E10" s="1"/>
      <c r="I10" s="6" t="s">
        <v>1</v>
      </c>
      <c r="J10" s="1"/>
      <c r="K10" s="1"/>
      <c r="L10" s="1"/>
      <c r="M10" s="7"/>
      <c r="X10" s="1" t="s">
        <v>1</v>
      </c>
      <c r="Y10" s="1"/>
      <c r="Z10" s="1"/>
      <c r="AA10" s="1"/>
      <c r="AE10" s="1" t="s">
        <v>1</v>
      </c>
      <c r="AF10" s="1"/>
      <c r="AG10" s="1"/>
      <c r="AH10" s="1"/>
    </row>
    <row r="11" spans="1:34" x14ac:dyDescent="0.4">
      <c r="A11" s="1" t="s">
        <v>2</v>
      </c>
      <c r="B11" s="1"/>
      <c r="C11" s="1"/>
      <c r="D11" s="1"/>
      <c r="E11" s="1"/>
      <c r="I11" s="6" t="s">
        <v>2</v>
      </c>
      <c r="J11" s="1"/>
      <c r="K11" s="1"/>
      <c r="L11" s="1"/>
      <c r="M11" s="7"/>
      <c r="X11" s="1" t="s">
        <v>2</v>
      </c>
      <c r="Y11" s="1"/>
      <c r="Z11" s="1"/>
      <c r="AA11" s="1"/>
      <c r="AE11" s="1" t="s">
        <v>2</v>
      </c>
      <c r="AF11" s="1"/>
      <c r="AG11" s="1"/>
      <c r="AH11" s="1"/>
    </row>
    <row r="12" spans="1:34" x14ac:dyDescent="0.4">
      <c r="A12" s="1" t="s">
        <v>3</v>
      </c>
      <c r="B12" s="1"/>
      <c r="C12" s="1"/>
      <c r="D12" s="1"/>
      <c r="E12" s="1"/>
      <c r="I12" s="6" t="s">
        <v>3</v>
      </c>
      <c r="J12" s="1"/>
      <c r="K12" s="1"/>
      <c r="L12" s="1"/>
      <c r="M12" s="7"/>
      <c r="X12" s="1" t="s">
        <v>3</v>
      </c>
      <c r="Y12" s="1"/>
      <c r="Z12" s="1"/>
      <c r="AA12" s="1"/>
      <c r="AE12" s="1" t="s">
        <v>3</v>
      </c>
      <c r="AF12" s="1"/>
      <c r="AG12" s="1"/>
      <c r="AH12" s="1"/>
    </row>
    <row r="13" spans="1:34" x14ac:dyDescent="0.4">
      <c r="A13" s="1" t="s">
        <v>4</v>
      </c>
      <c r="B13" s="1"/>
      <c r="C13" s="1"/>
      <c r="D13" s="1"/>
      <c r="E13" s="1"/>
      <c r="I13" s="6" t="s">
        <v>4</v>
      </c>
      <c r="J13" s="1"/>
      <c r="K13" s="1"/>
      <c r="L13" s="1"/>
      <c r="M13" s="7"/>
      <c r="X13" s="1" t="s">
        <v>4</v>
      </c>
      <c r="Y13" s="1"/>
      <c r="Z13" s="1"/>
      <c r="AA13" s="1"/>
      <c r="AE13" s="1" t="s">
        <v>4</v>
      </c>
      <c r="AF13" s="1"/>
      <c r="AG13" s="1"/>
      <c r="AH13" s="1"/>
    </row>
    <row r="14" spans="1:34" x14ac:dyDescent="0.4">
      <c r="A14" s="1" t="s">
        <v>5</v>
      </c>
      <c r="B14" s="1"/>
      <c r="C14" s="1"/>
      <c r="D14" s="1"/>
      <c r="E14" s="1"/>
      <c r="I14" s="6" t="s">
        <v>5</v>
      </c>
      <c r="J14" s="1"/>
      <c r="K14" s="1"/>
      <c r="L14" s="1"/>
      <c r="M14" s="7"/>
      <c r="X14" s="1" t="s">
        <v>5</v>
      </c>
      <c r="Y14" s="1"/>
      <c r="Z14" s="1"/>
      <c r="AA14" s="1"/>
      <c r="AE14" s="1" t="s">
        <v>5</v>
      </c>
      <c r="AF14" s="1"/>
      <c r="AG14" s="1"/>
      <c r="AH14" s="1"/>
    </row>
    <row r="15" spans="1:34" x14ac:dyDescent="0.4">
      <c r="A15" s="1" t="s">
        <v>6</v>
      </c>
      <c r="B15" s="1"/>
      <c r="C15" s="1"/>
      <c r="D15" s="1"/>
      <c r="E15" s="1"/>
      <c r="I15" s="6" t="s">
        <v>6</v>
      </c>
      <c r="J15" s="1"/>
      <c r="K15" s="1"/>
      <c r="L15" s="1"/>
      <c r="M15" s="7"/>
      <c r="X15" s="1" t="s">
        <v>6</v>
      </c>
      <c r="Y15" s="1"/>
      <c r="Z15" s="1"/>
      <c r="AA15" s="1"/>
      <c r="AE15" s="1" t="s">
        <v>6</v>
      </c>
      <c r="AF15" s="1"/>
      <c r="AG15" s="1"/>
      <c r="AH15" s="1"/>
    </row>
    <row r="16" spans="1:34" x14ac:dyDescent="0.4">
      <c r="A16" s="1" t="s">
        <v>13</v>
      </c>
      <c r="B16" s="1"/>
      <c r="C16" s="1"/>
      <c r="D16" s="1"/>
      <c r="E16" s="1"/>
      <c r="I16" s="6" t="s">
        <v>13</v>
      </c>
      <c r="J16" s="1"/>
      <c r="K16" s="1"/>
      <c r="L16" s="1"/>
      <c r="M16" s="7"/>
      <c r="X16" s="1" t="s">
        <v>13</v>
      </c>
      <c r="Y16" s="1"/>
      <c r="Z16" s="1"/>
      <c r="AA16" s="1"/>
      <c r="AE16" s="1" t="s">
        <v>13</v>
      </c>
      <c r="AF16" s="1"/>
      <c r="AG16" s="1"/>
      <c r="AH16" s="1"/>
    </row>
    <row r="17" spans="1:36" x14ac:dyDescent="0.4">
      <c r="A17" s="1" t="s">
        <v>15</v>
      </c>
      <c r="B17" s="1" t="s">
        <v>55</v>
      </c>
      <c r="C17" s="1"/>
      <c r="D17" s="1"/>
      <c r="E17" s="1"/>
      <c r="I17" s="6" t="s">
        <v>16</v>
      </c>
      <c r="J17" s="1" t="s">
        <v>19</v>
      </c>
      <c r="K17" s="1"/>
      <c r="L17" s="1"/>
      <c r="M17" s="7"/>
      <c r="X17" s="1" t="s">
        <v>34</v>
      </c>
      <c r="Y17" s="1" t="s">
        <v>35</v>
      </c>
      <c r="Z17" s="1"/>
      <c r="AA17" s="1"/>
      <c r="AE17" s="1" t="s">
        <v>39</v>
      </c>
      <c r="AF17" s="1" t="s">
        <v>38</v>
      </c>
      <c r="AG17" s="1"/>
      <c r="AH17" s="1"/>
    </row>
    <row r="18" spans="1:36" x14ac:dyDescent="0.4">
      <c r="A18" s="1" t="s">
        <v>36</v>
      </c>
      <c r="B18" s="1" t="s">
        <v>21</v>
      </c>
      <c r="C18" s="1"/>
      <c r="D18" s="1"/>
      <c r="E18" s="1"/>
      <c r="I18" s="6" t="s">
        <v>20</v>
      </c>
      <c r="J18" s="1" t="s">
        <v>21</v>
      </c>
      <c r="K18" s="1"/>
      <c r="L18" s="1"/>
      <c r="M18" s="7"/>
      <c r="X18" s="1" t="s">
        <v>36</v>
      </c>
      <c r="Y18" s="1" t="s">
        <v>37</v>
      </c>
      <c r="Z18" s="1"/>
      <c r="AA18" s="1"/>
      <c r="AE18" s="1" t="s">
        <v>20</v>
      </c>
      <c r="AF18" s="1" t="s">
        <v>37</v>
      </c>
      <c r="AG18" s="1"/>
      <c r="AH18" s="1"/>
    </row>
    <row r="19" spans="1:36" x14ac:dyDescent="0.4">
      <c r="A19" s="1" t="s">
        <v>22</v>
      </c>
      <c r="B19" s="1" t="s">
        <v>23</v>
      </c>
      <c r="C19" s="1" t="s">
        <v>24</v>
      </c>
      <c r="D19" s="1" t="s">
        <v>25</v>
      </c>
      <c r="E19" s="1"/>
      <c r="F19" s="1" t="s">
        <v>14</v>
      </c>
      <c r="G19" t="s">
        <v>27</v>
      </c>
      <c r="I19" s="6" t="s">
        <v>22</v>
      </c>
      <c r="J19" s="1" t="s">
        <v>23</v>
      </c>
      <c r="K19" s="1" t="s">
        <v>24</v>
      </c>
      <c r="L19" s="1" t="s">
        <v>25</v>
      </c>
      <c r="M19" s="8" t="s">
        <v>14</v>
      </c>
      <c r="X19" s="1" t="s">
        <v>22</v>
      </c>
      <c r="Y19" s="1" t="s">
        <v>23</v>
      </c>
      <c r="Z19" s="1" t="s">
        <v>24</v>
      </c>
      <c r="AA19" s="1" t="s">
        <v>25</v>
      </c>
      <c r="AB19" s="1" t="s">
        <v>14</v>
      </c>
      <c r="AE19" s="1" t="s">
        <v>22</v>
      </c>
      <c r="AF19" s="1" t="s">
        <v>23</v>
      </c>
      <c r="AG19" s="1" t="s">
        <v>24</v>
      </c>
      <c r="AH19" s="1" t="s">
        <v>25</v>
      </c>
      <c r="AI19" s="1" t="s">
        <v>14</v>
      </c>
    </row>
    <row r="20" spans="1:36" x14ac:dyDescent="0.4">
      <c r="A20" s="1">
        <v>34.3596</v>
      </c>
      <c r="B20" s="1">
        <v>171</v>
      </c>
      <c r="C20" s="1">
        <v>6987.0934999999999</v>
      </c>
      <c r="D20" s="2">
        <v>1</v>
      </c>
      <c r="E20" s="1">
        <v>0</v>
      </c>
      <c r="F20" s="13">
        <f>B20/C20*D20</f>
        <v>2.447369567904022E-2</v>
      </c>
      <c r="G20">
        <f>F20-$M$101</f>
        <v>2.3823994573648147E-2</v>
      </c>
      <c r="I20" s="6">
        <v>33.9392</v>
      </c>
      <c r="J20" s="1">
        <v>3</v>
      </c>
      <c r="K20" s="1">
        <v>6456.3683000000001</v>
      </c>
      <c r="L20" s="2">
        <v>1</v>
      </c>
      <c r="M20" s="12">
        <f>J20/K20*L20</f>
        <v>4.6465750722430129E-4</v>
      </c>
      <c r="X20" s="1">
        <v>34.358800000000002</v>
      </c>
      <c r="Y20" s="1">
        <v>131</v>
      </c>
      <c r="Z20" s="1">
        <v>5968.5011999999997</v>
      </c>
      <c r="AA20" s="2">
        <v>1</v>
      </c>
      <c r="AB20" s="13">
        <f>Y20/Z20*AA20</f>
        <v>2.1948558877729639E-2</v>
      </c>
      <c r="AC20" s="13">
        <f>AB20*5968.501</f>
        <v>130.99999561028824</v>
      </c>
      <c r="AE20" s="1">
        <v>33.938800000000001</v>
      </c>
      <c r="AF20" s="1">
        <v>0</v>
      </c>
      <c r="AG20" s="1">
        <v>5841.1216999999997</v>
      </c>
      <c r="AH20" s="2">
        <v>1</v>
      </c>
      <c r="AI20">
        <f>AF20/AG20</f>
        <v>0</v>
      </c>
      <c r="AJ20">
        <f>AI20*6987.0935</f>
        <v>0</v>
      </c>
    </row>
    <row r="21" spans="1:36" x14ac:dyDescent="0.4">
      <c r="A21" s="1">
        <v>34.360599999999998</v>
      </c>
      <c r="B21" s="1">
        <v>163</v>
      </c>
      <c r="C21" s="1">
        <v>6987.0078999999996</v>
      </c>
      <c r="D21" s="2">
        <v>1</v>
      </c>
      <c r="E21" s="1">
        <v>0</v>
      </c>
      <c r="F21" s="13">
        <f t="shared" ref="F21:F84" si="0">B21/C21*D21</f>
        <v>2.3329013267610589E-2</v>
      </c>
      <c r="G21">
        <f t="shared" ref="G21:G84" si="1">F21-$M$101</f>
        <v>2.2679312162218516E-2</v>
      </c>
      <c r="I21" s="6">
        <v>33.939700000000002</v>
      </c>
      <c r="J21" s="1">
        <v>4</v>
      </c>
      <c r="K21" s="1">
        <v>6452.4799000000003</v>
      </c>
      <c r="L21" s="2">
        <v>1</v>
      </c>
      <c r="M21" s="12">
        <f t="shared" ref="M21:M84" si="2">J21/K21*L21</f>
        <v>6.1991669280519568E-4</v>
      </c>
      <c r="X21" s="1">
        <v>34.3598</v>
      </c>
      <c r="Y21" s="1">
        <v>126</v>
      </c>
      <c r="Z21" s="1">
        <v>5967.3603000000003</v>
      </c>
      <c r="AA21" s="2">
        <v>1</v>
      </c>
      <c r="AB21" s="13">
        <f t="shared" ref="AB21:AB84" si="3">Y21/Z21*AA21</f>
        <v>2.1114863803347015E-2</v>
      </c>
      <c r="AC21" s="13">
        <f t="shared" ref="AC21:AC24" si="4">AB21*5968.501</f>
        <v>126.02408572514047</v>
      </c>
      <c r="AE21" s="1">
        <v>33.939300000000003</v>
      </c>
      <c r="AF21" s="1">
        <v>1</v>
      </c>
      <c r="AG21" s="1">
        <v>5841.0784000000003</v>
      </c>
      <c r="AH21" s="2">
        <v>1</v>
      </c>
      <c r="AI21">
        <f t="shared" ref="AI21:AI84" si="5">AF21/AG21</f>
        <v>1.7120126310922311E-4</v>
      </c>
      <c r="AJ21">
        <f>AI21*6987.0935</f>
        <v>1.1961992326622426</v>
      </c>
    </row>
    <row r="22" spans="1:36" x14ac:dyDescent="0.4">
      <c r="A22" s="1">
        <v>34.361600000000003</v>
      </c>
      <c r="B22" s="1">
        <v>142</v>
      </c>
      <c r="C22" s="1">
        <v>6985.1786000000002</v>
      </c>
      <c r="D22" s="2">
        <v>1</v>
      </c>
      <c r="E22" s="1">
        <v>0</v>
      </c>
      <c r="F22" s="13">
        <f t="shared" si="0"/>
        <v>2.032875723463964E-2</v>
      </c>
      <c r="G22">
        <f t="shared" si="1"/>
        <v>1.9679056129247568E-2</v>
      </c>
      <c r="I22" s="6">
        <v>33.940199999999997</v>
      </c>
      <c r="J22" s="1">
        <v>3</v>
      </c>
      <c r="K22" s="1">
        <v>6451.2799000000005</v>
      </c>
      <c r="L22" s="2">
        <v>1</v>
      </c>
      <c r="M22" s="12">
        <f t="shared" si="2"/>
        <v>4.6502400244639825E-4</v>
      </c>
      <c r="X22" s="1">
        <v>34.360799999999998</v>
      </c>
      <c r="Y22" s="1">
        <v>124</v>
      </c>
      <c r="Z22" s="1">
        <v>5965.1673000000001</v>
      </c>
      <c r="AA22" s="2">
        <v>1</v>
      </c>
      <c r="AB22" s="13">
        <f t="shared" si="3"/>
        <v>2.0787346567798692E-2</v>
      </c>
      <c r="AC22" s="13">
        <f t="shared" si="4"/>
        <v>124.06929877725307</v>
      </c>
      <c r="AE22" s="1">
        <v>33.939799999999998</v>
      </c>
      <c r="AF22" s="1">
        <v>0</v>
      </c>
      <c r="AG22" s="1">
        <v>5838.8684000000003</v>
      </c>
      <c r="AH22" s="2">
        <v>1</v>
      </c>
      <c r="AI22">
        <f t="shared" si="5"/>
        <v>0</v>
      </c>
      <c r="AJ22">
        <f t="shared" ref="AJ22:AJ30" si="6">AI22*6987.0935</f>
        <v>0</v>
      </c>
    </row>
    <row r="23" spans="1:36" x14ac:dyDescent="0.4">
      <c r="A23" s="1">
        <v>34.3626</v>
      </c>
      <c r="B23" s="1">
        <v>153</v>
      </c>
      <c r="C23" s="1">
        <v>6981.8534</v>
      </c>
      <c r="D23" s="2">
        <v>1</v>
      </c>
      <c r="E23" s="1">
        <v>0</v>
      </c>
      <c r="F23" s="13">
        <f t="shared" si="0"/>
        <v>2.1913951960091285E-2</v>
      </c>
      <c r="G23">
        <f t="shared" si="1"/>
        <v>2.1264250854699213E-2</v>
      </c>
      <c r="I23" s="6">
        <v>33.9407</v>
      </c>
      <c r="J23" s="1">
        <v>4</v>
      </c>
      <c r="K23" s="1">
        <v>6450.7166999999999</v>
      </c>
      <c r="L23" s="2">
        <v>1</v>
      </c>
      <c r="M23" s="12">
        <f t="shared" si="2"/>
        <v>6.2008613709543315E-4</v>
      </c>
      <c r="X23" s="1">
        <v>34.361800000000002</v>
      </c>
      <c r="Y23" s="1">
        <v>132</v>
      </c>
      <c r="Z23" s="1">
        <v>5964.99</v>
      </c>
      <c r="AA23" s="2">
        <v>1</v>
      </c>
      <c r="AB23" s="13">
        <f t="shared" si="3"/>
        <v>2.2129123435244653E-2</v>
      </c>
      <c r="AC23" s="13">
        <f t="shared" si="4"/>
        <v>132.07769535238114</v>
      </c>
      <c r="AE23" s="1">
        <v>33.940300000000001</v>
      </c>
      <c r="AF23" s="1">
        <v>2</v>
      </c>
      <c r="AG23" s="1">
        <v>5837.8984</v>
      </c>
      <c r="AH23" s="2">
        <v>1</v>
      </c>
      <c r="AI23">
        <f t="shared" si="5"/>
        <v>3.4258903854852973E-4</v>
      </c>
      <c r="AJ23">
        <f t="shared" si="6"/>
        <v>2.3937016444136816</v>
      </c>
    </row>
    <row r="24" spans="1:36" x14ac:dyDescent="0.4">
      <c r="A24" s="1">
        <v>34.363599999999998</v>
      </c>
      <c r="B24" s="1">
        <v>164</v>
      </c>
      <c r="C24" s="1">
        <v>6982.3360000000002</v>
      </c>
      <c r="D24" s="2">
        <v>1</v>
      </c>
      <c r="E24" s="1">
        <v>0</v>
      </c>
      <c r="F24" s="13">
        <f t="shared" si="0"/>
        <v>2.3487841318435548E-2</v>
      </c>
      <c r="G24">
        <f t="shared" si="1"/>
        <v>2.2838140213043475E-2</v>
      </c>
      <c r="I24" s="6">
        <v>33.941200000000002</v>
      </c>
      <c r="J24" s="1">
        <v>1</v>
      </c>
      <c r="K24" s="1">
        <v>6447.4008000000003</v>
      </c>
      <c r="L24" s="2">
        <v>1</v>
      </c>
      <c r="M24" s="12">
        <f t="shared" si="2"/>
        <v>1.5510126189145865E-4</v>
      </c>
      <c r="X24" s="1">
        <v>34.3628</v>
      </c>
      <c r="Y24" s="1">
        <v>150</v>
      </c>
      <c r="Z24" s="1">
        <v>5964.1278000000002</v>
      </c>
      <c r="AA24" s="2">
        <v>1</v>
      </c>
      <c r="AB24" s="13">
        <f t="shared" si="3"/>
        <v>2.5150366496170654E-2</v>
      </c>
      <c r="AC24" s="13">
        <f t="shared" si="4"/>
        <v>150.10998758276105</v>
      </c>
      <c r="AE24" s="1">
        <v>33.940800000000003</v>
      </c>
      <c r="AF24" s="1">
        <v>1</v>
      </c>
      <c r="AG24" s="1">
        <v>5833.0673999999999</v>
      </c>
      <c r="AH24" s="2">
        <v>1</v>
      </c>
      <c r="AI24">
        <f t="shared" si="5"/>
        <v>1.7143638696854419E-4</v>
      </c>
      <c r="AJ24">
        <f t="shared" si="6"/>
        <v>1.1978420650513999</v>
      </c>
    </row>
    <row r="25" spans="1:36" x14ac:dyDescent="0.4">
      <c r="A25" s="1">
        <v>34.364600000000003</v>
      </c>
      <c r="B25" s="1">
        <v>153</v>
      </c>
      <c r="C25" s="1">
        <v>6980.2143999999998</v>
      </c>
      <c r="D25" s="2">
        <v>1</v>
      </c>
      <c r="E25" s="1">
        <v>0</v>
      </c>
      <c r="F25" s="13">
        <f t="shared" si="0"/>
        <v>2.1919097499354747E-2</v>
      </c>
      <c r="G25">
        <f t="shared" si="1"/>
        <v>2.1269396393962674E-2</v>
      </c>
      <c r="I25" s="6">
        <v>33.941699999999997</v>
      </c>
      <c r="J25" s="1">
        <v>3</v>
      </c>
      <c r="K25" s="1">
        <v>6446.1608999999999</v>
      </c>
      <c r="L25" s="2">
        <v>1</v>
      </c>
      <c r="M25" s="12">
        <f t="shared" si="2"/>
        <v>4.6539328548252654E-4</v>
      </c>
      <c r="X25" s="1">
        <v>34.363799999999998</v>
      </c>
      <c r="Y25" s="1">
        <v>122</v>
      </c>
      <c r="Z25" s="1">
        <v>5963.6422000000002</v>
      </c>
      <c r="AA25" s="2">
        <v>1</v>
      </c>
      <c r="AB25" s="13">
        <f t="shared" si="3"/>
        <v>2.0457297052462336E-2</v>
      </c>
      <c r="AE25" s="1">
        <v>33.941299999999998</v>
      </c>
      <c r="AF25" s="1">
        <v>3</v>
      </c>
      <c r="AG25" s="1">
        <v>5832.5911999999998</v>
      </c>
      <c r="AH25" s="2">
        <v>1</v>
      </c>
      <c r="AI25">
        <f t="shared" si="5"/>
        <v>5.1435115150878395E-4</v>
      </c>
      <c r="AJ25">
        <f t="shared" si="6"/>
        <v>3.5938195874245396</v>
      </c>
    </row>
    <row r="26" spans="1:36" x14ac:dyDescent="0.4">
      <c r="A26" s="1">
        <v>34.365600000000001</v>
      </c>
      <c r="B26" s="1">
        <v>171</v>
      </c>
      <c r="C26" s="1">
        <v>6982.5137999999997</v>
      </c>
      <c r="D26" s="2">
        <v>1</v>
      </c>
      <c r="E26" s="1">
        <v>0</v>
      </c>
      <c r="F26" s="13">
        <f t="shared" si="0"/>
        <v>2.4489747517577411E-2</v>
      </c>
      <c r="G26">
        <f t="shared" si="1"/>
        <v>2.3840046412185338E-2</v>
      </c>
      <c r="I26" s="6">
        <v>33.9422</v>
      </c>
      <c r="J26" s="1">
        <v>1</v>
      </c>
      <c r="K26" s="1">
        <v>6443.2007000000003</v>
      </c>
      <c r="L26" s="2">
        <v>1</v>
      </c>
      <c r="M26" s="12">
        <f t="shared" si="2"/>
        <v>1.5520236704717269E-4</v>
      </c>
      <c r="X26" s="1">
        <v>34.364800000000002</v>
      </c>
      <c r="Y26" s="1">
        <v>149</v>
      </c>
      <c r="Z26" s="1">
        <v>5964.7196000000004</v>
      </c>
      <c r="AA26" s="2">
        <v>1</v>
      </c>
      <c r="AB26" s="13">
        <f t="shared" si="3"/>
        <v>2.4980218684546376E-2</v>
      </c>
      <c r="AE26" s="1">
        <v>33.941800000000001</v>
      </c>
      <c r="AF26" s="1">
        <v>1</v>
      </c>
      <c r="AG26" s="1">
        <v>5831.5609000000004</v>
      </c>
      <c r="AH26" s="2">
        <v>1</v>
      </c>
      <c r="AI26">
        <f t="shared" si="5"/>
        <v>1.7148067509678238E-4</v>
      </c>
      <c r="AJ26">
        <f t="shared" si="6"/>
        <v>1.1981515103443401</v>
      </c>
    </row>
    <row r="27" spans="1:36" x14ac:dyDescent="0.4">
      <c r="A27" s="1">
        <v>34.366599999999998</v>
      </c>
      <c r="B27" s="1">
        <v>152</v>
      </c>
      <c r="C27" s="1">
        <v>6982.8644999999997</v>
      </c>
      <c r="D27" s="2">
        <v>1</v>
      </c>
      <c r="E27" s="1">
        <v>0</v>
      </c>
      <c r="F27" s="13">
        <f t="shared" si="0"/>
        <v>2.17675711736924E-2</v>
      </c>
      <c r="G27">
        <f t="shared" si="1"/>
        <v>2.1117870068300328E-2</v>
      </c>
      <c r="I27" s="6">
        <v>33.942700000000002</v>
      </c>
      <c r="J27" s="1">
        <v>0</v>
      </c>
      <c r="K27" s="1">
        <v>6445.8737000000001</v>
      </c>
      <c r="L27" s="2">
        <v>1</v>
      </c>
      <c r="M27" s="12">
        <f t="shared" si="2"/>
        <v>0</v>
      </c>
      <c r="X27" s="1">
        <v>34.3658</v>
      </c>
      <c r="Y27" s="1">
        <v>119</v>
      </c>
      <c r="Z27" s="1">
        <v>5961.0877</v>
      </c>
      <c r="AA27" s="2">
        <v>1</v>
      </c>
      <c r="AB27" s="13">
        <f t="shared" si="3"/>
        <v>1.9962799742067206E-2</v>
      </c>
      <c r="AE27" s="1">
        <v>33.942300000000003</v>
      </c>
      <c r="AF27" s="1">
        <v>1</v>
      </c>
      <c r="AG27" s="1">
        <v>5830.5586999999996</v>
      </c>
      <c r="AH27" s="2">
        <v>1</v>
      </c>
      <c r="AI27">
        <f t="shared" si="5"/>
        <v>1.7151015047666017E-4</v>
      </c>
      <c r="AJ27">
        <f t="shared" si="6"/>
        <v>1.1983574575794942</v>
      </c>
    </row>
    <row r="28" spans="1:36" x14ac:dyDescent="0.4">
      <c r="A28" s="1">
        <v>34.367600000000003</v>
      </c>
      <c r="B28" s="1">
        <v>184</v>
      </c>
      <c r="C28" s="1">
        <v>6985.7566999999999</v>
      </c>
      <c r="D28" s="2">
        <v>1</v>
      </c>
      <c r="E28" s="1">
        <v>0</v>
      </c>
      <c r="F28" s="13">
        <f t="shared" si="0"/>
        <v>2.6339308381581626E-2</v>
      </c>
      <c r="G28">
        <f t="shared" si="1"/>
        <v>2.5689607276189554E-2</v>
      </c>
      <c r="I28" s="6">
        <v>33.943199999999997</v>
      </c>
      <c r="J28" s="1">
        <v>3</v>
      </c>
      <c r="K28" s="1">
        <v>6446.1139000000003</v>
      </c>
      <c r="L28" s="2">
        <v>1</v>
      </c>
      <c r="M28" s="12">
        <f t="shared" si="2"/>
        <v>4.6539667876486016E-4</v>
      </c>
      <c r="X28" s="1">
        <v>34.366799999999998</v>
      </c>
      <c r="Y28" s="1">
        <v>151</v>
      </c>
      <c r="Z28" s="1">
        <v>5961.4187000000002</v>
      </c>
      <c r="AA28" s="2">
        <v>1</v>
      </c>
      <c r="AB28" s="13">
        <f t="shared" si="3"/>
        <v>2.5329541104032835E-2</v>
      </c>
      <c r="AE28" s="1">
        <v>33.942799999999998</v>
      </c>
      <c r="AF28" s="1">
        <v>2</v>
      </c>
      <c r="AG28" s="1">
        <v>5831.1614</v>
      </c>
      <c r="AH28" s="2">
        <v>1</v>
      </c>
      <c r="AI28">
        <f t="shared" si="5"/>
        <v>3.4298484689516571E-4</v>
      </c>
      <c r="AJ28">
        <f t="shared" si="6"/>
        <v>2.3964671943397073</v>
      </c>
    </row>
    <row r="29" spans="1:36" x14ac:dyDescent="0.4">
      <c r="A29" s="1">
        <v>34.368600000000001</v>
      </c>
      <c r="B29" s="1">
        <v>173</v>
      </c>
      <c r="C29" s="1">
        <v>6981.1058999999996</v>
      </c>
      <c r="D29" s="2">
        <v>1</v>
      </c>
      <c r="E29" s="1">
        <v>0</v>
      </c>
      <c r="F29" s="13">
        <f t="shared" si="0"/>
        <v>2.4781173997088343E-2</v>
      </c>
      <c r="G29">
        <f t="shared" si="1"/>
        <v>2.413147289169627E-2</v>
      </c>
      <c r="I29" s="6">
        <v>33.9437</v>
      </c>
      <c r="J29" s="1">
        <v>3</v>
      </c>
      <c r="K29" s="1">
        <v>6442.1836999999996</v>
      </c>
      <c r="L29" s="2">
        <v>1</v>
      </c>
      <c r="M29" s="12">
        <f t="shared" si="2"/>
        <v>4.6568060454407723E-4</v>
      </c>
      <c r="X29" s="1">
        <v>34.367800000000003</v>
      </c>
      <c r="Y29" s="1">
        <v>151</v>
      </c>
      <c r="Z29" s="1">
        <v>5960.9727999999996</v>
      </c>
      <c r="AA29" s="2">
        <v>1</v>
      </c>
      <c r="AB29" s="13">
        <f t="shared" si="3"/>
        <v>2.5331435835439481E-2</v>
      </c>
      <c r="AE29" s="1">
        <v>33.943300000000001</v>
      </c>
      <c r="AF29" s="1">
        <v>14</v>
      </c>
      <c r="AG29" s="1">
        <v>5830.1369000000004</v>
      </c>
      <c r="AH29" s="2">
        <v>1</v>
      </c>
      <c r="AI29">
        <f t="shared" si="5"/>
        <v>2.4013158250194774E-3</v>
      </c>
      <c r="AJ29">
        <f t="shared" si="6"/>
        <v>16.778218192440729</v>
      </c>
    </row>
    <row r="30" spans="1:36" x14ac:dyDescent="0.4">
      <c r="A30" s="1">
        <v>34.369599999999998</v>
      </c>
      <c r="B30" s="1">
        <v>202</v>
      </c>
      <c r="C30" s="1">
        <v>6978.6666999999998</v>
      </c>
      <c r="D30" s="2">
        <v>1</v>
      </c>
      <c r="E30" s="1">
        <v>0</v>
      </c>
      <c r="F30" s="13">
        <f t="shared" si="0"/>
        <v>2.8945357141071087E-2</v>
      </c>
      <c r="G30">
        <f t="shared" si="1"/>
        <v>2.8295656035679014E-2</v>
      </c>
      <c r="I30" s="6">
        <v>33.944200000000002</v>
      </c>
      <c r="J30" s="1">
        <v>8</v>
      </c>
      <c r="K30" s="1">
        <v>6442.174</v>
      </c>
      <c r="L30" s="2">
        <v>1</v>
      </c>
      <c r="M30" s="12">
        <f t="shared" si="2"/>
        <v>1.2418168152552229E-3</v>
      </c>
      <c r="X30" s="1">
        <v>34.3688</v>
      </c>
      <c r="Y30" s="1">
        <v>139</v>
      </c>
      <c r="Z30" s="1">
        <v>5959.6328999999996</v>
      </c>
      <c r="AA30" s="2">
        <v>1</v>
      </c>
      <c r="AB30" s="13">
        <f t="shared" si="3"/>
        <v>2.3323584242915366E-2</v>
      </c>
      <c r="AE30" s="1">
        <v>33.943800000000003</v>
      </c>
      <c r="AF30" s="1">
        <v>2</v>
      </c>
      <c r="AG30" s="1">
        <v>5831.4292999999998</v>
      </c>
      <c r="AH30" s="2">
        <v>1</v>
      </c>
      <c r="AI30">
        <f t="shared" si="5"/>
        <v>3.4296908992791872E-4</v>
      </c>
      <c r="AJ30">
        <f t="shared" si="6"/>
        <v>2.3963570989362766</v>
      </c>
    </row>
    <row r="31" spans="1:36" x14ac:dyDescent="0.4">
      <c r="A31" s="1">
        <v>34.370600000000003</v>
      </c>
      <c r="B31" s="1">
        <v>193</v>
      </c>
      <c r="C31" s="1">
        <v>6978.3063000000002</v>
      </c>
      <c r="D31" s="2">
        <v>1</v>
      </c>
      <c r="E31" s="1">
        <v>0</v>
      </c>
      <c r="F31" s="13">
        <f t="shared" si="0"/>
        <v>2.7657140816533088E-2</v>
      </c>
      <c r="G31">
        <f t="shared" si="1"/>
        <v>2.7007439711141015E-2</v>
      </c>
      <c r="I31" s="6">
        <v>33.944699999999997</v>
      </c>
      <c r="J31" s="1">
        <v>6</v>
      </c>
      <c r="K31" s="1">
        <v>6443.2658000000001</v>
      </c>
      <c r="L31" s="2">
        <v>1</v>
      </c>
      <c r="M31" s="12">
        <f t="shared" si="2"/>
        <v>9.3120479369328518E-4</v>
      </c>
      <c r="X31" s="1">
        <v>34.369799999999998</v>
      </c>
      <c r="Y31" s="1">
        <v>164</v>
      </c>
      <c r="Z31" s="1">
        <v>5960.0492999999997</v>
      </c>
      <c r="AA31" s="2">
        <v>1</v>
      </c>
      <c r="AB31" s="13">
        <f t="shared" si="3"/>
        <v>2.7516550911751689E-2</v>
      </c>
      <c r="AE31" s="1">
        <v>33.944299999999998</v>
      </c>
      <c r="AF31" s="1">
        <v>1</v>
      </c>
      <c r="AG31" s="1">
        <v>5833.6412</v>
      </c>
      <c r="AH31" s="2">
        <v>1</v>
      </c>
      <c r="AI31">
        <f t="shared" si="5"/>
        <v>1.7141952439584388E-4</v>
      </c>
    </row>
    <row r="32" spans="1:36" x14ac:dyDescent="0.4">
      <c r="A32" s="1">
        <v>34.371600000000001</v>
      </c>
      <c r="B32" s="1">
        <v>199</v>
      </c>
      <c r="C32" s="1">
        <v>6979.6162000000004</v>
      </c>
      <c r="D32" s="2">
        <v>1</v>
      </c>
      <c r="E32" s="1">
        <v>0</v>
      </c>
      <c r="F32" s="13">
        <f t="shared" si="0"/>
        <v>2.8511596382620578E-2</v>
      </c>
      <c r="G32">
        <f t="shared" si="1"/>
        <v>2.7861895277228505E-2</v>
      </c>
      <c r="I32" s="6">
        <v>33.9452</v>
      </c>
      <c r="J32" s="1">
        <v>18</v>
      </c>
      <c r="K32" s="1">
        <v>6440.8717999999999</v>
      </c>
      <c r="L32" s="2">
        <v>1</v>
      </c>
      <c r="M32" s="12">
        <f t="shared" si="2"/>
        <v>2.7946527362957296E-3</v>
      </c>
      <c r="X32" s="1">
        <v>34.370800000000003</v>
      </c>
      <c r="Y32" s="1">
        <v>146</v>
      </c>
      <c r="Z32" s="1">
        <v>5959.9009999999998</v>
      </c>
      <c r="AA32" s="2">
        <v>1</v>
      </c>
      <c r="AB32" s="13">
        <f t="shared" si="3"/>
        <v>2.4497051209407674E-2</v>
      </c>
      <c r="AE32" s="1">
        <v>33.944800000000001</v>
      </c>
      <c r="AF32" s="1">
        <v>0</v>
      </c>
      <c r="AG32" s="1">
        <v>5834.0537999999997</v>
      </c>
      <c r="AH32" s="2">
        <v>1</v>
      </c>
      <c r="AI32">
        <f t="shared" si="5"/>
        <v>0</v>
      </c>
    </row>
    <row r="33" spans="1:35" x14ac:dyDescent="0.4">
      <c r="A33" s="1">
        <v>34.372599999999998</v>
      </c>
      <c r="B33" s="1">
        <v>195</v>
      </c>
      <c r="C33" s="1">
        <v>6981.9465</v>
      </c>
      <c r="D33" s="2">
        <v>1</v>
      </c>
      <c r="E33" s="1">
        <v>0</v>
      </c>
      <c r="F33" s="13">
        <f t="shared" si="0"/>
        <v>2.7929174192325879E-2</v>
      </c>
      <c r="G33">
        <f t="shared" si="1"/>
        <v>2.7279473086933806E-2</v>
      </c>
      <c r="I33" s="6">
        <v>33.945700000000002</v>
      </c>
      <c r="J33" s="1">
        <v>22</v>
      </c>
      <c r="K33" s="1">
        <v>6442.8091999999997</v>
      </c>
      <c r="L33" s="2">
        <v>1</v>
      </c>
      <c r="M33" s="12">
        <f t="shared" si="2"/>
        <v>3.4146595556484895E-3</v>
      </c>
      <c r="X33" s="1">
        <v>34.3718</v>
      </c>
      <c r="Y33" s="1">
        <v>173</v>
      </c>
      <c r="Z33" s="1">
        <v>5959.7975999999999</v>
      </c>
      <c r="AA33" s="2">
        <v>1</v>
      </c>
      <c r="AB33" s="13">
        <f t="shared" si="3"/>
        <v>2.902783141494604E-2</v>
      </c>
      <c r="AE33" s="1">
        <v>33.945300000000003</v>
      </c>
      <c r="AF33" s="1">
        <v>1</v>
      </c>
      <c r="AG33" s="1">
        <v>5834.5033999999996</v>
      </c>
      <c r="AH33" s="2">
        <v>1</v>
      </c>
      <c r="AI33">
        <f t="shared" si="5"/>
        <v>1.7139419269170364E-4</v>
      </c>
    </row>
    <row r="34" spans="1:35" x14ac:dyDescent="0.4">
      <c r="A34" s="1">
        <v>34.373600000000003</v>
      </c>
      <c r="B34" s="1">
        <v>206</v>
      </c>
      <c r="C34" s="1">
        <v>6979.0438999999997</v>
      </c>
      <c r="D34" s="2">
        <v>1</v>
      </c>
      <c r="E34" s="1">
        <v>0</v>
      </c>
      <c r="F34" s="13">
        <f t="shared" si="0"/>
        <v>2.9516937126588358E-2</v>
      </c>
      <c r="G34">
        <f t="shared" si="1"/>
        <v>2.8867236021196285E-2</v>
      </c>
      <c r="I34" s="6">
        <v>33.946199999999997</v>
      </c>
      <c r="J34" s="1">
        <v>57</v>
      </c>
      <c r="K34" s="1">
        <v>6441.5610999999999</v>
      </c>
      <c r="L34" s="2">
        <v>1</v>
      </c>
      <c r="M34" s="12">
        <f t="shared" si="2"/>
        <v>8.8487866706721142E-3</v>
      </c>
      <c r="X34" s="1">
        <v>34.372799999999998</v>
      </c>
      <c r="Y34" s="1">
        <v>163</v>
      </c>
      <c r="Z34" s="1">
        <v>5960.8846999999996</v>
      </c>
      <c r="AA34" s="2">
        <v>1</v>
      </c>
      <c r="AB34" s="13">
        <f t="shared" si="3"/>
        <v>2.7344934217566733E-2</v>
      </c>
      <c r="AE34" s="1">
        <v>33.945799999999998</v>
      </c>
      <c r="AF34" s="1">
        <v>11</v>
      </c>
      <c r="AG34" s="1">
        <v>5834.0127000000002</v>
      </c>
      <c r="AH34" s="2">
        <v>1</v>
      </c>
      <c r="AI34">
        <f t="shared" si="5"/>
        <v>1.8854946956149065E-3</v>
      </c>
    </row>
    <row r="35" spans="1:35" x14ac:dyDescent="0.4">
      <c r="A35" s="1">
        <v>34.374600000000001</v>
      </c>
      <c r="B35" s="1">
        <v>195</v>
      </c>
      <c r="C35" s="1">
        <v>6977.7480999999998</v>
      </c>
      <c r="D35" s="2">
        <v>1</v>
      </c>
      <c r="E35" s="1">
        <v>0</v>
      </c>
      <c r="F35" s="13">
        <f t="shared" si="0"/>
        <v>2.794597873202101E-2</v>
      </c>
      <c r="G35">
        <f t="shared" si="1"/>
        <v>2.7296277626628937E-2</v>
      </c>
      <c r="I35" s="6">
        <v>33.9467</v>
      </c>
      <c r="J35" s="1">
        <v>57</v>
      </c>
      <c r="K35" s="1">
        <v>6441.2227000000003</v>
      </c>
      <c r="L35" s="2">
        <v>1</v>
      </c>
      <c r="M35" s="12">
        <f t="shared" si="2"/>
        <v>8.8492515559196547E-3</v>
      </c>
      <c r="X35" s="1">
        <v>34.373800000000003</v>
      </c>
      <c r="Y35" s="1">
        <v>148</v>
      </c>
      <c r="Z35" s="1">
        <v>5962.3427000000001</v>
      </c>
      <c r="AA35" s="2">
        <v>1</v>
      </c>
      <c r="AB35" s="13">
        <f t="shared" si="3"/>
        <v>2.4822457789955614E-2</v>
      </c>
      <c r="AE35" s="1">
        <v>33.946300000000001</v>
      </c>
      <c r="AF35" s="1">
        <v>0</v>
      </c>
      <c r="AG35" s="1">
        <v>5835.1958000000004</v>
      </c>
      <c r="AH35" s="2">
        <v>1</v>
      </c>
      <c r="AI35">
        <f t="shared" si="5"/>
        <v>0</v>
      </c>
    </row>
    <row r="36" spans="1:35" x14ac:dyDescent="0.4">
      <c r="A36" s="1">
        <v>34.375599999999999</v>
      </c>
      <c r="B36" s="1">
        <v>208</v>
      </c>
      <c r="C36" s="1">
        <v>6976.2066999999997</v>
      </c>
      <c r="D36" s="2">
        <v>1</v>
      </c>
      <c r="E36" s="1">
        <v>0</v>
      </c>
      <c r="F36" s="13">
        <f t="shared" si="0"/>
        <v>2.9815630319554611E-2</v>
      </c>
      <c r="G36">
        <f t="shared" si="1"/>
        <v>2.9165929214162539E-2</v>
      </c>
      <c r="I36" s="6">
        <v>33.947200000000002</v>
      </c>
      <c r="J36" s="1">
        <v>58</v>
      </c>
      <c r="K36" s="1">
        <v>6443.4985999999999</v>
      </c>
      <c r="L36" s="2">
        <v>1</v>
      </c>
      <c r="M36" s="12">
        <f t="shared" si="2"/>
        <v>9.001321114588276E-3</v>
      </c>
      <c r="X36" s="1">
        <v>34.3748</v>
      </c>
      <c r="Y36" s="1">
        <v>161</v>
      </c>
      <c r="Z36" s="1">
        <v>5961.4044000000004</v>
      </c>
      <c r="AA36" s="2">
        <v>1</v>
      </c>
      <c r="AB36" s="13">
        <f t="shared" si="3"/>
        <v>2.7007058940675118E-2</v>
      </c>
      <c r="AE36" s="1">
        <v>33.946800000000003</v>
      </c>
      <c r="AF36" s="1">
        <v>0</v>
      </c>
      <c r="AG36" s="1">
        <v>5834.2866999999997</v>
      </c>
      <c r="AH36" s="2">
        <v>1</v>
      </c>
      <c r="AI36">
        <f t="shared" si="5"/>
        <v>0</v>
      </c>
    </row>
    <row r="37" spans="1:35" x14ac:dyDescent="0.4">
      <c r="A37" s="1">
        <v>34.376600000000003</v>
      </c>
      <c r="B37" s="1">
        <v>188</v>
      </c>
      <c r="C37" s="1">
        <v>6973.6458000000002</v>
      </c>
      <c r="D37" s="2">
        <v>1</v>
      </c>
      <c r="E37" s="1">
        <v>0</v>
      </c>
      <c r="F37" s="13">
        <f t="shared" si="0"/>
        <v>2.6958639052187022E-2</v>
      </c>
      <c r="G37">
        <f t="shared" si="1"/>
        <v>2.6308937946794949E-2</v>
      </c>
      <c r="I37" s="6">
        <v>33.947699999999998</v>
      </c>
      <c r="J37" s="1">
        <v>93</v>
      </c>
      <c r="K37" s="1">
        <v>6441.2116999999998</v>
      </c>
      <c r="L37" s="2">
        <v>1</v>
      </c>
      <c r="M37" s="12">
        <f t="shared" si="2"/>
        <v>1.443827719557797E-2</v>
      </c>
      <c r="X37" s="1">
        <v>34.375799999999998</v>
      </c>
      <c r="Y37" s="1">
        <v>177</v>
      </c>
      <c r="Z37" s="1">
        <v>5961.9377000000004</v>
      </c>
      <c r="AA37" s="2">
        <v>1</v>
      </c>
      <c r="AB37" s="13">
        <f t="shared" si="3"/>
        <v>2.9688334381622269E-2</v>
      </c>
      <c r="AE37" s="1">
        <v>33.947299999999998</v>
      </c>
      <c r="AF37" s="1">
        <v>0</v>
      </c>
      <c r="AG37" s="1">
        <v>5835.0209999999997</v>
      </c>
      <c r="AH37" s="2">
        <v>1</v>
      </c>
      <c r="AI37">
        <f t="shared" si="5"/>
        <v>0</v>
      </c>
    </row>
    <row r="38" spans="1:35" x14ac:dyDescent="0.4">
      <c r="A38" s="1">
        <v>34.377600000000001</v>
      </c>
      <c r="B38" s="1">
        <v>209</v>
      </c>
      <c r="C38" s="1">
        <v>6975.2118</v>
      </c>
      <c r="D38" s="2">
        <v>1</v>
      </c>
      <c r="E38" s="1">
        <v>0</v>
      </c>
      <c r="F38" s="13">
        <f t="shared" si="0"/>
        <v>2.9963247854351893E-2</v>
      </c>
      <c r="G38">
        <f t="shared" si="1"/>
        <v>2.9313546748959821E-2</v>
      </c>
      <c r="I38" s="6">
        <v>33.9482</v>
      </c>
      <c r="J38" s="1">
        <v>110</v>
      </c>
      <c r="K38" s="1">
        <v>6441.6014999999998</v>
      </c>
      <c r="L38" s="2">
        <v>1</v>
      </c>
      <c r="M38" s="12">
        <f t="shared" si="2"/>
        <v>1.7076498755783015E-2</v>
      </c>
      <c r="X38" s="1">
        <v>34.376800000000003</v>
      </c>
      <c r="Y38" s="1">
        <v>164</v>
      </c>
      <c r="Z38" s="1">
        <v>5963.0002000000004</v>
      </c>
      <c r="AA38" s="2">
        <v>1</v>
      </c>
      <c r="AB38" s="13">
        <f t="shared" si="3"/>
        <v>2.7502933841927424E-2</v>
      </c>
      <c r="AE38" s="1">
        <v>33.947800000000001</v>
      </c>
      <c r="AF38" s="1">
        <v>1</v>
      </c>
      <c r="AG38" s="1">
        <v>5833.1659</v>
      </c>
      <c r="AH38" s="2">
        <v>1</v>
      </c>
      <c r="AI38">
        <f t="shared" si="5"/>
        <v>1.7143349205960351E-4</v>
      </c>
    </row>
    <row r="39" spans="1:35" x14ac:dyDescent="0.4">
      <c r="A39" s="1">
        <v>34.378599999999999</v>
      </c>
      <c r="B39" s="1">
        <v>231</v>
      </c>
      <c r="C39" s="1">
        <v>6971.8549000000003</v>
      </c>
      <c r="D39" s="2">
        <v>1</v>
      </c>
      <c r="E39" s="1">
        <v>0</v>
      </c>
      <c r="F39" s="13">
        <f t="shared" si="0"/>
        <v>3.313321968304303E-2</v>
      </c>
      <c r="G39">
        <f t="shared" si="1"/>
        <v>3.2483518577650958E-2</v>
      </c>
      <c r="I39" s="6">
        <v>33.948700000000002</v>
      </c>
      <c r="J39" s="1">
        <v>125</v>
      </c>
      <c r="K39" s="1">
        <v>6440.6815999999999</v>
      </c>
      <c r="L39" s="2">
        <v>1</v>
      </c>
      <c r="M39" s="12">
        <f t="shared" si="2"/>
        <v>1.9407883786709778E-2</v>
      </c>
      <c r="X39" s="1">
        <v>34.377800000000001</v>
      </c>
      <c r="Y39" s="1">
        <v>178</v>
      </c>
      <c r="Z39" s="1">
        <v>5963.0108</v>
      </c>
      <c r="AA39" s="2">
        <v>1</v>
      </c>
      <c r="AB39" s="13">
        <f t="shared" si="3"/>
        <v>2.9850692204012107E-2</v>
      </c>
      <c r="AE39" s="1">
        <v>33.948300000000003</v>
      </c>
      <c r="AF39" s="1">
        <v>4</v>
      </c>
      <c r="AG39" s="1">
        <v>5831.5554000000002</v>
      </c>
      <c r="AH39" s="2">
        <v>1</v>
      </c>
      <c r="AI39">
        <f t="shared" si="5"/>
        <v>6.859233473114222E-4</v>
      </c>
    </row>
    <row r="40" spans="1:35" x14ac:dyDescent="0.4">
      <c r="A40" s="1">
        <v>34.379600000000003</v>
      </c>
      <c r="B40" s="1">
        <v>196</v>
      </c>
      <c r="C40" s="1">
        <v>6971.8624</v>
      </c>
      <c r="D40" s="2">
        <v>1</v>
      </c>
      <c r="E40" s="1">
        <v>0</v>
      </c>
      <c r="F40" s="13">
        <f t="shared" si="0"/>
        <v>2.8113004639907981E-2</v>
      </c>
      <c r="G40">
        <f t="shared" si="1"/>
        <v>2.7463303534515909E-2</v>
      </c>
      <c r="I40" s="6">
        <v>33.949199999999998</v>
      </c>
      <c r="J40" s="1">
        <v>135</v>
      </c>
      <c r="K40" s="1">
        <v>6441.0518000000002</v>
      </c>
      <c r="L40" s="2">
        <v>1</v>
      </c>
      <c r="M40" s="12">
        <f t="shared" si="2"/>
        <v>2.0959309782293632E-2</v>
      </c>
      <c r="X40" s="1">
        <v>34.378799999999998</v>
      </c>
      <c r="Y40" s="1">
        <v>171</v>
      </c>
      <c r="Z40" s="1">
        <v>5963.4978000000001</v>
      </c>
      <c r="AA40" s="2">
        <v>1</v>
      </c>
      <c r="AB40" s="13">
        <f t="shared" si="3"/>
        <v>2.8674446731580917E-2</v>
      </c>
      <c r="AE40" s="1">
        <v>33.948799999999999</v>
      </c>
      <c r="AF40" s="1">
        <v>3</v>
      </c>
      <c r="AG40" s="1">
        <v>5830.5025999999998</v>
      </c>
      <c r="AH40" s="2">
        <v>1</v>
      </c>
      <c r="AI40">
        <f t="shared" si="5"/>
        <v>5.1453540214526272E-4</v>
      </c>
    </row>
    <row r="41" spans="1:35" x14ac:dyDescent="0.4">
      <c r="A41" s="1">
        <v>34.380600000000001</v>
      </c>
      <c r="B41" s="1">
        <v>232</v>
      </c>
      <c r="C41" s="1">
        <v>6969.9705000000004</v>
      </c>
      <c r="D41" s="2">
        <v>1</v>
      </c>
      <c r="E41" s="1">
        <v>0</v>
      </c>
      <c r="F41" s="13">
        <f t="shared" si="0"/>
        <v>3.3285650204688814E-2</v>
      </c>
      <c r="G41">
        <f t="shared" si="1"/>
        <v>3.2635949099296742E-2</v>
      </c>
      <c r="I41" s="6">
        <v>33.9497</v>
      </c>
      <c r="J41" s="1">
        <v>160</v>
      </c>
      <c r="K41" s="1">
        <v>6441.7245000000003</v>
      </c>
      <c r="L41" s="2">
        <v>1</v>
      </c>
      <c r="M41" s="12">
        <f t="shared" si="2"/>
        <v>2.4838069371020136E-2</v>
      </c>
      <c r="X41" s="1">
        <v>34.379800000000003</v>
      </c>
      <c r="Y41" s="1">
        <v>168</v>
      </c>
      <c r="Z41" s="1">
        <v>5961.7857000000004</v>
      </c>
      <c r="AA41" s="2">
        <v>1</v>
      </c>
      <c r="AB41" s="13">
        <f t="shared" si="3"/>
        <v>2.8179476494769005E-2</v>
      </c>
      <c r="AE41" s="1">
        <v>33.949300000000001</v>
      </c>
      <c r="AF41" s="1">
        <v>1</v>
      </c>
      <c r="AG41" s="1">
        <v>5828.1584999999995</v>
      </c>
      <c r="AH41" s="2">
        <v>1</v>
      </c>
      <c r="AI41">
        <f t="shared" si="5"/>
        <v>1.7158078319249554E-4</v>
      </c>
    </row>
    <row r="42" spans="1:35" x14ac:dyDescent="0.4">
      <c r="A42" s="1">
        <v>34.381599999999999</v>
      </c>
      <c r="B42" s="1">
        <v>227</v>
      </c>
      <c r="C42" s="1">
        <v>6968.4704000000002</v>
      </c>
      <c r="D42" s="2">
        <v>1</v>
      </c>
      <c r="E42" s="1">
        <v>0</v>
      </c>
      <c r="F42" s="13">
        <f t="shared" si="0"/>
        <v>3.2575298016620693E-2</v>
      </c>
      <c r="G42">
        <f t="shared" si="1"/>
        <v>3.1925596911228621E-2</v>
      </c>
      <c r="I42" s="6">
        <v>33.950200000000002</v>
      </c>
      <c r="J42" s="1">
        <v>139</v>
      </c>
      <c r="K42" s="1">
        <v>6440.9153999999999</v>
      </c>
      <c r="L42" s="2">
        <v>1</v>
      </c>
      <c r="M42" s="12">
        <f t="shared" si="2"/>
        <v>2.1580783377468365E-2</v>
      </c>
      <c r="X42" s="1">
        <v>34.380800000000001</v>
      </c>
      <c r="Y42" s="1">
        <v>201</v>
      </c>
      <c r="Z42" s="1">
        <v>5962.2367000000004</v>
      </c>
      <c r="AA42" s="2">
        <v>1</v>
      </c>
      <c r="AB42" s="13">
        <f t="shared" si="3"/>
        <v>3.3712180531175487E-2</v>
      </c>
      <c r="AE42" s="1">
        <v>33.949800000000003</v>
      </c>
      <c r="AF42" s="1">
        <v>1</v>
      </c>
      <c r="AG42" s="1">
        <v>5826.2555000000002</v>
      </c>
      <c r="AH42" s="2">
        <v>1</v>
      </c>
      <c r="AI42">
        <f t="shared" si="5"/>
        <v>1.7163682574511193E-4</v>
      </c>
    </row>
    <row r="43" spans="1:35" x14ac:dyDescent="0.4">
      <c r="A43" s="1">
        <v>34.382599999999996</v>
      </c>
      <c r="B43" s="1">
        <v>271</v>
      </c>
      <c r="C43" s="1">
        <v>6969.5742</v>
      </c>
      <c r="D43" s="2">
        <v>1</v>
      </c>
      <c r="E43" s="1">
        <v>0</v>
      </c>
      <c r="F43" s="13">
        <f t="shared" si="0"/>
        <v>3.8883293616416334E-2</v>
      </c>
      <c r="G43">
        <f t="shared" si="1"/>
        <v>3.8233592511024261E-2</v>
      </c>
      <c r="I43" s="6">
        <v>33.950699999999998</v>
      </c>
      <c r="J43" s="1">
        <v>133</v>
      </c>
      <c r="K43" s="1">
        <v>6441.9678000000004</v>
      </c>
      <c r="L43" s="2">
        <v>1</v>
      </c>
      <c r="M43" s="12">
        <f t="shared" si="2"/>
        <v>2.0645865382934697E-2</v>
      </c>
      <c r="X43" s="1">
        <v>34.381799999999998</v>
      </c>
      <c r="Y43" s="1">
        <v>193</v>
      </c>
      <c r="Z43" s="1">
        <v>5959.1992</v>
      </c>
      <c r="AA43" s="2">
        <v>1</v>
      </c>
      <c r="AB43" s="13">
        <f t="shared" si="3"/>
        <v>3.2386901917962403E-2</v>
      </c>
      <c r="AE43" s="1">
        <v>33.950299999999999</v>
      </c>
      <c r="AF43" s="1">
        <v>10</v>
      </c>
      <c r="AG43" s="1">
        <v>5822.9610000000002</v>
      </c>
      <c r="AH43" s="2">
        <v>1</v>
      </c>
      <c r="AI43">
        <f t="shared" si="5"/>
        <v>1.7173393398994086E-3</v>
      </c>
    </row>
    <row r="44" spans="1:35" x14ac:dyDescent="0.4">
      <c r="A44" s="1">
        <v>34.383600000000001</v>
      </c>
      <c r="B44" s="1">
        <v>237</v>
      </c>
      <c r="C44" s="1">
        <v>6970.2739000000001</v>
      </c>
      <c r="D44" s="2">
        <v>1</v>
      </c>
      <c r="E44" s="1">
        <v>0</v>
      </c>
      <c r="F44" s="13">
        <f t="shared" si="0"/>
        <v>3.4001533282644748E-2</v>
      </c>
      <c r="G44">
        <f t="shared" si="1"/>
        <v>3.3351832177252676E-2</v>
      </c>
      <c r="I44" s="6">
        <v>33.9512</v>
      </c>
      <c r="J44" s="1">
        <v>137</v>
      </c>
      <c r="K44" s="1">
        <v>6438.8172999999997</v>
      </c>
      <c r="L44" s="2">
        <v>1</v>
      </c>
      <c r="M44" s="12">
        <f t="shared" si="2"/>
        <v>2.12771994633238E-2</v>
      </c>
      <c r="X44" s="1">
        <v>34.382800000000003</v>
      </c>
      <c r="Y44" s="1">
        <v>200</v>
      </c>
      <c r="Z44" s="1">
        <v>5959.4171999999999</v>
      </c>
      <c r="AA44" s="2">
        <v>1</v>
      </c>
      <c r="AB44" s="13">
        <f t="shared" si="3"/>
        <v>3.3560328684489486E-2</v>
      </c>
      <c r="AE44" s="1">
        <v>33.950800000000001</v>
      </c>
      <c r="AF44" s="1">
        <v>11</v>
      </c>
      <c r="AG44" s="1">
        <v>5821.1913000000004</v>
      </c>
      <c r="AH44" s="2">
        <v>1</v>
      </c>
      <c r="AI44">
        <f t="shared" si="5"/>
        <v>1.8896475709362101E-3</v>
      </c>
    </row>
    <row r="45" spans="1:35" x14ac:dyDescent="0.4">
      <c r="A45" s="1">
        <v>34.384599999999999</v>
      </c>
      <c r="B45" s="1">
        <v>251</v>
      </c>
      <c r="C45" s="1">
        <v>6967.4826000000003</v>
      </c>
      <c r="D45" s="2">
        <v>1</v>
      </c>
      <c r="E45" s="1">
        <v>0</v>
      </c>
      <c r="F45" s="13">
        <f t="shared" si="0"/>
        <v>3.6024488959613618E-2</v>
      </c>
      <c r="G45">
        <f t="shared" si="1"/>
        <v>3.5374787854221545E-2</v>
      </c>
      <c r="I45" s="6">
        <v>33.951700000000002</v>
      </c>
      <c r="J45" s="1">
        <v>140</v>
      </c>
      <c r="K45" s="1">
        <v>6436.4728999999998</v>
      </c>
      <c r="L45" s="2">
        <v>1</v>
      </c>
      <c r="M45" s="12">
        <f t="shared" si="2"/>
        <v>2.1751043183915218E-2</v>
      </c>
      <c r="X45" s="1">
        <v>34.383800000000001</v>
      </c>
      <c r="Y45" s="1">
        <v>213</v>
      </c>
      <c r="Z45" s="1">
        <v>5957.7031999999999</v>
      </c>
      <c r="AA45" s="2">
        <v>1</v>
      </c>
      <c r="AB45" s="13">
        <f t="shared" si="3"/>
        <v>3.5752032763229961E-2</v>
      </c>
      <c r="AE45" s="1">
        <v>33.951300000000003</v>
      </c>
      <c r="AF45" s="1">
        <v>12</v>
      </c>
      <c r="AG45" s="1">
        <v>5819.3784999999998</v>
      </c>
      <c r="AH45" s="2">
        <v>1</v>
      </c>
      <c r="AI45">
        <f t="shared" si="5"/>
        <v>2.0620758728788651E-3</v>
      </c>
    </row>
    <row r="46" spans="1:35" x14ac:dyDescent="0.4">
      <c r="A46" s="1">
        <v>34.385599999999997</v>
      </c>
      <c r="B46" s="1">
        <v>272</v>
      </c>
      <c r="C46" s="1">
        <v>6969.2488999999996</v>
      </c>
      <c r="D46" s="2">
        <v>1</v>
      </c>
      <c r="E46" s="1">
        <v>0</v>
      </c>
      <c r="F46" s="13">
        <f t="shared" si="0"/>
        <v>3.9028596037085146E-2</v>
      </c>
      <c r="G46">
        <f t="shared" si="1"/>
        <v>3.8378894931693074E-2</v>
      </c>
      <c r="I46" s="6">
        <v>33.952199999999998</v>
      </c>
      <c r="J46" s="1">
        <v>123</v>
      </c>
      <c r="K46" s="1">
        <v>6435.6459000000004</v>
      </c>
      <c r="L46" s="2">
        <v>1</v>
      </c>
      <c r="M46" s="12">
        <f t="shared" si="2"/>
        <v>1.9112300756012692E-2</v>
      </c>
      <c r="X46" s="1">
        <v>34.384799999999998</v>
      </c>
      <c r="Y46" s="1">
        <v>233</v>
      </c>
      <c r="Z46" s="1">
        <v>5956.4812000000002</v>
      </c>
      <c r="AA46" s="2">
        <v>1</v>
      </c>
      <c r="AB46" s="13">
        <f t="shared" si="3"/>
        <v>3.9117054545559547E-2</v>
      </c>
      <c r="AE46" s="1">
        <v>33.951799999999999</v>
      </c>
      <c r="AF46" s="1">
        <v>15</v>
      </c>
      <c r="AG46" s="1">
        <v>5818.5771999999997</v>
      </c>
      <c r="AH46" s="2">
        <v>1</v>
      </c>
      <c r="AI46">
        <f t="shared" si="5"/>
        <v>2.5779498121980748E-3</v>
      </c>
    </row>
    <row r="47" spans="1:35" x14ac:dyDescent="0.4">
      <c r="A47" s="1">
        <v>34.386600000000001</v>
      </c>
      <c r="B47" s="1">
        <v>267</v>
      </c>
      <c r="C47" s="1">
        <v>6967.8353999999999</v>
      </c>
      <c r="D47" s="2">
        <v>1</v>
      </c>
      <c r="E47" s="1">
        <v>0</v>
      </c>
      <c r="F47" s="13">
        <f t="shared" si="0"/>
        <v>3.8318930438569203E-2</v>
      </c>
      <c r="G47">
        <f t="shared" si="1"/>
        <v>3.766922933317713E-2</v>
      </c>
      <c r="I47" s="6">
        <v>33.9527</v>
      </c>
      <c r="J47" s="1">
        <v>122</v>
      </c>
      <c r="K47" s="1">
        <v>6434.2883000000002</v>
      </c>
      <c r="L47" s="2">
        <v>1</v>
      </c>
      <c r="M47" s="12">
        <f t="shared" si="2"/>
        <v>1.8960916003717146E-2</v>
      </c>
      <c r="X47" s="1">
        <v>34.385800000000003</v>
      </c>
      <c r="Y47" s="1">
        <v>221</v>
      </c>
      <c r="Z47" s="1">
        <v>5955.8411999999998</v>
      </c>
      <c r="AA47" s="2">
        <v>1</v>
      </c>
      <c r="AB47" s="13">
        <f t="shared" si="3"/>
        <v>3.7106429231189036E-2</v>
      </c>
      <c r="AE47" s="1">
        <v>33.952300000000001</v>
      </c>
      <c r="AF47" s="1">
        <v>20</v>
      </c>
      <c r="AG47" s="1">
        <v>5817.2709000000004</v>
      </c>
      <c r="AH47" s="2">
        <v>1</v>
      </c>
      <c r="AI47">
        <f t="shared" si="5"/>
        <v>3.4380382732390885E-3</v>
      </c>
    </row>
    <row r="48" spans="1:35" x14ac:dyDescent="0.4">
      <c r="A48" s="1">
        <v>34.387599999999999</v>
      </c>
      <c r="B48" s="1">
        <v>280</v>
      </c>
      <c r="C48" s="1">
        <v>6966.7645000000002</v>
      </c>
      <c r="D48" s="2">
        <v>1</v>
      </c>
      <c r="E48" s="1">
        <v>0</v>
      </c>
      <c r="F48" s="13">
        <f t="shared" si="0"/>
        <v>4.0190823157579103E-2</v>
      </c>
      <c r="G48">
        <f t="shared" si="1"/>
        <v>3.954112205218703E-2</v>
      </c>
      <c r="I48" s="6">
        <v>33.953200000000002</v>
      </c>
      <c r="J48" s="1">
        <v>137</v>
      </c>
      <c r="K48" s="1">
        <v>6435.3343000000004</v>
      </c>
      <c r="L48" s="2">
        <v>1</v>
      </c>
      <c r="M48" s="12">
        <f t="shared" si="2"/>
        <v>2.1288715335270148E-2</v>
      </c>
      <c r="X48" s="1">
        <v>34.386800000000001</v>
      </c>
      <c r="Y48" s="1">
        <v>221</v>
      </c>
      <c r="Z48" s="1">
        <v>5958.4673000000003</v>
      </c>
      <c r="AA48" s="2">
        <v>1</v>
      </c>
      <c r="AB48" s="13">
        <f t="shared" si="3"/>
        <v>3.7090075160771625E-2</v>
      </c>
      <c r="AE48" s="1">
        <v>33.952800000000003</v>
      </c>
      <c r="AF48" s="1">
        <v>40</v>
      </c>
      <c r="AG48" s="1">
        <v>5818.7174999999997</v>
      </c>
      <c r="AH48" s="2">
        <v>1</v>
      </c>
      <c r="AI48">
        <f t="shared" si="5"/>
        <v>6.8743670748751765E-3</v>
      </c>
    </row>
    <row r="49" spans="1:35" x14ac:dyDescent="0.4">
      <c r="A49" s="1">
        <v>34.388599999999997</v>
      </c>
      <c r="B49" s="1">
        <v>287</v>
      </c>
      <c r="C49" s="1">
        <v>6962.9678999999996</v>
      </c>
      <c r="D49" s="2">
        <v>1</v>
      </c>
      <c r="E49" s="1">
        <v>0</v>
      </c>
      <c r="F49" s="13">
        <f t="shared" si="0"/>
        <v>4.12180558810274E-2</v>
      </c>
      <c r="G49">
        <f t="shared" si="1"/>
        <v>4.0568354775635328E-2</v>
      </c>
      <c r="I49" s="6">
        <v>33.953699999999998</v>
      </c>
      <c r="J49" s="1">
        <v>106</v>
      </c>
      <c r="K49" s="1">
        <v>6429.3041999999996</v>
      </c>
      <c r="L49" s="2">
        <v>1</v>
      </c>
      <c r="M49" s="12">
        <f t="shared" si="2"/>
        <v>1.6487009589622466E-2</v>
      </c>
      <c r="X49" s="1">
        <v>34.387799999999999</v>
      </c>
      <c r="Y49" s="1">
        <v>206</v>
      </c>
      <c r="Z49" s="1">
        <v>5957.0069000000003</v>
      </c>
      <c r="AA49" s="2">
        <v>1</v>
      </c>
      <c r="AB49" s="13">
        <f t="shared" si="3"/>
        <v>3.4581124960590529E-2</v>
      </c>
      <c r="AE49" s="1">
        <v>33.953299999999999</v>
      </c>
      <c r="AF49" s="1">
        <v>53</v>
      </c>
      <c r="AG49" s="1">
        <v>5818.3653000000004</v>
      </c>
      <c r="AH49" s="2">
        <v>1</v>
      </c>
      <c r="AI49">
        <f t="shared" si="5"/>
        <v>9.1090877363784635E-3</v>
      </c>
    </row>
    <row r="50" spans="1:35" x14ac:dyDescent="0.4">
      <c r="A50" s="1">
        <v>34.389600000000002</v>
      </c>
      <c r="B50" s="1">
        <v>324</v>
      </c>
      <c r="C50" s="1">
        <v>6965.2154</v>
      </c>
      <c r="D50" s="2">
        <v>1</v>
      </c>
      <c r="E50" s="1">
        <v>0</v>
      </c>
      <c r="F50" s="13">
        <f t="shared" si="0"/>
        <v>4.6516867231413975E-2</v>
      </c>
      <c r="G50">
        <f t="shared" si="1"/>
        <v>4.5867166126021902E-2</v>
      </c>
      <c r="I50" s="6">
        <v>33.9542</v>
      </c>
      <c r="J50" s="1">
        <v>85</v>
      </c>
      <c r="K50" s="1">
        <v>6426.5601999999999</v>
      </c>
      <c r="L50" s="2">
        <v>1</v>
      </c>
      <c r="M50" s="12">
        <f t="shared" si="2"/>
        <v>1.3226360191879942E-2</v>
      </c>
      <c r="X50" s="1">
        <v>34.388800000000003</v>
      </c>
      <c r="Y50" s="1">
        <v>240</v>
      </c>
      <c r="Z50" s="1">
        <v>5955.9970000000003</v>
      </c>
      <c r="AA50" s="2">
        <v>1</v>
      </c>
      <c r="AB50" s="13">
        <f t="shared" si="3"/>
        <v>4.0295520632397899E-2</v>
      </c>
      <c r="AE50" s="1">
        <v>33.953800000000001</v>
      </c>
      <c r="AF50" s="1">
        <v>69</v>
      </c>
      <c r="AG50" s="1">
        <v>5818.9093000000003</v>
      </c>
      <c r="AH50" s="2">
        <v>1</v>
      </c>
      <c r="AI50">
        <f t="shared" si="5"/>
        <v>1.1857892337314829E-2</v>
      </c>
    </row>
    <row r="51" spans="1:35" x14ac:dyDescent="0.4">
      <c r="A51" s="1">
        <v>34.390599999999999</v>
      </c>
      <c r="B51" s="1">
        <v>298</v>
      </c>
      <c r="C51" s="1">
        <v>6964.8087999999998</v>
      </c>
      <c r="D51" s="2">
        <v>1</v>
      </c>
      <c r="E51" s="1">
        <v>0</v>
      </c>
      <c r="F51" s="13">
        <f t="shared" si="0"/>
        <v>4.278652990445337E-2</v>
      </c>
      <c r="G51">
        <f t="shared" si="1"/>
        <v>4.2136828799061297E-2</v>
      </c>
      <c r="I51" s="6">
        <v>33.954700000000003</v>
      </c>
      <c r="J51" s="1">
        <v>85</v>
      </c>
      <c r="K51" s="1">
        <v>6425.5947999999999</v>
      </c>
      <c r="L51" s="2">
        <v>1</v>
      </c>
      <c r="M51" s="12">
        <f t="shared" si="2"/>
        <v>1.3228347358597839E-2</v>
      </c>
      <c r="X51" s="1">
        <v>34.389800000000001</v>
      </c>
      <c r="Y51" s="1">
        <v>230</v>
      </c>
      <c r="Z51" s="1">
        <v>5956.5905000000002</v>
      </c>
      <c r="AA51" s="2">
        <v>1</v>
      </c>
      <c r="AB51" s="13">
        <f t="shared" si="3"/>
        <v>3.8612692949095626E-2</v>
      </c>
      <c r="AE51" s="1">
        <v>33.954300000000003</v>
      </c>
      <c r="AF51" s="1">
        <v>94</v>
      </c>
      <c r="AG51" s="1">
        <v>5818.6921000000002</v>
      </c>
      <c r="AH51" s="2">
        <v>1</v>
      </c>
      <c r="AI51">
        <f t="shared" si="5"/>
        <v>1.6154833145407367E-2</v>
      </c>
    </row>
    <row r="52" spans="1:35" x14ac:dyDescent="0.4">
      <c r="A52" s="1">
        <v>34.391599999999997</v>
      </c>
      <c r="B52" s="1">
        <v>316</v>
      </c>
      <c r="C52" s="1">
        <v>6964.8908000000001</v>
      </c>
      <c r="D52" s="2">
        <v>1</v>
      </c>
      <c r="E52" s="1">
        <v>0</v>
      </c>
      <c r="F52" s="13">
        <f t="shared" si="0"/>
        <v>4.5370417006394416E-2</v>
      </c>
      <c r="G52">
        <f t="shared" si="1"/>
        <v>4.4720715901002343E-2</v>
      </c>
      <c r="I52" s="6">
        <v>33.955199999999998</v>
      </c>
      <c r="J52" s="1">
        <v>51</v>
      </c>
      <c r="K52" s="1">
        <v>6425.99</v>
      </c>
      <c r="L52" s="2">
        <v>1</v>
      </c>
      <c r="M52" s="12">
        <f t="shared" si="2"/>
        <v>7.9365202871464167E-3</v>
      </c>
      <c r="X52" s="1">
        <v>34.390799999999999</v>
      </c>
      <c r="Y52" s="1">
        <v>262</v>
      </c>
      <c r="Z52" s="1">
        <v>5954.6178</v>
      </c>
      <c r="AA52" s="2">
        <v>1</v>
      </c>
      <c r="AB52" s="13">
        <f t="shared" si="3"/>
        <v>4.3999465423288794E-2</v>
      </c>
      <c r="AE52" s="1">
        <v>33.954799999999999</v>
      </c>
      <c r="AF52" s="1">
        <v>111</v>
      </c>
      <c r="AG52" s="1">
        <v>5820.8678</v>
      </c>
      <c r="AH52" s="2">
        <v>1</v>
      </c>
      <c r="AI52">
        <f t="shared" si="5"/>
        <v>1.9069321588097224E-2</v>
      </c>
    </row>
    <row r="53" spans="1:35" x14ac:dyDescent="0.4">
      <c r="A53" s="1">
        <v>34.392600000000002</v>
      </c>
      <c r="B53" s="1">
        <v>337</v>
      </c>
      <c r="C53" s="1">
        <v>6964.7165999999997</v>
      </c>
      <c r="D53" s="2">
        <v>1</v>
      </c>
      <c r="E53" s="1">
        <v>0</v>
      </c>
      <c r="F53" s="13">
        <f t="shared" si="0"/>
        <v>4.8386749864308909E-2</v>
      </c>
      <c r="G53">
        <f t="shared" si="1"/>
        <v>4.7737048758916836E-2</v>
      </c>
      <c r="I53" s="6">
        <v>33.9557</v>
      </c>
      <c r="J53" s="1">
        <v>40</v>
      </c>
      <c r="K53" s="1">
        <v>6422.8272999999999</v>
      </c>
      <c r="L53" s="2">
        <v>1</v>
      </c>
      <c r="M53" s="12">
        <f t="shared" si="2"/>
        <v>6.2277869436097094E-3</v>
      </c>
      <c r="X53" s="1">
        <v>34.391800000000003</v>
      </c>
      <c r="Y53" s="1">
        <v>246</v>
      </c>
      <c r="Z53" s="1">
        <v>5954.0590000000002</v>
      </c>
      <c r="AA53" s="2">
        <v>1</v>
      </c>
      <c r="AB53" s="13">
        <f t="shared" si="3"/>
        <v>4.1316352424455319E-2</v>
      </c>
      <c r="AE53" s="1">
        <v>33.955300000000001</v>
      </c>
      <c r="AF53" s="1">
        <v>120</v>
      </c>
      <c r="AG53" s="1">
        <v>5818.9834000000001</v>
      </c>
      <c r="AH53" s="2">
        <v>1</v>
      </c>
      <c r="AI53">
        <f t="shared" si="5"/>
        <v>2.062215884650917E-2</v>
      </c>
    </row>
    <row r="54" spans="1:35" x14ac:dyDescent="0.4">
      <c r="A54" s="1">
        <v>34.393599999999999</v>
      </c>
      <c r="B54" s="1">
        <v>336</v>
      </c>
      <c r="C54" s="1">
        <v>6965.9759999999997</v>
      </c>
      <c r="D54" s="2">
        <v>1</v>
      </c>
      <c r="E54" s="1">
        <v>0</v>
      </c>
      <c r="F54" s="13">
        <f t="shared" si="0"/>
        <v>4.8234446974838849E-2</v>
      </c>
      <c r="G54">
        <f t="shared" si="1"/>
        <v>4.7584745869446776E-2</v>
      </c>
      <c r="I54" s="6">
        <v>33.956200000000003</v>
      </c>
      <c r="J54" s="1">
        <v>28</v>
      </c>
      <c r="K54" s="1">
        <v>6422.8824000000004</v>
      </c>
      <c r="L54" s="2">
        <v>1</v>
      </c>
      <c r="M54" s="12">
        <f t="shared" si="2"/>
        <v>4.3594134620929693E-3</v>
      </c>
      <c r="N54" t="s">
        <v>26</v>
      </c>
      <c r="X54" s="1">
        <v>34.392800000000001</v>
      </c>
      <c r="Y54" s="1">
        <v>256</v>
      </c>
      <c r="Z54" s="1">
        <v>5951.2879000000003</v>
      </c>
      <c r="AA54" s="2">
        <v>1</v>
      </c>
      <c r="AB54" s="13">
        <f t="shared" si="3"/>
        <v>4.3015899130001756E-2</v>
      </c>
      <c r="AE54" s="1">
        <v>33.955800000000004</v>
      </c>
      <c r="AF54" s="1">
        <v>132</v>
      </c>
      <c r="AG54" s="1">
        <v>5818.9119000000001</v>
      </c>
      <c r="AH54" s="2">
        <v>1</v>
      </c>
      <c r="AI54">
        <f t="shared" si="5"/>
        <v>2.2684653465882512E-2</v>
      </c>
    </row>
    <row r="55" spans="1:35" x14ac:dyDescent="0.4">
      <c r="A55" s="1">
        <v>34.394599999999997</v>
      </c>
      <c r="B55" s="1">
        <v>308</v>
      </c>
      <c r="C55" s="1">
        <v>6963.5168999999996</v>
      </c>
      <c r="D55" s="2">
        <v>1</v>
      </c>
      <c r="E55" s="1">
        <v>0</v>
      </c>
      <c r="F55" s="13">
        <f t="shared" si="0"/>
        <v>4.4230523803281074E-2</v>
      </c>
      <c r="G55">
        <f t="shared" si="1"/>
        <v>4.3580822697889002E-2</v>
      </c>
      <c r="I55" s="6">
        <v>33.956699999999998</v>
      </c>
      <c r="J55" s="1">
        <v>42</v>
      </c>
      <c r="K55" s="1">
        <v>6423.0258000000003</v>
      </c>
      <c r="L55" s="2">
        <v>1</v>
      </c>
      <c r="M55" s="12">
        <f t="shared" si="2"/>
        <v>6.5389742012245998E-3</v>
      </c>
      <c r="X55" s="1">
        <v>34.393799999999999</v>
      </c>
      <c r="Y55" s="1">
        <v>264</v>
      </c>
      <c r="Z55" s="1">
        <v>5949.4183999999996</v>
      </c>
      <c r="AA55" s="2">
        <v>1</v>
      </c>
      <c r="AB55" s="13">
        <f t="shared" si="3"/>
        <v>4.4374085372781986E-2</v>
      </c>
      <c r="AE55" s="1">
        <v>33.956299999999999</v>
      </c>
      <c r="AF55" s="1">
        <v>117</v>
      </c>
      <c r="AG55" s="1">
        <v>5817.1329999999998</v>
      </c>
      <c r="AH55" s="2">
        <v>1</v>
      </c>
      <c r="AI55">
        <f t="shared" si="5"/>
        <v>2.0113000682638681E-2</v>
      </c>
    </row>
    <row r="56" spans="1:35" x14ac:dyDescent="0.4">
      <c r="A56" s="1">
        <v>34.395600000000002</v>
      </c>
      <c r="B56" s="1">
        <v>347</v>
      </c>
      <c r="C56" s="1">
        <v>6961.1698999999999</v>
      </c>
      <c r="D56" s="2">
        <v>1</v>
      </c>
      <c r="E56" s="1">
        <v>0</v>
      </c>
      <c r="F56" s="13">
        <f t="shared" si="0"/>
        <v>4.9847942944188164E-2</v>
      </c>
      <c r="G56">
        <f t="shared" si="1"/>
        <v>4.9198241838796092E-2</v>
      </c>
      <c r="I56" s="6">
        <v>33.9572</v>
      </c>
      <c r="J56" s="1">
        <v>8</v>
      </c>
      <c r="K56" s="1">
        <v>6424.0537999999997</v>
      </c>
      <c r="L56" s="2">
        <v>1</v>
      </c>
      <c r="M56" s="12">
        <f t="shared" si="2"/>
        <v>1.2453195830956459E-3</v>
      </c>
      <c r="X56" s="1">
        <v>34.394799999999996</v>
      </c>
      <c r="Y56" s="1">
        <v>259</v>
      </c>
      <c r="Z56" s="1">
        <v>5945.3140999999996</v>
      </c>
      <c r="AA56" s="2">
        <v>1</v>
      </c>
      <c r="AB56" s="13">
        <f t="shared" si="3"/>
        <v>4.3563720207818797E-2</v>
      </c>
      <c r="AE56" s="1">
        <v>33.956800000000001</v>
      </c>
      <c r="AF56" s="1">
        <v>126</v>
      </c>
      <c r="AG56" s="1">
        <v>5815.6617999999999</v>
      </c>
      <c r="AH56" s="2">
        <v>1</v>
      </c>
      <c r="AI56">
        <f t="shared" si="5"/>
        <v>2.1665633995429378E-2</v>
      </c>
    </row>
    <row r="57" spans="1:35" x14ac:dyDescent="0.4">
      <c r="A57" s="1">
        <v>34.396599999999999</v>
      </c>
      <c r="B57" s="1">
        <v>373</v>
      </c>
      <c r="C57" s="1">
        <v>6956.4660999999996</v>
      </c>
      <c r="D57" s="2">
        <v>1</v>
      </c>
      <c r="E57" s="1">
        <v>0</v>
      </c>
      <c r="F57" s="13">
        <f t="shared" si="0"/>
        <v>5.3619178852894862E-2</v>
      </c>
      <c r="G57">
        <f t="shared" si="1"/>
        <v>5.296947774750279E-2</v>
      </c>
      <c r="I57" s="6">
        <v>33.957700000000003</v>
      </c>
      <c r="J57" s="1">
        <v>3</v>
      </c>
      <c r="K57" s="1">
        <v>6422.5081</v>
      </c>
      <c r="L57" s="2">
        <v>1</v>
      </c>
      <c r="M57" s="12">
        <f t="shared" si="2"/>
        <v>4.671072349445538E-4</v>
      </c>
      <c r="X57" s="1">
        <v>34.395800000000001</v>
      </c>
      <c r="Y57" s="1">
        <v>273</v>
      </c>
      <c r="Z57" s="1">
        <v>5942.3981999999996</v>
      </c>
      <c r="AA57" s="2">
        <v>1</v>
      </c>
      <c r="AB57" s="13">
        <f t="shared" si="3"/>
        <v>4.5941047841593655E-2</v>
      </c>
      <c r="AE57" s="1">
        <v>33.957299999999996</v>
      </c>
      <c r="AF57" s="1">
        <v>125</v>
      </c>
      <c r="AG57" s="1">
        <v>5813.57</v>
      </c>
      <c r="AH57" s="2">
        <v>1</v>
      </c>
      <c r="AI57">
        <f t="shared" si="5"/>
        <v>2.1501418233546687E-2</v>
      </c>
    </row>
    <row r="58" spans="1:35" x14ac:dyDescent="0.4">
      <c r="A58" s="1">
        <v>34.397599999999997</v>
      </c>
      <c r="B58" s="1">
        <v>323</v>
      </c>
      <c r="C58" s="1">
        <v>6958.1305000000002</v>
      </c>
      <c r="D58" s="2">
        <v>1</v>
      </c>
      <c r="E58" s="1">
        <v>0</v>
      </c>
      <c r="F58" s="13">
        <f t="shared" si="0"/>
        <v>4.6420514820755369E-2</v>
      </c>
      <c r="G58">
        <f t="shared" si="1"/>
        <v>4.5770813715363297E-2</v>
      </c>
      <c r="I58" s="6">
        <v>33.958199999999998</v>
      </c>
      <c r="J58" s="1">
        <v>2</v>
      </c>
      <c r="K58" s="1">
        <v>6422.6570000000002</v>
      </c>
      <c r="L58" s="2">
        <v>1</v>
      </c>
      <c r="M58" s="12">
        <f t="shared" si="2"/>
        <v>3.113976038265783E-4</v>
      </c>
      <c r="X58" s="1">
        <v>34.396799999999999</v>
      </c>
      <c r="Y58" s="1">
        <v>289</v>
      </c>
      <c r="Z58" s="1">
        <v>5942.7084999999997</v>
      </c>
      <c r="AA58" s="2">
        <v>1</v>
      </c>
      <c r="AB58" s="13">
        <f t="shared" si="3"/>
        <v>4.8631024052416504E-2</v>
      </c>
      <c r="AE58" s="1">
        <v>33.957799999999999</v>
      </c>
      <c r="AF58" s="1">
        <v>135</v>
      </c>
      <c r="AG58" s="1">
        <v>5814.3725000000004</v>
      </c>
      <c r="AH58" s="2">
        <v>1</v>
      </c>
      <c r="AI58">
        <f t="shared" si="5"/>
        <v>2.3218326655197959E-2</v>
      </c>
    </row>
    <row r="59" spans="1:35" x14ac:dyDescent="0.4">
      <c r="A59" s="1">
        <v>34.398600000000002</v>
      </c>
      <c r="B59" s="1">
        <v>381</v>
      </c>
      <c r="C59" s="1">
        <v>6958.8428000000004</v>
      </c>
      <c r="D59" s="2">
        <v>1</v>
      </c>
      <c r="E59" s="1">
        <v>0</v>
      </c>
      <c r="F59" s="13">
        <f t="shared" si="0"/>
        <v>5.4750482364682815E-2</v>
      </c>
      <c r="G59">
        <f t="shared" si="1"/>
        <v>5.4100781259290742E-2</v>
      </c>
      <c r="I59" s="6">
        <v>33.9587</v>
      </c>
      <c r="J59" s="1">
        <v>4</v>
      </c>
      <c r="K59" s="1">
        <v>6427.3289999999997</v>
      </c>
      <c r="L59" s="2">
        <v>1</v>
      </c>
      <c r="M59" s="12">
        <f t="shared" si="2"/>
        <v>6.2234250028277691E-4</v>
      </c>
      <c r="X59" s="1">
        <v>34.397799999999997</v>
      </c>
      <c r="Y59" s="1">
        <v>336</v>
      </c>
      <c r="Z59" s="1">
        <v>5942.8217999999997</v>
      </c>
      <c r="AA59" s="2">
        <v>1</v>
      </c>
      <c r="AB59" s="13">
        <f t="shared" si="3"/>
        <v>5.6538797781215656E-2</v>
      </c>
      <c r="AE59" s="1">
        <v>33.958300000000001</v>
      </c>
      <c r="AF59" s="1">
        <v>105</v>
      </c>
      <c r="AG59" s="1">
        <v>5810.6980000000003</v>
      </c>
      <c r="AH59" s="2">
        <v>1</v>
      </c>
      <c r="AI59">
        <f t="shared" si="5"/>
        <v>1.8070118254295782E-2</v>
      </c>
    </row>
    <row r="60" spans="1:35" x14ac:dyDescent="0.4">
      <c r="A60" s="1">
        <v>34.3996</v>
      </c>
      <c r="B60" s="1">
        <v>379</v>
      </c>
      <c r="C60" s="1">
        <v>6954.165</v>
      </c>
      <c r="D60" s="2">
        <v>1</v>
      </c>
      <c r="E60" s="1">
        <v>0</v>
      </c>
      <c r="F60" s="13">
        <f t="shared" si="0"/>
        <v>5.4499713481057754E-2</v>
      </c>
      <c r="G60">
        <f t="shared" si="1"/>
        <v>5.3850012375665682E-2</v>
      </c>
      <c r="I60" s="6">
        <v>33.959200000000003</v>
      </c>
      <c r="J60" s="1">
        <v>4</v>
      </c>
      <c r="K60" s="1">
        <v>6427.1769000000004</v>
      </c>
      <c r="L60" s="2">
        <v>1</v>
      </c>
      <c r="M60" s="12">
        <f t="shared" si="2"/>
        <v>6.2235722810119009E-4</v>
      </c>
      <c r="X60" s="1">
        <v>34.398800000000001</v>
      </c>
      <c r="Y60" s="1">
        <v>295</v>
      </c>
      <c r="Z60" s="1">
        <v>5942.4903000000004</v>
      </c>
      <c r="AA60" s="2">
        <v>1</v>
      </c>
      <c r="AB60" s="13">
        <f t="shared" si="3"/>
        <v>4.9642487426525536E-2</v>
      </c>
      <c r="AE60" s="1">
        <v>33.958799999999997</v>
      </c>
      <c r="AF60" s="1">
        <v>130</v>
      </c>
      <c r="AG60" s="1">
        <v>5810.4669000000004</v>
      </c>
      <c r="AH60" s="2">
        <v>1</v>
      </c>
      <c r="AI60">
        <f t="shared" si="5"/>
        <v>2.2373417186147295E-2</v>
      </c>
    </row>
    <row r="61" spans="1:35" x14ac:dyDescent="0.4">
      <c r="A61" s="1">
        <v>34.400599999999997</v>
      </c>
      <c r="B61" s="1">
        <v>362</v>
      </c>
      <c r="C61" s="1">
        <v>6952.8555999999999</v>
      </c>
      <c r="D61" s="2">
        <v>1</v>
      </c>
      <c r="E61" s="1">
        <v>0</v>
      </c>
      <c r="F61" s="13">
        <f t="shared" si="0"/>
        <v>5.2064938613136165E-2</v>
      </c>
      <c r="G61">
        <f t="shared" si="1"/>
        <v>5.1415237507744092E-2</v>
      </c>
      <c r="I61" s="6">
        <v>33.959699999999998</v>
      </c>
      <c r="J61" s="1">
        <v>5</v>
      </c>
      <c r="K61" s="1">
        <v>6428.2795999999998</v>
      </c>
      <c r="L61" s="2">
        <v>1</v>
      </c>
      <c r="M61" s="12">
        <f t="shared" si="2"/>
        <v>7.7781308703498211E-4</v>
      </c>
      <c r="X61" s="1">
        <v>34.399799999999999</v>
      </c>
      <c r="Y61" s="1">
        <v>316</v>
      </c>
      <c r="Z61" s="1">
        <v>5942.1247000000003</v>
      </c>
      <c r="AA61" s="2">
        <v>1</v>
      </c>
      <c r="AB61" s="13">
        <f t="shared" si="3"/>
        <v>5.3179631184784797E-2</v>
      </c>
      <c r="AE61" s="1">
        <v>33.959299999999999</v>
      </c>
      <c r="AF61" s="1">
        <v>102</v>
      </c>
      <c r="AG61" s="1">
        <v>5807.6270999999997</v>
      </c>
      <c r="AH61" s="2">
        <v>1</v>
      </c>
      <c r="AI61">
        <f t="shared" si="5"/>
        <v>1.7563111102639493E-2</v>
      </c>
    </row>
    <row r="62" spans="1:35" x14ac:dyDescent="0.4">
      <c r="A62" s="1">
        <v>34.401600000000002</v>
      </c>
      <c r="B62" s="1">
        <v>365</v>
      </c>
      <c r="C62" s="1">
        <v>6950.0182000000004</v>
      </c>
      <c r="D62" s="2">
        <v>1</v>
      </c>
      <c r="E62" s="1">
        <v>0</v>
      </c>
      <c r="F62" s="13">
        <f t="shared" si="0"/>
        <v>5.2517848082757536E-2</v>
      </c>
      <c r="G62">
        <f t="shared" si="1"/>
        <v>5.1868146977365463E-2</v>
      </c>
      <c r="I62" s="6">
        <v>33.9602</v>
      </c>
      <c r="J62" s="1">
        <v>0</v>
      </c>
      <c r="K62" s="1">
        <v>6426.0293000000001</v>
      </c>
      <c r="L62" s="2">
        <v>1</v>
      </c>
      <c r="M62" s="12">
        <f t="shared" si="2"/>
        <v>0</v>
      </c>
      <c r="X62" s="1">
        <v>34.400799999999997</v>
      </c>
      <c r="Y62" s="1">
        <v>311</v>
      </c>
      <c r="Z62" s="1">
        <v>5940.5338000000002</v>
      </c>
      <c r="AA62" s="2">
        <v>1</v>
      </c>
      <c r="AB62" s="13">
        <f t="shared" si="3"/>
        <v>5.2352197709909502E-2</v>
      </c>
      <c r="AE62" s="1">
        <v>33.959800000000001</v>
      </c>
      <c r="AF62" s="1">
        <v>72</v>
      </c>
      <c r="AG62" s="1">
        <v>5805.6089000000002</v>
      </c>
      <c r="AH62" s="2">
        <v>1</v>
      </c>
      <c r="AI62">
        <f t="shared" si="5"/>
        <v>1.2401799921451823E-2</v>
      </c>
    </row>
    <row r="63" spans="1:35" x14ac:dyDescent="0.4">
      <c r="A63" s="1">
        <v>34.4026</v>
      </c>
      <c r="B63" s="1">
        <v>399</v>
      </c>
      <c r="C63" s="1">
        <v>6952.6751000000004</v>
      </c>
      <c r="D63" s="2">
        <v>1</v>
      </c>
      <c r="E63" s="1">
        <v>0</v>
      </c>
      <c r="F63" s="13">
        <f t="shared" si="0"/>
        <v>5.7387982936237016E-2</v>
      </c>
      <c r="G63">
        <f t="shared" si="1"/>
        <v>5.6738281830844943E-2</v>
      </c>
      <c r="I63" s="6">
        <v>33.960700000000003</v>
      </c>
      <c r="J63" s="1">
        <v>3</v>
      </c>
      <c r="K63" s="1">
        <v>6426.8285999999998</v>
      </c>
      <c r="L63" s="2">
        <v>1</v>
      </c>
      <c r="M63" s="12">
        <f t="shared" si="2"/>
        <v>4.6679321741986397E-4</v>
      </c>
      <c r="X63" s="1">
        <v>34.401800000000001</v>
      </c>
      <c r="Y63" s="1">
        <v>333</v>
      </c>
      <c r="Z63" s="1">
        <v>5938.3468000000003</v>
      </c>
      <c r="AA63" s="2">
        <v>1</v>
      </c>
      <c r="AB63" s="13">
        <f t="shared" si="3"/>
        <v>5.6076212995845913E-2</v>
      </c>
      <c r="AE63" s="1">
        <v>33.960299999999997</v>
      </c>
      <c r="AF63" s="1">
        <v>79</v>
      </c>
      <c r="AG63" s="1">
        <v>5803.0136000000002</v>
      </c>
      <c r="AH63" s="2">
        <v>1</v>
      </c>
      <c r="AI63">
        <f t="shared" si="5"/>
        <v>1.3613616207964771E-2</v>
      </c>
    </row>
    <row r="64" spans="1:35" x14ac:dyDescent="0.4">
      <c r="A64" s="1">
        <v>34.403599999999997</v>
      </c>
      <c r="B64" s="1">
        <v>454</v>
      </c>
      <c r="C64" s="1">
        <v>6949.5482000000002</v>
      </c>
      <c r="D64" s="2">
        <v>1</v>
      </c>
      <c r="E64" s="1">
        <v>0</v>
      </c>
      <c r="F64" s="13">
        <f t="shared" si="0"/>
        <v>6.532798779638653E-2</v>
      </c>
      <c r="G64">
        <f t="shared" si="1"/>
        <v>6.4678286690994458E-2</v>
      </c>
      <c r="I64" s="6">
        <v>33.961199999999998</v>
      </c>
      <c r="J64" s="1">
        <v>21</v>
      </c>
      <c r="K64" s="1">
        <v>6428.7910000000002</v>
      </c>
      <c r="L64" s="2">
        <v>1</v>
      </c>
      <c r="M64" s="12">
        <f t="shared" si="2"/>
        <v>3.2665550956626215E-3</v>
      </c>
      <c r="X64" s="1">
        <v>34.402799999999999</v>
      </c>
      <c r="Y64" s="1">
        <v>338</v>
      </c>
      <c r="Z64" s="1">
        <v>5937.9784</v>
      </c>
      <c r="AA64" s="2">
        <v>1</v>
      </c>
      <c r="AB64" s="13">
        <f t="shared" si="3"/>
        <v>5.6921729455937396E-2</v>
      </c>
      <c r="AE64" s="1">
        <v>33.960799999999999</v>
      </c>
      <c r="AF64" s="1">
        <v>64</v>
      </c>
      <c r="AG64" s="1">
        <v>5803.1534000000001</v>
      </c>
      <c r="AH64" s="2">
        <v>1</v>
      </c>
      <c r="AI64">
        <f t="shared" si="5"/>
        <v>1.102848668449812E-2</v>
      </c>
    </row>
    <row r="65" spans="1:35" x14ac:dyDescent="0.4">
      <c r="A65" s="1">
        <v>34.404600000000002</v>
      </c>
      <c r="B65" s="1">
        <v>451</v>
      </c>
      <c r="C65" s="1">
        <v>6947.7665999999999</v>
      </c>
      <c r="D65" s="2">
        <v>1</v>
      </c>
      <c r="E65" s="1">
        <v>0</v>
      </c>
      <c r="F65" s="13">
        <f t="shared" si="0"/>
        <v>6.491294626966887E-2</v>
      </c>
      <c r="G65">
        <f t="shared" si="1"/>
        <v>6.4263245164276797E-2</v>
      </c>
      <c r="I65" s="6">
        <v>33.9617</v>
      </c>
      <c r="J65" s="1">
        <v>1</v>
      </c>
      <c r="K65" s="1">
        <v>6426.7471999999998</v>
      </c>
      <c r="L65" s="2">
        <v>1</v>
      </c>
      <c r="M65" s="12">
        <f t="shared" si="2"/>
        <v>1.5559970991234882E-4</v>
      </c>
      <c r="X65" s="1">
        <v>34.403799999999997</v>
      </c>
      <c r="Y65" s="1">
        <v>335</v>
      </c>
      <c r="Z65" s="1">
        <v>5938.0820999999996</v>
      </c>
      <c r="AA65" s="2">
        <v>1</v>
      </c>
      <c r="AB65" s="13">
        <f t="shared" si="3"/>
        <v>5.6415521772593888E-2</v>
      </c>
      <c r="AE65" s="1">
        <v>33.961300000000001</v>
      </c>
      <c r="AF65" s="1">
        <v>66</v>
      </c>
      <c r="AG65" s="1">
        <v>5800.1044000000002</v>
      </c>
      <c r="AH65" s="2">
        <v>1</v>
      </c>
      <c r="AI65">
        <f t="shared" si="5"/>
        <v>1.1379105520928209E-2</v>
      </c>
    </row>
    <row r="66" spans="1:35" x14ac:dyDescent="0.4">
      <c r="A66" s="1">
        <v>34.4056</v>
      </c>
      <c r="B66" s="1">
        <v>438</v>
      </c>
      <c r="C66" s="1">
        <v>6947.7329</v>
      </c>
      <c r="D66" s="2">
        <v>1</v>
      </c>
      <c r="E66" s="1">
        <v>0</v>
      </c>
      <c r="F66" s="13">
        <f t="shared" si="0"/>
        <v>6.3042147172928886E-2</v>
      </c>
      <c r="G66">
        <f t="shared" si="1"/>
        <v>6.2392446067536814E-2</v>
      </c>
      <c r="I66" s="6">
        <v>33.962200000000003</v>
      </c>
      <c r="J66" s="1">
        <v>2</v>
      </c>
      <c r="K66" s="1">
        <v>6425.8588</v>
      </c>
      <c r="L66" s="2">
        <v>1</v>
      </c>
      <c r="M66" s="12">
        <f t="shared" si="2"/>
        <v>3.1124244435623143E-4</v>
      </c>
      <c r="X66" s="1">
        <v>34.404800000000002</v>
      </c>
      <c r="Y66" s="1">
        <v>376</v>
      </c>
      <c r="Z66" s="1">
        <v>5937.9912000000004</v>
      </c>
      <c r="AA66" s="2">
        <v>1</v>
      </c>
      <c r="AB66" s="13">
        <f t="shared" si="3"/>
        <v>6.3321077336726261E-2</v>
      </c>
      <c r="AE66" s="1">
        <v>33.961799999999997</v>
      </c>
      <c r="AF66" s="1">
        <v>37</v>
      </c>
      <c r="AG66" s="1">
        <v>5800.1907000000001</v>
      </c>
      <c r="AH66" s="2">
        <v>1</v>
      </c>
      <c r="AI66">
        <f t="shared" si="5"/>
        <v>6.3791006043990928E-3</v>
      </c>
    </row>
    <row r="67" spans="1:35" x14ac:dyDescent="0.4">
      <c r="A67" s="1">
        <v>34.406599999999997</v>
      </c>
      <c r="B67" s="1">
        <v>512</v>
      </c>
      <c r="C67" s="1">
        <v>6946.7942999999996</v>
      </c>
      <c r="D67" s="2">
        <v>1</v>
      </c>
      <c r="E67" s="1">
        <v>0</v>
      </c>
      <c r="F67" s="13">
        <f t="shared" si="0"/>
        <v>7.3703060417378424E-2</v>
      </c>
      <c r="G67">
        <f t="shared" si="1"/>
        <v>7.3053359311986352E-2</v>
      </c>
      <c r="I67" s="6">
        <v>33.962699999999998</v>
      </c>
      <c r="J67" s="1">
        <v>3</v>
      </c>
      <c r="K67" s="1">
        <v>6426.3357999999998</v>
      </c>
      <c r="L67" s="2">
        <v>1</v>
      </c>
      <c r="M67" s="12">
        <f t="shared" si="2"/>
        <v>4.6682901319909241E-4</v>
      </c>
      <c r="X67" s="1">
        <v>34.405799999999999</v>
      </c>
      <c r="Y67" s="1">
        <v>374</v>
      </c>
      <c r="Z67" s="1">
        <v>5939.2883000000002</v>
      </c>
      <c r="AA67" s="2">
        <v>1</v>
      </c>
      <c r="AB67" s="13">
        <f t="shared" si="3"/>
        <v>6.2970507762689337E-2</v>
      </c>
      <c r="AE67" s="1">
        <v>33.962299999999999</v>
      </c>
      <c r="AF67" s="1">
        <v>14</v>
      </c>
      <c r="AG67" s="1">
        <v>5799.9775</v>
      </c>
      <c r="AH67" s="2">
        <v>1</v>
      </c>
      <c r="AI67">
        <f t="shared" si="5"/>
        <v>2.4138024673371577E-3</v>
      </c>
    </row>
    <row r="68" spans="1:35" x14ac:dyDescent="0.4">
      <c r="A68" s="1">
        <v>34.407600000000002</v>
      </c>
      <c r="B68" s="1">
        <v>516</v>
      </c>
      <c r="C68" s="1">
        <v>6948.7493000000004</v>
      </c>
      <c r="D68" s="2">
        <v>1</v>
      </c>
      <c r="E68" s="1">
        <v>0</v>
      </c>
      <c r="F68" s="13">
        <f t="shared" si="0"/>
        <v>7.4257967545325029E-2</v>
      </c>
      <c r="G68">
        <f t="shared" si="1"/>
        <v>7.3608266439932957E-2</v>
      </c>
      <c r="I68" s="6">
        <v>33.963200000000001</v>
      </c>
      <c r="J68" s="1">
        <v>1</v>
      </c>
      <c r="K68" s="1">
        <v>6424.9044999999996</v>
      </c>
      <c r="L68" s="2">
        <v>1</v>
      </c>
      <c r="M68" s="12">
        <f t="shared" si="2"/>
        <v>1.5564433681465616E-4</v>
      </c>
      <c r="X68" s="1">
        <v>34.406799999999997</v>
      </c>
      <c r="Y68" s="1">
        <v>383</v>
      </c>
      <c r="Z68" s="1">
        <v>5939.4489000000003</v>
      </c>
      <c r="AA68" s="2">
        <v>1</v>
      </c>
      <c r="AB68" s="13">
        <f t="shared" si="3"/>
        <v>6.4484097169351856E-2</v>
      </c>
      <c r="AE68" s="1">
        <v>33.962800000000001</v>
      </c>
      <c r="AF68" s="1">
        <v>16</v>
      </c>
      <c r="AG68" s="1">
        <v>5798.1882999999998</v>
      </c>
      <c r="AH68" s="2">
        <v>1</v>
      </c>
      <c r="AI68">
        <f t="shared" si="5"/>
        <v>2.7594826473641776E-3</v>
      </c>
    </row>
    <row r="69" spans="1:35" x14ac:dyDescent="0.4">
      <c r="A69" s="1">
        <v>34.4086</v>
      </c>
      <c r="B69" s="1">
        <v>505</v>
      </c>
      <c r="C69" s="1">
        <v>6946.8608999999997</v>
      </c>
      <c r="D69" s="2">
        <v>1</v>
      </c>
      <c r="E69" s="1">
        <v>0</v>
      </c>
      <c r="F69" s="13">
        <f t="shared" si="0"/>
        <v>7.269470445276946E-2</v>
      </c>
      <c r="G69">
        <f t="shared" si="1"/>
        <v>7.2045003347377387E-2</v>
      </c>
      <c r="I69" s="6">
        <v>33.963700000000003</v>
      </c>
      <c r="J69" s="1">
        <v>1</v>
      </c>
      <c r="K69" s="1">
        <v>6422.518</v>
      </c>
      <c r="L69" s="2">
        <v>1</v>
      </c>
      <c r="M69" s="12">
        <f t="shared" si="2"/>
        <v>1.5570217164046873E-4</v>
      </c>
      <c r="X69" s="1">
        <v>34.407800000000002</v>
      </c>
      <c r="Y69" s="1">
        <v>351</v>
      </c>
      <c r="Z69" s="1">
        <v>5939.2446</v>
      </c>
      <c r="AA69" s="2">
        <v>1</v>
      </c>
      <c r="AB69" s="13">
        <f t="shared" si="3"/>
        <v>5.9098424739065299E-2</v>
      </c>
      <c r="AE69" s="1">
        <v>33.963299999999997</v>
      </c>
      <c r="AF69" s="1">
        <v>5</v>
      </c>
      <c r="AG69" s="1">
        <v>5796.6283000000003</v>
      </c>
      <c r="AH69" s="2">
        <v>1</v>
      </c>
      <c r="AI69">
        <f t="shared" si="5"/>
        <v>8.6257040148667106E-4</v>
      </c>
    </row>
    <row r="70" spans="1:35" x14ac:dyDescent="0.4">
      <c r="A70" s="1">
        <v>34.409599999999998</v>
      </c>
      <c r="B70" s="1">
        <v>541</v>
      </c>
      <c r="C70" s="1">
        <v>6944.4888000000001</v>
      </c>
      <c r="D70" s="2">
        <v>1</v>
      </c>
      <c r="E70" s="1">
        <v>0</v>
      </c>
      <c r="F70" s="13">
        <f t="shared" si="0"/>
        <v>7.7903502414749373E-2</v>
      </c>
      <c r="G70">
        <f t="shared" si="1"/>
        <v>7.7253801309357301E-2</v>
      </c>
      <c r="I70" s="6">
        <v>33.964199999999998</v>
      </c>
      <c r="J70" s="1">
        <v>1</v>
      </c>
      <c r="K70" s="1">
        <v>6423.7957999999999</v>
      </c>
      <c r="L70" s="2">
        <v>1</v>
      </c>
      <c r="M70" s="12">
        <f t="shared" si="2"/>
        <v>1.5567119988465388E-4</v>
      </c>
      <c r="X70" s="1">
        <v>34.408799999999999</v>
      </c>
      <c r="Y70" s="1">
        <v>408</v>
      </c>
      <c r="Z70" s="1">
        <v>5939.7547999999997</v>
      </c>
      <c r="AA70" s="2">
        <v>1</v>
      </c>
      <c r="AB70" s="13">
        <f t="shared" si="3"/>
        <v>6.8689704160851892E-2</v>
      </c>
      <c r="AE70" s="1">
        <v>33.963799999999999</v>
      </c>
      <c r="AF70" s="1">
        <v>2</v>
      </c>
      <c r="AG70" s="1">
        <v>5792.8923999999997</v>
      </c>
      <c r="AH70" s="2">
        <v>1</v>
      </c>
      <c r="AI70">
        <f t="shared" si="5"/>
        <v>3.4525067304892461E-4</v>
      </c>
    </row>
    <row r="71" spans="1:35" x14ac:dyDescent="0.4">
      <c r="A71" s="1">
        <v>34.410600000000002</v>
      </c>
      <c r="B71" s="1">
        <v>546</v>
      </c>
      <c r="C71" s="1">
        <v>6943.4589999999998</v>
      </c>
      <c r="D71" s="2">
        <v>1</v>
      </c>
      <c r="E71" s="1">
        <v>0</v>
      </c>
      <c r="F71" s="13">
        <f t="shared" si="0"/>
        <v>7.8635158643552153E-2</v>
      </c>
      <c r="G71">
        <f t="shared" si="1"/>
        <v>7.798545753816008E-2</v>
      </c>
      <c r="I71" s="6">
        <v>33.964700000000001</v>
      </c>
      <c r="J71" s="1">
        <v>1</v>
      </c>
      <c r="K71" s="1">
        <v>6423.7350999999999</v>
      </c>
      <c r="L71" s="2">
        <v>1</v>
      </c>
      <c r="M71" s="12">
        <f t="shared" si="2"/>
        <v>1.5567267087336775E-4</v>
      </c>
      <c r="X71" s="1">
        <v>34.409799999999997</v>
      </c>
      <c r="Y71" s="1">
        <v>404</v>
      </c>
      <c r="Z71" s="1">
        <v>5939.4955</v>
      </c>
      <c r="AA71" s="2">
        <v>1</v>
      </c>
      <c r="AB71" s="13">
        <f t="shared" si="3"/>
        <v>6.8019245068878326E-2</v>
      </c>
      <c r="AE71" s="1">
        <v>33.964300000000001</v>
      </c>
      <c r="AF71" s="1">
        <v>5</v>
      </c>
      <c r="AG71" s="1">
        <v>5792.8224</v>
      </c>
      <c r="AH71" s="2">
        <v>1</v>
      </c>
      <c r="AI71">
        <f t="shared" si="5"/>
        <v>8.6313711257572819E-4</v>
      </c>
    </row>
    <row r="72" spans="1:35" x14ac:dyDescent="0.4">
      <c r="A72" s="1">
        <v>34.4116</v>
      </c>
      <c r="B72" s="1">
        <v>596</v>
      </c>
      <c r="C72" s="1">
        <v>6940.4843000000001</v>
      </c>
      <c r="D72" s="2">
        <v>1</v>
      </c>
      <c r="E72" s="1">
        <v>0</v>
      </c>
      <c r="F72" s="13">
        <f t="shared" si="0"/>
        <v>8.5872969988564057E-2</v>
      </c>
      <c r="G72">
        <f t="shared" si="1"/>
        <v>8.5223268883171985E-2</v>
      </c>
      <c r="I72" s="6">
        <v>33.965200000000003</v>
      </c>
      <c r="J72" s="1">
        <v>1</v>
      </c>
      <c r="K72" s="1">
        <v>6423.7146000000002</v>
      </c>
      <c r="L72" s="2">
        <v>1</v>
      </c>
      <c r="M72" s="12">
        <f t="shared" si="2"/>
        <v>1.5567316767155253E-4</v>
      </c>
      <c r="X72" s="1">
        <v>34.410800000000002</v>
      </c>
      <c r="Y72" s="1">
        <v>449</v>
      </c>
      <c r="Z72" s="1">
        <v>5940.5388000000003</v>
      </c>
      <c r="AA72" s="2">
        <v>1</v>
      </c>
      <c r="AB72" s="13">
        <f t="shared" si="3"/>
        <v>7.5582369733869934E-2</v>
      </c>
      <c r="AE72" s="1">
        <v>33.964799999999997</v>
      </c>
      <c r="AF72" s="1">
        <v>4</v>
      </c>
      <c r="AG72" s="1">
        <v>5792.4585999999999</v>
      </c>
      <c r="AH72" s="2">
        <v>1</v>
      </c>
      <c r="AI72">
        <f t="shared" si="5"/>
        <v>6.9055305807451091E-4</v>
      </c>
    </row>
    <row r="73" spans="1:35" x14ac:dyDescent="0.4">
      <c r="A73" s="1">
        <v>34.412599999999998</v>
      </c>
      <c r="B73" s="1">
        <v>604</v>
      </c>
      <c r="C73" s="1">
        <v>6942.0645000000004</v>
      </c>
      <c r="D73" s="2">
        <v>1</v>
      </c>
      <c r="E73" s="1">
        <v>0</v>
      </c>
      <c r="F73" s="13">
        <f t="shared" si="0"/>
        <v>8.7005817937877122E-2</v>
      </c>
      <c r="G73">
        <f t="shared" si="1"/>
        <v>8.635611683248505E-2</v>
      </c>
      <c r="I73" s="6">
        <v>33.965699999999998</v>
      </c>
      <c r="J73" s="1">
        <v>1</v>
      </c>
      <c r="K73" s="1">
        <v>6423.3585999999996</v>
      </c>
      <c r="L73" s="2">
        <v>1</v>
      </c>
      <c r="M73" s="12">
        <f t="shared" si="2"/>
        <v>1.5568179550181117E-4</v>
      </c>
      <c r="X73" s="1">
        <v>34.411799999999999</v>
      </c>
      <c r="Y73" s="1">
        <v>491</v>
      </c>
      <c r="Z73" s="1">
        <v>5942.5919999999996</v>
      </c>
      <c r="AA73" s="2">
        <v>1</v>
      </c>
      <c r="AB73" s="13">
        <f t="shared" si="3"/>
        <v>8.2623878603814635E-2</v>
      </c>
      <c r="AE73" s="1">
        <v>33.965299999999999</v>
      </c>
      <c r="AF73" s="1">
        <v>1</v>
      </c>
      <c r="AG73" s="1">
        <v>5791.9197000000004</v>
      </c>
      <c r="AH73" s="2">
        <v>1</v>
      </c>
      <c r="AI73">
        <f t="shared" si="5"/>
        <v>1.7265432737266712E-4</v>
      </c>
    </row>
    <row r="74" spans="1:35" x14ac:dyDescent="0.4">
      <c r="A74" s="1">
        <v>34.413600000000002</v>
      </c>
      <c r="B74" s="1">
        <v>608</v>
      </c>
      <c r="C74" s="1">
        <v>6941.4477999999999</v>
      </c>
      <c r="D74" s="2">
        <v>1</v>
      </c>
      <c r="E74" s="1">
        <v>0</v>
      </c>
      <c r="F74" s="13">
        <f t="shared" si="0"/>
        <v>8.7589796468684825E-2</v>
      </c>
      <c r="G74">
        <f t="shared" si="1"/>
        <v>8.6940095363292752E-2</v>
      </c>
      <c r="I74" s="6">
        <v>33.966200000000001</v>
      </c>
      <c r="J74" s="1">
        <v>6</v>
      </c>
      <c r="K74" s="1">
        <v>6420.5275000000001</v>
      </c>
      <c r="L74" s="2">
        <v>1</v>
      </c>
      <c r="M74" s="12">
        <f t="shared" si="2"/>
        <v>9.3450265573973479E-4</v>
      </c>
      <c r="X74" s="1">
        <v>34.412799999999997</v>
      </c>
      <c r="Y74" s="1">
        <v>459</v>
      </c>
      <c r="Z74" s="1">
        <v>5941.2628999999997</v>
      </c>
      <c r="AA74" s="2">
        <v>1</v>
      </c>
      <c r="AB74" s="13">
        <f t="shared" si="3"/>
        <v>7.7256301854610743E-2</v>
      </c>
      <c r="AE74" s="1">
        <v>33.965800000000002</v>
      </c>
      <c r="AF74" s="1">
        <v>1</v>
      </c>
      <c r="AG74" s="1">
        <v>5792.0874000000003</v>
      </c>
      <c r="AH74" s="2">
        <v>1</v>
      </c>
      <c r="AI74">
        <f t="shared" si="5"/>
        <v>1.7264932846144552E-4</v>
      </c>
    </row>
    <row r="75" spans="1:35" x14ac:dyDescent="0.4">
      <c r="A75" s="1">
        <v>34.4146</v>
      </c>
      <c r="B75" s="1">
        <v>639</v>
      </c>
      <c r="C75" s="1">
        <v>6936.5765000000001</v>
      </c>
      <c r="D75" s="2">
        <v>1</v>
      </c>
      <c r="E75" s="1">
        <v>0</v>
      </c>
      <c r="F75" s="13">
        <f t="shared" si="0"/>
        <v>9.2120370906310908E-2</v>
      </c>
      <c r="G75">
        <f t="shared" si="1"/>
        <v>9.1470669800918836E-2</v>
      </c>
      <c r="I75" s="6">
        <v>33.966700000000003</v>
      </c>
      <c r="J75" s="1">
        <v>2</v>
      </c>
      <c r="K75" s="1">
        <v>6418.6815999999999</v>
      </c>
      <c r="L75" s="2">
        <v>1</v>
      </c>
      <c r="M75" s="12">
        <f t="shared" si="2"/>
        <v>3.1159046742558472E-4</v>
      </c>
      <c r="X75" s="1">
        <v>34.413800000000002</v>
      </c>
      <c r="Y75" s="1">
        <v>498</v>
      </c>
      <c r="Z75" s="1">
        <v>5941.1332000000002</v>
      </c>
      <c r="AA75" s="2">
        <v>1</v>
      </c>
      <c r="AB75" s="13">
        <f t="shared" si="3"/>
        <v>8.382239267081236E-2</v>
      </c>
      <c r="AE75" s="1">
        <v>33.966299999999997</v>
      </c>
      <c r="AF75" s="1">
        <v>3</v>
      </c>
      <c r="AG75" s="1">
        <v>5791.2420000000002</v>
      </c>
      <c r="AH75" s="2">
        <v>1</v>
      </c>
      <c r="AI75">
        <f t="shared" si="5"/>
        <v>5.180235949387023E-4</v>
      </c>
    </row>
    <row r="76" spans="1:35" x14ac:dyDescent="0.4">
      <c r="A76" s="1">
        <v>34.415599999999998</v>
      </c>
      <c r="B76" s="1">
        <v>664</v>
      </c>
      <c r="C76" s="1">
        <v>6935.5203000000001</v>
      </c>
      <c r="D76" s="2">
        <v>1</v>
      </c>
      <c r="E76" s="1">
        <v>0</v>
      </c>
      <c r="F76" s="13">
        <f t="shared" si="0"/>
        <v>9.5739032008889086E-2</v>
      </c>
      <c r="G76">
        <f t="shared" si="1"/>
        <v>9.5089330903497013E-2</v>
      </c>
      <c r="I76" s="6">
        <v>33.967199999999998</v>
      </c>
      <c r="J76" s="1">
        <v>2</v>
      </c>
      <c r="K76" s="1">
        <v>6416.4314000000004</v>
      </c>
      <c r="L76" s="2">
        <v>1</v>
      </c>
      <c r="M76" s="12">
        <f t="shared" si="2"/>
        <v>3.1169974013904361E-4</v>
      </c>
      <c r="X76" s="1">
        <v>34.4148</v>
      </c>
      <c r="Y76" s="1">
        <v>511</v>
      </c>
      <c r="Z76" s="1">
        <v>5938.7307000000001</v>
      </c>
      <c r="AA76" s="2">
        <v>1</v>
      </c>
      <c r="AB76" s="13">
        <f t="shared" si="3"/>
        <v>8.6045322782526579E-2</v>
      </c>
      <c r="AE76" s="1">
        <v>33.966799999999999</v>
      </c>
      <c r="AF76" s="1">
        <v>2</v>
      </c>
      <c r="AG76" s="1">
        <v>5790.4593000000004</v>
      </c>
      <c r="AH76" s="2">
        <v>1</v>
      </c>
      <c r="AI76">
        <f t="shared" si="5"/>
        <v>3.4539574434104043E-4</v>
      </c>
    </row>
    <row r="77" spans="1:35" x14ac:dyDescent="0.4">
      <c r="A77" s="1">
        <v>34.416600000000003</v>
      </c>
      <c r="B77" s="1">
        <v>735</v>
      </c>
      <c r="C77" s="1">
        <v>6935.2064</v>
      </c>
      <c r="D77" s="2">
        <v>1</v>
      </c>
      <c r="E77" s="1">
        <v>0</v>
      </c>
      <c r="F77" s="13">
        <f t="shared" si="0"/>
        <v>0.10598098421411077</v>
      </c>
      <c r="G77">
        <f t="shared" si="1"/>
        <v>0.1053312831087187</v>
      </c>
      <c r="I77" s="6">
        <v>33.967700000000001</v>
      </c>
      <c r="J77" s="1">
        <v>0</v>
      </c>
      <c r="K77" s="1">
        <v>6414.3491000000004</v>
      </c>
      <c r="L77" s="2">
        <v>1</v>
      </c>
      <c r="M77" s="12">
        <f t="shared" si="2"/>
        <v>0</v>
      </c>
      <c r="X77" s="1">
        <v>34.415799999999997</v>
      </c>
      <c r="Y77" s="1">
        <v>497</v>
      </c>
      <c r="Z77" s="1">
        <v>5938.1009000000004</v>
      </c>
      <c r="AA77" s="2">
        <v>1</v>
      </c>
      <c r="AB77" s="13">
        <f t="shared" si="3"/>
        <v>8.3696792690066954E-2</v>
      </c>
      <c r="AE77" s="1">
        <v>33.967300000000002</v>
      </c>
      <c r="AF77" s="1">
        <v>1</v>
      </c>
      <c r="AG77" s="1">
        <v>5789.3315000000002</v>
      </c>
      <c r="AH77" s="2">
        <v>1</v>
      </c>
      <c r="AI77">
        <f t="shared" si="5"/>
        <v>1.7273151485624894E-4</v>
      </c>
    </row>
    <row r="78" spans="1:35" x14ac:dyDescent="0.4">
      <c r="A78" s="1">
        <v>34.4176</v>
      </c>
      <c r="B78" s="1">
        <v>697</v>
      </c>
      <c r="C78" s="1">
        <v>6934.9501</v>
      </c>
      <c r="D78" s="2">
        <v>1</v>
      </c>
      <c r="E78" s="1">
        <v>0</v>
      </c>
      <c r="F78" s="13">
        <f t="shared" si="0"/>
        <v>0.10050540954865703</v>
      </c>
      <c r="G78">
        <f t="shared" si="1"/>
        <v>9.9855708443264954E-2</v>
      </c>
      <c r="I78" s="6">
        <v>33.968200000000003</v>
      </c>
      <c r="J78" s="1">
        <v>2</v>
      </c>
      <c r="K78" s="1">
        <v>6414.7028</v>
      </c>
      <c r="L78" s="2">
        <v>1</v>
      </c>
      <c r="M78" s="12">
        <f t="shared" si="2"/>
        <v>3.1178373532753535E-4</v>
      </c>
      <c r="X78" s="1">
        <v>34.416800000000002</v>
      </c>
      <c r="Y78" s="1">
        <v>558</v>
      </c>
      <c r="Z78" s="1">
        <v>5935.0843999999997</v>
      </c>
      <c r="AA78" s="2">
        <v>1</v>
      </c>
      <c r="AB78" s="13">
        <f t="shared" si="3"/>
        <v>9.4017197126969251E-2</v>
      </c>
      <c r="AE78" s="1">
        <v>33.967799999999997</v>
      </c>
      <c r="AF78" s="1">
        <v>1</v>
      </c>
      <c r="AG78" s="1">
        <v>5799.9040999999997</v>
      </c>
      <c r="AH78" s="2">
        <v>1</v>
      </c>
      <c r="AI78">
        <f t="shared" si="5"/>
        <v>1.7241664392347454E-4</v>
      </c>
    </row>
    <row r="79" spans="1:35" x14ac:dyDescent="0.4">
      <c r="A79" s="1">
        <v>34.418599999999998</v>
      </c>
      <c r="B79" s="1">
        <v>716</v>
      </c>
      <c r="C79" s="1">
        <v>6931.8018000000002</v>
      </c>
      <c r="D79" s="2">
        <v>1</v>
      </c>
      <c r="E79" s="1">
        <v>0</v>
      </c>
      <c r="F79" s="13">
        <f t="shared" si="0"/>
        <v>0.10329204738658281</v>
      </c>
      <c r="G79">
        <f t="shared" si="1"/>
        <v>0.10264234628119073</v>
      </c>
      <c r="I79" s="6">
        <v>33.968699999999998</v>
      </c>
      <c r="J79" s="1">
        <v>1</v>
      </c>
      <c r="K79" s="1">
        <v>6408.3149000000003</v>
      </c>
      <c r="L79" s="2">
        <v>1</v>
      </c>
      <c r="M79" s="12">
        <f t="shared" si="2"/>
        <v>1.5604726290838173E-4</v>
      </c>
      <c r="X79" s="1">
        <v>34.4178</v>
      </c>
      <c r="Y79" s="1">
        <v>576</v>
      </c>
      <c r="Z79" s="1">
        <v>5933.5769</v>
      </c>
      <c r="AA79" s="2">
        <v>1</v>
      </c>
      <c r="AB79" s="13">
        <f t="shared" si="3"/>
        <v>9.7074666715788252E-2</v>
      </c>
      <c r="AE79" s="1">
        <v>33.968299999999999</v>
      </c>
      <c r="AF79" s="1">
        <v>2</v>
      </c>
      <c r="AG79" s="1">
        <v>5799.3905000000004</v>
      </c>
      <c r="AH79" s="2">
        <v>1</v>
      </c>
      <c r="AI79">
        <f t="shared" si="5"/>
        <v>3.4486382663833379E-4</v>
      </c>
    </row>
    <row r="80" spans="1:35" x14ac:dyDescent="0.4">
      <c r="A80" s="1">
        <v>34.419600000000003</v>
      </c>
      <c r="B80" s="1">
        <v>732</v>
      </c>
      <c r="C80" s="1">
        <v>6929.0571</v>
      </c>
      <c r="D80" s="2">
        <v>1</v>
      </c>
      <c r="E80" s="1">
        <v>0</v>
      </c>
      <c r="F80" s="13">
        <f t="shared" si="0"/>
        <v>0.10564207935304791</v>
      </c>
      <c r="G80">
        <f t="shared" si="1"/>
        <v>0.10499237824765584</v>
      </c>
      <c r="I80" s="6">
        <v>33.969200000000001</v>
      </c>
      <c r="J80" s="1">
        <v>2</v>
      </c>
      <c r="K80" s="1">
        <v>6410.5141000000003</v>
      </c>
      <c r="L80" s="2">
        <v>1</v>
      </c>
      <c r="M80" s="12">
        <f t="shared" si="2"/>
        <v>3.1198745822897414E-4</v>
      </c>
      <c r="X80" s="1">
        <v>34.418799999999997</v>
      </c>
      <c r="Y80" s="1">
        <v>574</v>
      </c>
      <c r="Z80" s="1">
        <v>5932.6436999999996</v>
      </c>
      <c r="AA80" s="2">
        <v>1</v>
      </c>
      <c r="AB80" s="13">
        <f t="shared" si="3"/>
        <v>9.6752818646432454E-2</v>
      </c>
      <c r="AE80" s="1">
        <v>33.968800000000002</v>
      </c>
      <c r="AF80" s="1">
        <v>10</v>
      </c>
      <c r="AG80" s="1">
        <v>5798.2245999999996</v>
      </c>
      <c r="AH80" s="2">
        <v>1</v>
      </c>
      <c r="AI80">
        <f t="shared" si="5"/>
        <v>1.7246658572004957E-3</v>
      </c>
    </row>
    <row r="81" spans="1:35" x14ac:dyDescent="0.4">
      <c r="A81" s="1">
        <v>34.4206</v>
      </c>
      <c r="B81" s="1">
        <v>797</v>
      </c>
      <c r="C81" s="1">
        <v>6930.9287999999997</v>
      </c>
      <c r="D81" s="2">
        <v>1</v>
      </c>
      <c r="E81" s="1">
        <v>0</v>
      </c>
      <c r="F81" s="13">
        <f t="shared" si="0"/>
        <v>0.11499180311879702</v>
      </c>
      <c r="G81">
        <f t="shared" si="1"/>
        <v>0.11434210201340494</v>
      </c>
      <c r="I81" s="6">
        <v>33.969700000000003</v>
      </c>
      <c r="J81" s="1">
        <v>2</v>
      </c>
      <c r="K81" s="1">
        <v>6408.6082999999999</v>
      </c>
      <c r="L81" s="2">
        <v>1</v>
      </c>
      <c r="M81" s="12">
        <f t="shared" si="2"/>
        <v>3.1208023745186612E-4</v>
      </c>
      <c r="X81" s="1">
        <v>34.419800000000002</v>
      </c>
      <c r="Y81" s="1">
        <v>596</v>
      </c>
      <c r="Z81" s="1">
        <v>5929.1259</v>
      </c>
      <c r="AA81" s="2">
        <v>1</v>
      </c>
      <c r="AB81" s="13">
        <f t="shared" si="3"/>
        <v>0.1005207192513824</v>
      </c>
      <c r="AE81" s="1">
        <v>33.969299999999997</v>
      </c>
      <c r="AF81" s="1">
        <v>5</v>
      </c>
      <c r="AG81" s="1">
        <v>5801.4492</v>
      </c>
      <c r="AH81" s="2">
        <v>1</v>
      </c>
      <c r="AI81">
        <f t="shared" si="5"/>
        <v>8.6185362098835578E-4</v>
      </c>
    </row>
    <row r="82" spans="1:35" x14ac:dyDescent="0.4">
      <c r="A82" s="1">
        <v>34.421599999999998</v>
      </c>
      <c r="B82" s="1">
        <v>838</v>
      </c>
      <c r="C82" s="1">
        <v>6929.9627</v>
      </c>
      <c r="D82" s="2">
        <v>1</v>
      </c>
      <c r="E82" s="1">
        <v>0</v>
      </c>
      <c r="F82" s="13">
        <f t="shared" si="0"/>
        <v>0.12092417178522476</v>
      </c>
      <c r="G82">
        <f t="shared" si="1"/>
        <v>0.12027447067983268</v>
      </c>
      <c r="I82" s="6">
        <v>33.970199999999998</v>
      </c>
      <c r="J82" s="1">
        <v>1</v>
      </c>
      <c r="K82" s="1">
        <v>6408.6423000000004</v>
      </c>
      <c r="L82" s="2">
        <v>1</v>
      </c>
      <c r="M82" s="12">
        <f t="shared" si="2"/>
        <v>1.5603929088069089E-4</v>
      </c>
      <c r="X82" s="1">
        <v>34.4208</v>
      </c>
      <c r="Y82" s="1">
        <v>657</v>
      </c>
      <c r="Z82" s="1">
        <v>5929.7344999999996</v>
      </c>
      <c r="AA82" s="2">
        <v>1</v>
      </c>
      <c r="AB82" s="13">
        <f t="shared" si="3"/>
        <v>0.11079754076679151</v>
      </c>
      <c r="AE82" s="1">
        <v>33.969799999999999</v>
      </c>
      <c r="AF82" s="1">
        <v>2</v>
      </c>
      <c r="AG82" s="1">
        <v>5800.0920999999998</v>
      </c>
      <c r="AH82" s="2">
        <v>1</v>
      </c>
      <c r="AI82">
        <f t="shared" si="5"/>
        <v>3.4482211066958748E-4</v>
      </c>
    </row>
    <row r="83" spans="1:35" x14ac:dyDescent="0.4">
      <c r="A83" s="1">
        <v>34.422600000000003</v>
      </c>
      <c r="B83" s="1">
        <v>829</v>
      </c>
      <c r="C83" s="1">
        <v>6929.4712</v>
      </c>
      <c r="D83" s="2">
        <v>1</v>
      </c>
      <c r="E83" s="1">
        <v>0</v>
      </c>
      <c r="F83" s="13">
        <f t="shared" si="0"/>
        <v>0.11963394840287381</v>
      </c>
      <c r="G83">
        <f t="shared" si="1"/>
        <v>0.11898424729748174</v>
      </c>
      <c r="I83" s="6">
        <v>33.970700000000001</v>
      </c>
      <c r="J83" s="1">
        <v>3</v>
      </c>
      <c r="K83" s="1">
        <v>6407.0643</v>
      </c>
      <c r="L83" s="2">
        <v>1</v>
      </c>
      <c r="M83" s="12">
        <f t="shared" si="2"/>
        <v>4.6823316569493458E-4</v>
      </c>
      <c r="X83" s="1">
        <v>34.421799999999998</v>
      </c>
      <c r="Y83" s="1">
        <v>674</v>
      </c>
      <c r="Z83" s="1">
        <v>5926.6215000000002</v>
      </c>
      <c r="AA83" s="2">
        <v>1</v>
      </c>
      <c r="AB83" s="13">
        <f t="shared" si="3"/>
        <v>0.11372415127235642</v>
      </c>
      <c r="AE83" s="1">
        <v>33.970300000000002</v>
      </c>
      <c r="AF83" s="1">
        <v>1</v>
      </c>
      <c r="AG83" s="1">
        <v>5798.5992999999999</v>
      </c>
      <c r="AH83" s="2">
        <v>1</v>
      </c>
      <c r="AI83">
        <f t="shared" si="5"/>
        <v>1.7245544109247211E-4</v>
      </c>
    </row>
    <row r="84" spans="1:35" x14ac:dyDescent="0.4">
      <c r="A84" s="1">
        <v>34.4236</v>
      </c>
      <c r="B84" s="1">
        <v>934</v>
      </c>
      <c r="C84" s="1">
        <v>6927.7658000000001</v>
      </c>
      <c r="D84" s="2">
        <v>1</v>
      </c>
      <c r="E84" s="1">
        <v>0</v>
      </c>
      <c r="F84" s="13">
        <f t="shared" si="0"/>
        <v>0.13481980005732871</v>
      </c>
      <c r="G84">
        <f t="shared" si="1"/>
        <v>0.13417009895193663</v>
      </c>
      <c r="I84" s="6">
        <v>33.971200000000003</v>
      </c>
      <c r="J84" s="1">
        <v>1</v>
      </c>
      <c r="K84" s="1">
        <v>6405.3360000000002</v>
      </c>
      <c r="L84" s="2">
        <v>1</v>
      </c>
      <c r="M84" s="12">
        <f t="shared" si="2"/>
        <v>1.5611983508749579E-4</v>
      </c>
      <c r="X84" s="1">
        <v>34.422800000000002</v>
      </c>
      <c r="Y84" s="1">
        <v>696</v>
      </c>
      <c r="Z84" s="1">
        <v>5921.4162999999999</v>
      </c>
      <c r="AA84" s="2">
        <v>1</v>
      </c>
      <c r="AB84" s="13">
        <f t="shared" si="3"/>
        <v>0.11753944744604429</v>
      </c>
      <c r="AE84" s="1">
        <v>33.970799999999997</v>
      </c>
      <c r="AF84" s="1">
        <v>1</v>
      </c>
      <c r="AG84" s="1">
        <v>5797.7907999999998</v>
      </c>
      <c r="AH84" s="2">
        <v>1</v>
      </c>
      <c r="AI84">
        <f t="shared" si="5"/>
        <v>1.7247948994641201E-4</v>
      </c>
    </row>
    <row r="85" spans="1:35" x14ac:dyDescent="0.4">
      <c r="A85" s="1">
        <v>34.424599999999998</v>
      </c>
      <c r="B85" s="1">
        <v>918</v>
      </c>
      <c r="C85" s="1">
        <v>6926.7021999999997</v>
      </c>
      <c r="D85" s="2">
        <v>1</v>
      </c>
      <c r="E85" s="1">
        <v>0</v>
      </c>
      <c r="F85" s="13">
        <f t="shared" ref="F85:F148" si="7">B85/C85*D85</f>
        <v>0.132530600203947</v>
      </c>
      <c r="G85">
        <f t="shared" ref="G85:G148" si="8">F85-$M$101</f>
        <v>0.13188089909855491</v>
      </c>
      <c r="I85" s="6">
        <v>33.971699999999998</v>
      </c>
      <c r="J85" s="1">
        <v>1</v>
      </c>
      <c r="K85" s="1">
        <v>6403.1136999999999</v>
      </c>
      <c r="L85" s="2">
        <v>1</v>
      </c>
      <c r="M85" s="12">
        <f t="shared" ref="M85:M100" si="9">J85/K85*L85</f>
        <v>1.5617401889958632E-4</v>
      </c>
      <c r="X85" s="1">
        <v>34.4238</v>
      </c>
      <c r="Y85" s="1">
        <v>659</v>
      </c>
      <c r="Z85" s="1">
        <v>5919.7519000000002</v>
      </c>
      <c r="AA85" s="2">
        <v>1</v>
      </c>
      <c r="AB85" s="13">
        <f t="shared" ref="AB85:AB148" si="10">Y85/Z85*AA85</f>
        <v>0.11132223294695846</v>
      </c>
      <c r="AE85" s="1">
        <v>33.971299999999999</v>
      </c>
      <c r="AF85" s="1">
        <v>0</v>
      </c>
      <c r="AG85" s="1">
        <v>5797.2120999999997</v>
      </c>
      <c r="AH85" s="2">
        <v>1</v>
      </c>
      <c r="AI85">
        <f t="shared" ref="AI85:AI100" si="11">AF85/AG85</f>
        <v>0</v>
      </c>
    </row>
    <row r="86" spans="1:35" x14ac:dyDescent="0.4">
      <c r="A86" s="1">
        <v>34.425600000000003</v>
      </c>
      <c r="B86" s="1">
        <v>984</v>
      </c>
      <c r="C86" s="1">
        <v>6924.2175999999999</v>
      </c>
      <c r="D86" s="2">
        <v>1</v>
      </c>
      <c r="E86" s="1">
        <v>0</v>
      </c>
      <c r="F86" s="13">
        <f t="shared" si="7"/>
        <v>0.14210991867153339</v>
      </c>
      <c r="G86">
        <f t="shared" si="8"/>
        <v>0.1414602175661413</v>
      </c>
      <c r="I86" s="6">
        <v>33.972200000000001</v>
      </c>
      <c r="J86" s="1">
        <v>8</v>
      </c>
      <c r="K86" s="1">
        <v>6401.6451999999999</v>
      </c>
      <c r="L86" s="2">
        <v>1</v>
      </c>
      <c r="M86" s="12">
        <f t="shared" si="9"/>
        <v>1.2496787544551829E-3</v>
      </c>
      <c r="X86" s="1">
        <v>34.424799999999998</v>
      </c>
      <c r="Y86" s="1">
        <v>709</v>
      </c>
      <c r="Z86" s="1">
        <v>5920.482</v>
      </c>
      <c r="AA86" s="2">
        <v>1</v>
      </c>
      <c r="AB86" s="13">
        <f t="shared" si="10"/>
        <v>0.11975376329156984</v>
      </c>
      <c r="AE86" s="1">
        <v>33.971800000000002</v>
      </c>
      <c r="AF86" s="1">
        <v>2</v>
      </c>
      <c r="AG86" s="1">
        <v>5796.9922999999999</v>
      </c>
      <c r="AH86" s="2">
        <v>1</v>
      </c>
      <c r="AI86">
        <f t="shared" si="11"/>
        <v>3.4500649586855582E-4</v>
      </c>
    </row>
    <row r="87" spans="1:35" x14ac:dyDescent="0.4">
      <c r="A87" s="1">
        <v>34.426600000000001</v>
      </c>
      <c r="B87" s="1">
        <v>1011</v>
      </c>
      <c r="C87" s="1">
        <v>6923.4778999999999</v>
      </c>
      <c r="D87" s="2">
        <v>1</v>
      </c>
      <c r="E87" s="1">
        <v>0</v>
      </c>
      <c r="F87" s="13">
        <f t="shared" si="7"/>
        <v>0.14602487573478065</v>
      </c>
      <c r="G87">
        <f t="shared" si="8"/>
        <v>0.14537517462938856</v>
      </c>
      <c r="I87" s="6">
        <v>33.972700000000003</v>
      </c>
      <c r="J87" s="1">
        <v>2</v>
      </c>
      <c r="K87" s="1">
        <v>6402.0432000000001</v>
      </c>
      <c r="L87" s="2">
        <v>1</v>
      </c>
      <c r="M87" s="12">
        <f t="shared" si="9"/>
        <v>3.1240026621501087E-4</v>
      </c>
      <c r="X87" s="1">
        <v>34.425800000000002</v>
      </c>
      <c r="Y87" s="1">
        <v>816</v>
      </c>
      <c r="Z87" s="1">
        <v>5920.4876999999997</v>
      </c>
      <c r="AA87" s="2">
        <v>1</v>
      </c>
      <c r="AB87" s="13">
        <f t="shared" si="10"/>
        <v>0.13782648345000362</v>
      </c>
      <c r="AE87" s="1">
        <v>33.972299999999997</v>
      </c>
      <c r="AF87" s="1">
        <v>18</v>
      </c>
      <c r="AG87" s="1">
        <v>5796.4836999999998</v>
      </c>
      <c r="AH87" s="2">
        <v>1</v>
      </c>
      <c r="AI87">
        <f t="shared" si="11"/>
        <v>3.1053309094960452E-3</v>
      </c>
    </row>
    <row r="88" spans="1:35" x14ac:dyDescent="0.4">
      <c r="A88" s="1">
        <v>34.427599999999998</v>
      </c>
      <c r="B88" s="1">
        <v>1122</v>
      </c>
      <c r="C88" s="1">
        <v>6920.6815999999999</v>
      </c>
      <c r="D88" s="2">
        <v>1</v>
      </c>
      <c r="E88" s="1">
        <v>0</v>
      </c>
      <c r="F88" s="13">
        <f t="shared" si="7"/>
        <v>0.16212275970043183</v>
      </c>
      <c r="G88">
        <f t="shared" si="8"/>
        <v>0.16147305859503974</v>
      </c>
      <c r="I88" s="6">
        <v>33.973199999999999</v>
      </c>
      <c r="J88" s="1">
        <v>1</v>
      </c>
      <c r="K88" s="1">
        <v>6400.3083999999999</v>
      </c>
      <c r="L88" s="2">
        <v>1</v>
      </c>
      <c r="M88" s="12">
        <f t="shared" si="9"/>
        <v>1.5624247106592551E-4</v>
      </c>
      <c r="X88" s="1">
        <v>34.4268</v>
      </c>
      <c r="Y88" s="1">
        <v>762</v>
      </c>
      <c r="Z88" s="1">
        <v>5919.4452000000001</v>
      </c>
      <c r="AA88" s="2">
        <v>1</v>
      </c>
      <c r="AB88" s="13">
        <f t="shared" si="10"/>
        <v>0.12872828014355128</v>
      </c>
      <c r="AE88" s="1">
        <v>33.972799999999999</v>
      </c>
      <c r="AF88" s="1">
        <v>0</v>
      </c>
      <c r="AG88" s="1">
        <v>5797.0563000000002</v>
      </c>
      <c r="AH88" s="2">
        <v>1</v>
      </c>
      <c r="AI88">
        <f t="shared" si="11"/>
        <v>0</v>
      </c>
    </row>
    <row r="89" spans="1:35" x14ac:dyDescent="0.4">
      <c r="A89" s="1">
        <v>34.428600000000003</v>
      </c>
      <c r="B89" s="1">
        <v>1076</v>
      </c>
      <c r="C89" s="1">
        <v>6922.0389999999998</v>
      </c>
      <c r="D89" s="2">
        <v>1</v>
      </c>
      <c r="E89" s="1">
        <v>0</v>
      </c>
      <c r="F89" s="13">
        <f t="shared" si="7"/>
        <v>0.15544552696105873</v>
      </c>
      <c r="G89">
        <f t="shared" si="8"/>
        <v>0.15479582585566665</v>
      </c>
      <c r="I89" s="6">
        <v>33.973700000000001</v>
      </c>
      <c r="J89" s="1">
        <v>1</v>
      </c>
      <c r="K89" s="1">
        <v>6400.9708000000001</v>
      </c>
      <c r="L89" s="2">
        <v>1</v>
      </c>
      <c r="M89" s="12">
        <f t="shared" si="9"/>
        <v>1.5622630242275123E-4</v>
      </c>
      <c r="X89" s="1">
        <v>34.427799999999998</v>
      </c>
      <c r="Y89" s="1">
        <v>863</v>
      </c>
      <c r="Z89" s="1">
        <v>5922.1309000000001</v>
      </c>
      <c r="AA89" s="2">
        <v>1</v>
      </c>
      <c r="AB89" s="13">
        <f t="shared" si="10"/>
        <v>0.14572457356523477</v>
      </c>
      <c r="AE89" s="1">
        <v>33.973300000000002</v>
      </c>
      <c r="AF89" s="1">
        <v>12</v>
      </c>
      <c r="AG89" s="1">
        <v>5797.0104000000001</v>
      </c>
      <c r="AH89" s="2">
        <v>1</v>
      </c>
      <c r="AI89">
        <f t="shared" si="11"/>
        <v>2.0700325119306323E-3</v>
      </c>
    </row>
    <row r="90" spans="1:35" x14ac:dyDescent="0.4">
      <c r="A90" s="1">
        <v>34.429600000000001</v>
      </c>
      <c r="B90" s="1">
        <v>1189</v>
      </c>
      <c r="C90" s="1">
        <v>6920.5977999999996</v>
      </c>
      <c r="D90" s="2">
        <v>1</v>
      </c>
      <c r="E90" s="1">
        <v>0</v>
      </c>
      <c r="F90" s="13">
        <f t="shared" si="7"/>
        <v>0.17180596739778753</v>
      </c>
      <c r="G90">
        <f t="shared" si="8"/>
        <v>0.17115626629239544</v>
      </c>
      <c r="I90" s="6">
        <v>33.974200000000003</v>
      </c>
      <c r="J90" s="1">
        <v>1</v>
      </c>
      <c r="K90" s="1">
        <v>6403.8604999999998</v>
      </c>
      <c r="L90" s="2">
        <v>1</v>
      </c>
      <c r="M90" s="12">
        <f t="shared" si="9"/>
        <v>1.5615580632963509E-4</v>
      </c>
      <c r="X90" s="1">
        <v>34.428800000000003</v>
      </c>
      <c r="Y90" s="1">
        <v>844</v>
      </c>
      <c r="Z90" s="1">
        <v>5920.2933000000003</v>
      </c>
      <c r="AA90" s="2">
        <v>1</v>
      </c>
      <c r="AB90" s="13">
        <f t="shared" si="10"/>
        <v>0.14256050456148853</v>
      </c>
      <c r="AE90" s="1">
        <v>33.973799999999997</v>
      </c>
      <c r="AF90" s="1">
        <v>2</v>
      </c>
      <c r="AG90" s="1">
        <v>5796.89</v>
      </c>
      <c r="AH90" s="2">
        <v>1</v>
      </c>
      <c r="AI90">
        <f t="shared" si="11"/>
        <v>3.4501258433401359E-4</v>
      </c>
    </row>
    <row r="91" spans="1:35" x14ac:dyDescent="0.4">
      <c r="A91" s="1">
        <v>34.430599999999998</v>
      </c>
      <c r="B91" s="1">
        <v>1243</v>
      </c>
      <c r="C91" s="1">
        <v>6916.5303999999996</v>
      </c>
      <c r="D91" s="2">
        <v>1</v>
      </c>
      <c r="E91" s="1">
        <v>0</v>
      </c>
      <c r="F91" s="13">
        <f t="shared" si="7"/>
        <v>0.17971438396338141</v>
      </c>
      <c r="G91">
        <f t="shared" si="8"/>
        <v>0.17906468285798932</v>
      </c>
      <c r="I91" s="6">
        <v>33.974699999999999</v>
      </c>
      <c r="J91" s="1">
        <v>4</v>
      </c>
      <c r="K91" s="1">
        <v>6401.0933000000005</v>
      </c>
      <c r="L91" s="2">
        <v>1</v>
      </c>
      <c r="M91" s="12">
        <f t="shared" si="9"/>
        <v>6.2489325065766493E-4</v>
      </c>
      <c r="X91" s="1">
        <v>34.4298</v>
      </c>
      <c r="Y91" s="1">
        <v>914</v>
      </c>
      <c r="Z91" s="1">
        <v>5922.0007999999998</v>
      </c>
      <c r="AA91" s="2">
        <v>1</v>
      </c>
      <c r="AB91" s="13">
        <f t="shared" si="10"/>
        <v>0.15433972923475459</v>
      </c>
      <c r="AE91" s="1">
        <v>33.974299999999999</v>
      </c>
      <c r="AF91" s="1">
        <v>3</v>
      </c>
      <c r="AG91" s="1">
        <v>5798.8368</v>
      </c>
      <c r="AH91" s="2">
        <v>1</v>
      </c>
      <c r="AI91">
        <f t="shared" si="11"/>
        <v>5.1734513376889657E-4</v>
      </c>
    </row>
    <row r="92" spans="1:35" x14ac:dyDescent="0.4">
      <c r="A92" s="1">
        <v>34.431600000000003</v>
      </c>
      <c r="B92" s="1">
        <v>1304</v>
      </c>
      <c r="C92" s="1">
        <v>6918.8819000000003</v>
      </c>
      <c r="D92" s="2">
        <v>1</v>
      </c>
      <c r="E92" s="1">
        <v>0</v>
      </c>
      <c r="F92" s="13">
        <f t="shared" si="7"/>
        <v>0.18846975838682836</v>
      </c>
      <c r="G92">
        <f t="shared" si="8"/>
        <v>0.18782005728143628</v>
      </c>
      <c r="I92" s="6">
        <v>33.975200000000001</v>
      </c>
      <c r="J92" s="1">
        <v>0</v>
      </c>
      <c r="K92" s="1">
        <v>6401.0155999999997</v>
      </c>
      <c r="L92" s="2">
        <v>1</v>
      </c>
      <c r="M92" s="12">
        <f t="shared" si="9"/>
        <v>0</v>
      </c>
      <c r="X92" s="1">
        <v>34.430799999999998</v>
      </c>
      <c r="Y92" s="1">
        <v>945</v>
      </c>
      <c r="Z92" s="1">
        <v>5921.2717000000002</v>
      </c>
      <c r="AA92" s="2">
        <v>1</v>
      </c>
      <c r="AB92" s="13">
        <f t="shared" si="10"/>
        <v>0.15959409530219665</v>
      </c>
      <c r="AE92" s="1">
        <v>33.974800000000002</v>
      </c>
      <c r="AF92" s="1">
        <v>2</v>
      </c>
      <c r="AG92" s="1">
        <v>5799.1805999999997</v>
      </c>
      <c r="AH92" s="2">
        <v>1</v>
      </c>
      <c r="AI92">
        <f t="shared" si="11"/>
        <v>3.4487630890474427E-4</v>
      </c>
    </row>
    <row r="93" spans="1:35" x14ac:dyDescent="0.4">
      <c r="A93" s="1">
        <v>34.432600000000001</v>
      </c>
      <c r="B93" s="1">
        <v>1401</v>
      </c>
      <c r="C93" s="1">
        <v>6921.1764999999996</v>
      </c>
      <c r="D93" s="2">
        <v>1</v>
      </c>
      <c r="E93" s="1">
        <v>0</v>
      </c>
      <c r="F93" s="13">
        <f t="shared" si="7"/>
        <v>0.20242223269410917</v>
      </c>
      <c r="G93">
        <f t="shared" si="8"/>
        <v>0.20177253158871708</v>
      </c>
      <c r="I93" s="6">
        <v>33.975700000000003</v>
      </c>
      <c r="J93" s="1">
        <v>5</v>
      </c>
      <c r="K93" s="1">
        <v>6401.3090000000002</v>
      </c>
      <c r="L93" s="2">
        <v>1</v>
      </c>
      <c r="M93" s="12">
        <f t="shared" si="9"/>
        <v>7.810902426363108E-4</v>
      </c>
      <c r="X93" s="1">
        <v>34.431800000000003</v>
      </c>
      <c r="Y93" s="1">
        <v>996</v>
      </c>
      <c r="Z93" s="1">
        <v>5922.7641999999996</v>
      </c>
      <c r="AA93" s="2">
        <v>1</v>
      </c>
      <c r="AB93" s="13">
        <f t="shared" si="10"/>
        <v>0.16816472281641739</v>
      </c>
      <c r="AE93" s="1">
        <v>33.975299999999997</v>
      </c>
      <c r="AF93" s="1">
        <v>0</v>
      </c>
      <c r="AG93" s="1">
        <v>5800.1851999999999</v>
      </c>
      <c r="AH93" s="2">
        <v>1</v>
      </c>
      <c r="AI93">
        <f t="shared" si="11"/>
        <v>0</v>
      </c>
    </row>
    <row r="94" spans="1:35" x14ac:dyDescent="0.4">
      <c r="A94" s="1">
        <v>34.433599999999998</v>
      </c>
      <c r="B94" s="1">
        <v>1376</v>
      </c>
      <c r="C94" s="1">
        <v>6920.7793000000001</v>
      </c>
      <c r="D94" s="2">
        <v>1</v>
      </c>
      <c r="E94" s="1">
        <v>0</v>
      </c>
      <c r="F94" s="13">
        <f t="shared" si="7"/>
        <v>0.19882154022741341</v>
      </c>
      <c r="G94">
        <f t="shared" si="8"/>
        <v>0.19817183912202133</v>
      </c>
      <c r="I94" s="6">
        <v>33.976199999999999</v>
      </c>
      <c r="J94" s="1">
        <v>9</v>
      </c>
      <c r="K94" s="1">
        <v>6405.0055000000002</v>
      </c>
      <c r="L94" s="2">
        <v>1</v>
      </c>
      <c r="M94" s="12">
        <f t="shared" si="9"/>
        <v>1.4051510182153629E-3</v>
      </c>
      <c r="X94" s="1">
        <v>34.4328</v>
      </c>
      <c r="Y94" s="1">
        <v>1096</v>
      </c>
      <c r="Z94" s="1">
        <v>5922.2655000000004</v>
      </c>
      <c r="AA94" s="2">
        <v>1</v>
      </c>
      <c r="AB94" s="13">
        <f t="shared" si="10"/>
        <v>0.18506431364821452</v>
      </c>
      <c r="AE94" s="1">
        <v>33.9758</v>
      </c>
      <c r="AF94" s="1">
        <v>0</v>
      </c>
      <c r="AG94" s="1">
        <v>5801.2906999999996</v>
      </c>
      <c r="AH94" s="2">
        <v>1</v>
      </c>
      <c r="AI94">
        <f t="shared" si="11"/>
        <v>0</v>
      </c>
    </row>
    <row r="95" spans="1:35" x14ac:dyDescent="0.4">
      <c r="A95" s="1">
        <v>34.434600000000003</v>
      </c>
      <c r="B95" s="1">
        <v>1522</v>
      </c>
      <c r="C95" s="1">
        <v>6920.2701999999999</v>
      </c>
      <c r="D95" s="2">
        <v>1</v>
      </c>
      <c r="E95" s="1">
        <v>0</v>
      </c>
      <c r="F95" s="13">
        <f t="shared" si="7"/>
        <v>0.21993360895070255</v>
      </c>
      <c r="G95">
        <f t="shared" si="8"/>
        <v>0.21928390784531046</v>
      </c>
      <c r="I95" s="6">
        <v>33.976700000000001</v>
      </c>
      <c r="J95" s="1">
        <v>1</v>
      </c>
      <c r="K95" s="1">
        <v>6402.1359000000002</v>
      </c>
      <c r="L95" s="2">
        <v>1</v>
      </c>
      <c r="M95" s="12">
        <f t="shared" si="9"/>
        <v>1.5619787140101166E-4</v>
      </c>
      <c r="X95" s="1">
        <v>34.433799999999998</v>
      </c>
      <c r="Y95" s="1">
        <v>1105</v>
      </c>
      <c r="Z95" s="1">
        <v>5922.5306</v>
      </c>
      <c r="AA95" s="2">
        <v>1</v>
      </c>
      <c r="AB95" s="13">
        <f t="shared" si="10"/>
        <v>0.18657565061799766</v>
      </c>
      <c r="AE95" s="1">
        <v>33.976300000000002</v>
      </c>
      <c r="AF95" s="1">
        <v>1</v>
      </c>
      <c r="AG95" s="1">
        <v>5802.1054000000004</v>
      </c>
      <c r="AH95" s="2">
        <v>1</v>
      </c>
      <c r="AI95">
        <f t="shared" si="11"/>
        <v>1.7235122960710089E-4</v>
      </c>
    </row>
    <row r="96" spans="1:35" x14ac:dyDescent="0.4">
      <c r="A96" s="1">
        <v>34.435600000000001</v>
      </c>
      <c r="B96" s="1">
        <v>1663</v>
      </c>
      <c r="C96" s="1">
        <v>6922.7645000000002</v>
      </c>
      <c r="D96" s="2">
        <v>1</v>
      </c>
      <c r="E96" s="1">
        <v>0</v>
      </c>
      <c r="F96" s="13">
        <f t="shared" si="7"/>
        <v>0.24022195179396902</v>
      </c>
      <c r="G96">
        <f t="shared" si="8"/>
        <v>0.23957225068857693</v>
      </c>
      <c r="I96" s="6">
        <v>33.977200000000003</v>
      </c>
      <c r="J96" s="1">
        <v>1</v>
      </c>
      <c r="K96" s="1">
        <v>6402.3762999999999</v>
      </c>
      <c r="L96" s="2">
        <v>1</v>
      </c>
      <c r="M96" s="12">
        <f t="shared" si="9"/>
        <v>1.5619200639612515E-4</v>
      </c>
      <c r="X96" s="1">
        <v>34.434800000000003</v>
      </c>
      <c r="Y96" s="1">
        <v>1156</v>
      </c>
      <c r="Z96" s="1">
        <v>5921.8689999999997</v>
      </c>
      <c r="AA96" s="2">
        <v>1</v>
      </c>
      <c r="AB96" s="13">
        <f t="shared" si="10"/>
        <v>0.19520864105572075</v>
      </c>
      <c r="AE96" s="1">
        <v>33.976799999999997</v>
      </c>
      <c r="AF96" s="1">
        <v>1</v>
      </c>
      <c r="AG96" s="1">
        <v>5803.0286999999998</v>
      </c>
      <c r="AH96" s="2">
        <v>1</v>
      </c>
      <c r="AI96">
        <f t="shared" si="11"/>
        <v>1.7232380739388726E-4</v>
      </c>
    </row>
    <row r="97" spans="1:35" x14ac:dyDescent="0.4">
      <c r="A97" s="1">
        <v>34.436599999999999</v>
      </c>
      <c r="B97" s="1">
        <v>1883</v>
      </c>
      <c r="C97" s="1">
        <v>6921.5712000000003</v>
      </c>
      <c r="D97" s="2">
        <v>1</v>
      </c>
      <c r="E97" s="1">
        <v>0</v>
      </c>
      <c r="F97" s="13">
        <f t="shared" si="7"/>
        <v>0.27204805752774747</v>
      </c>
      <c r="G97">
        <f t="shared" si="8"/>
        <v>0.27139835642235538</v>
      </c>
      <c r="I97" s="6">
        <v>33.977699999999999</v>
      </c>
      <c r="J97" s="1">
        <v>3</v>
      </c>
      <c r="K97" s="1">
        <v>6401.6809000000003</v>
      </c>
      <c r="L97" s="2">
        <v>1</v>
      </c>
      <c r="M97" s="12">
        <f t="shared" si="9"/>
        <v>4.6862691953296202E-4</v>
      </c>
      <c r="X97" s="1">
        <v>34.4358</v>
      </c>
      <c r="Y97" s="1">
        <v>1244</v>
      </c>
      <c r="Z97" s="1">
        <v>5919.4813999999997</v>
      </c>
      <c r="AA97" s="2">
        <v>1</v>
      </c>
      <c r="AB97" s="13">
        <f t="shared" si="10"/>
        <v>0.21015354486965701</v>
      </c>
      <c r="AE97" s="1">
        <v>33.9773</v>
      </c>
      <c r="AF97" s="1">
        <v>2</v>
      </c>
      <c r="AG97" s="1">
        <v>5801.6016</v>
      </c>
      <c r="AH97" s="2">
        <v>1</v>
      </c>
      <c r="AI97">
        <f t="shared" si="11"/>
        <v>3.4473239251726629E-4</v>
      </c>
    </row>
    <row r="98" spans="1:35" x14ac:dyDescent="0.4">
      <c r="A98" s="1">
        <v>34.437600000000003</v>
      </c>
      <c r="B98" s="1">
        <v>2095</v>
      </c>
      <c r="C98" s="1">
        <v>6919.7212</v>
      </c>
      <c r="D98" s="2">
        <v>1</v>
      </c>
      <c r="E98" s="1">
        <v>0</v>
      </c>
      <c r="F98" s="13">
        <f t="shared" si="7"/>
        <v>0.3027578625566591</v>
      </c>
      <c r="G98">
        <f t="shared" si="8"/>
        <v>0.30210816145126701</v>
      </c>
      <c r="I98" s="6">
        <v>33.978200000000001</v>
      </c>
      <c r="J98" s="1">
        <v>3</v>
      </c>
      <c r="K98" s="1">
        <v>6402.9425000000001</v>
      </c>
      <c r="L98" s="2">
        <v>1</v>
      </c>
      <c r="M98" s="12">
        <f t="shared" si="9"/>
        <v>4.6853458390419718E-4</v>
      </c>
      <c r="X98" s="1">
        <v>34.436799999999998</v>
      </c>
      <c r="Y98" s="1">
        <v>1340</v>
      </c>
      <c r="Z98" s="1">
        <v>5917.3113000000003</v>
      </c>
      <c r="AA98" s="2">
        <v>1</v>
      </c>
      <c r="AB98" s="13">
        <f t="shared" si="10"/>
        <v>0.22645420057585949</v>
      </c>
      <c r="AE98" s="1">
        <v>33.977800000000002</v>
      </c>
      <c r="AF98" s="1">
        <v>1</v>
      </c>
      <c r="AG98" s="1">
        <v>5800.9129999999996</v>
      </c>
      <c r="AH98" s="2">
        <v>1</v>
      </c>
      <c r="AI98">
        <f t="shared" si="11"/>
        <v>1.7238665706587912E-4</v>
      </c>
    </row>
    <row r="99" spans="1:35" x14ac:dyDescent="0.4">
      <c r="A99" s="1">
        <v>34.438600000000001</v>
      </c>
      <c r="B99" s="1">
        <v>2592</v>
      </c>
      <c r="C99" s="1">
        <v>6919.6289999999999</v>
      </c>
      <c r="D99" s="2">
        <v>1</v>
      </c>
      <c r="E99" s="1">
        <v>0</v>
      </c>
      <c r="F99" s="13">
        <f t="shared" si="7"/>
        <v>0.37458655659140105</v>
      </c>
      <c r="G99">
        <f t="shared" si="8"/>
        <v>0.37393685548600897</v>
      </c>
      <c r="I99" s="6">
        <v>33.978700000000003</v>
      </c>
      <c r="J99" s="1">
        <v>2</v>
      </c>
      <c r="K99" s="1">
        <v>6399.6954999999998</v>
      </c>
      <c r="L99" s="2">
        <v>1</v>
      </c>
      <c r="M99" s="12">
        <f t="shared" si="9"/>
        <v>3.1251486887149554E-4</v>
      </c>
      <c r="X99" s="1">
        <v>34.437800000000003</v>
      </c>
      <c r="Y99" s="1">
        <v>1405</v>
      </c>
      <c r="Z99" s="1">
        <v>5917.3464000000004</v>
      </c>
      <c r="AA99" s="2">
        <v>1</v>
      </c>
      <c r="AB99" s="13">
        <f t="shared" si="10"/>
        <v>0.23743751084100803</v>
      </c>
      <c r="AE99" s="1">
        <v>33.978299999999997</v>
      </c>
      <c r="AF99" s="1">
        <v>2</v>
      </c>
      <c r="AG99" s="1">
        <v>5798.8149999999996</v>
      </c>
      <c r="AH99" s="2">
        <v>1</v>
      </c>
      <c r="AI99">
        <f t="shared" si="11"/>
        <v>3.4489805244692235E-4</v>
      </c>
    </row>
    <row r="100" spans="1:35" x14ac:dyDescent="0.4">
      <c r="A100" s="1">
        <v>34.439599999999999</v>
      </c>
      <c r="B100" s="1">
        <v>2854</v>
      </c>
      <c r="C100" s="1">
        <v>6917.1382000000003</v>
      </c>
      <c r="D100" s="2">
        <v>1</v>
      </c>
      <c r="E100" s="1">
        <v>0</v>
      </c>
      <c r="F100" s="13">
        <f t="shared" si="7"/>
        <v>0.41259837775107627</v>
      </c>
      <c r="G100">
        <f t="shared" si="8"/>
        <v>0.41194867664568419</v>
      </c>
      <c r="I100" s="6">
        <v>33.979199999999999</v>
      </c>
      <c r="J100" s="1">
        <v>0</v>
      </c>
      <c r="K100" s="1">
        <v>6400.4179000000004</v>
      </c>
      <c r="L100" s="2">
        <v>1</v>
      </c>
      <c r="M100" s="12">
        <f t="shared" si="9"/>
        <v>0</v>
      </c>
      <c r="X100" s="1">
        <v>34.438800000000001</v>
      </c>
      <c r="Y100" s="1">
        <v>1462</v>
      </c>
      <c r="Z100" s="1">
        <v>5917.0793999999996</v>
      </c>
      <c r="AA100" s="2">
        <v>1</v>
      </c>
      <c r="AB100" s="13">
        <f t="shared" si="10"/>
        <v>0.24708135571072445</v>
      </c>
      <c r="AE100" s="1">
        <v>33.9788</v>
      </c>
      <c r="AF100" s="1">
        <v>1</v>
      </c>
      <c r="AG100" s="1">
        <v>5796.7385999999997</v>
      </c>
      <c r="AH100" s="2">
        <v>1</v>
      </c>
      <c r="AI100">
        <f t="shared" si="11"/>
        <v>1.7251079770959485E-4</v>
      </c>
    </row>
    <row r="101" spans="1:35" ht="14.25" thickBot="1" x14ac:dyDescent="0.45">
      <c r="A101" s="1">
        <v>34.440600000000003</v>
      </c>
      <c r="B101" s="1">
        <v>3590</v>
      </c>
      <c r="C101" s="1">
        <v>6916.7435999999998</v>
      </c>
      <c r="D101" s="2">
        <v>1</v>
      </c>
      <c r="E101" s="1">
        <v>0</v>
      </c>
      <c r="F101" s="13">
        <f t="shared" si="7"/>
        <v>0.51903037145977193</v>
      </c>
      <c r="G101">
        <f t="shared" si="8"/>
        <v>0.51838067035437985</v>
      </c>
      <c r="I101" s="9"/>
      <c r="J101" s="10"/>
      <c r="K101" s="10"/>
      <c r="L101" s="10"/>
      <c r="M101" s="11">
        <f>AVERAGE(M54:M100)</f>
        <v>6.4970110539207303E-4</v>
      </c>
      <c r="X101" s="1">
        <v>34.439799999999998</v>
      </c>
      <c r="Y101" s="1">
        <v>1649</v>
      </c>
      <c r="Z101" s="1">
        <v>5916.0601999999999</v>
      </c>
      <c r="AA101" s="2">
        <v>1</v>
      </c>
      <c r="AB101" s="13">
        <f t="shared" si="10"/>
        <v>0.27873279585626937</v>
      </c>
    </row>
    <row r="102" spans="1:35" x14ac:dyDescent="0.4">
      <c r="A102" s="1">
        <v>34.441600000000001</v>
      </c>
      <c r="B102" s="1">
        <v>4283</v>
      </c>
      <c r="C102" s="1">
        <v>6915.1171999999997</v>
      </c>
      <c r="D102" s="2">
        <v>1</v>
      </c>
      <c r="E102" s="1">
        <v>0</v>
      </c>
      <c r="F102" s="13">
        <f t="shared" si="7"/>
        <v>0.61936766595944315</v>
      </c>
      <c r="G102">
        <f t="shared" si="8"/>
        <v>0.61871796485405106</v>
      </c>
      <c r="X102" s="1">
        <v>34.440800000000003</v>
      </c>
      <c r="Y102" s="1">
        <v>2009</v>
      </c>
      <c r="Z102" s="1">
        <v>5915.9231</v>
      </c>
      <c r="AA102" s="2">
        <v>1</v>
      </c>
      <c r="AB102" s="13">
        <f t="shared" si="10"/>
        <v>0.33959197339803149</v>
      </c>
    </row>
    <row r="103" spans="1:35" x14ac:dyDescent="0.4">
      <c r="A103" s="1">
        <v>34.442599999999999</v>
      </c>
      <c r="B103" s="1">
        <v>4836</v>
      </c>
      <c r="C103" s="1">
        <v>6912.7610000000004</v>
      </c>
      <c r="D103" s="2">
        <v>1</v>
      </c>
      <c r="E103" s="1">
        <v>0</v>
      </c>
      <c r="F103" s="13">
        <f t="shared" si="7"/>
        <v>0.69957575562065577</v>
      </c>
      <c r="G103">
        <f t="shared" si="8"/>
        <v>0.69892605451526368</v>
      </c>
      <c r="X103" s="1">
        <v>34.441800000000001</v>
      </c>
      <c r="Y103" s="1">
        <v>2270</v>
      </c>
      <c r="Z103" s="1">
        <v>5917.0501000000004</v>
      </c>
      <c r="AA103" s="2">
        <v>1</v>
      </c>
      <c r="AB103" s="13">
        <f t="shared" si="10"/>
        <v>0.38363710998492306</v>
      </c>
    </row>
    <row r="104" spans="1:35" x14ac:dyDescent="0.4">
      <c r="A104" s="1">
        <v>34.443600000000004</v>
      </c>
      <c r="B104" s="1">
        <v>6185</v>
      </c>
      <c r="C104" s="1">
        <v>6911.5959000000003</v>
      </c>
      <c r="D104" s="2">
        <v>1</v>
      </c>
      <c r="E104" s="1">
        <v>0</v>
      </c>
      <c r="F104" s="13">
        <f t="shared" si="7"/>
        <v>0.89487291929205526</v>
      </c>
      <c r="G104">
        <f t="shared" si="8"/>
        <v>0.89422321818666317</v>
      </c>
      <c r="X104" s="1">
        <v>34.442799999999998</v>
      </c>
      <c r="Y104" s="1">
        <v>2693</v>
      </c>
      <c r="Z104" s="1">
        <v>5914.4075999999995</v>
      </c>
      <c r="AA104" s="2">
        <v>1</v>
      </c>
      <c r="AB104" s="13">
        <f t="shared" si="10"/>
        <v>0.45532878051894837</v>
      </c>
    </row>
    <row r="105" spans="1:35" x14ac:dyDescent="0.4">
      <c r="A105" s="1">
        <v>34.444600000000001</v>
      </c>
      <c r="B105" s="1">
        <v>7052</v>
      </c>
      <c r="C105" s="1">
        <v>6908.3379999999997</v>
      </c>
      <c r="D105" s="2">
        <v>1</v>
      </c>
      <c r="E105" s="1">
        <v>0</v>
      </c>
      <c r="F105" s="13">
        <f t="shared" si="7"/>
        <v>1.0207954503673677</v>
      </c>
      <c r="G105">
        <f t="shared" si="8"/>
        <v>1.0201457492619757</v>
      </c>
      <c r="X105" s="1">
        <v>34.443800000000003</v>
      </c>
      <c r="Y105" s="1">
        <v>3354</v>
      </c>
      <c r="Z105" s="1">
        <v>5913.0896000000002</v>
      </c>
      <c r="AA105" s="2">
        <v>1</v>
      </c>
      <c r="AB105" s="13">
        <f t="shared" si="10"/>
        <v>0.56721616394921526</v>
      </c>
    </row>
    <row r="106" spans="1:35" x14ac:dyDescent="0.4">
      <c r="A106" s="1">
        <v>34.445599999999999</v>
      </c>
      <c r="B106" s="1">
        <v>8733</v>
      </c>
      <c r="C106" s="1">
        <v>6908.4745000000003</v>
      </c>
      <c r="D106" s="2">
        <v>1</v>
      </c>
      <c r="E106" s="1">
        <v>0</v>
      </c>
      <c r="F106" s="13">
        <f t="shared" si="7"/>
        <v>1.2640996214142499</v>
      </c>
      <c r="G106">
        <f t="shared" si="8"/>
        <v>1.2634499203088578</v>
      </c>
      <c r="X106" s="1">
        <v>34.444800000000001</v>
      </c>
      <c r="Y106" s="1">
        <v>3972</v>
      </c>
      <c r="Z106" s="1">
        <v>5909.9804000000004</v>
      </c>
      <c r="AA106" s="2">
        <v>1</v>
      </c>
      <c r="AB106" s="13">
        <f t="shared" si="10"/>
        <v>0.67208344718029855</v>
      </c>
    </row>
    <row r="107" spans="1:35" x14ac:dyDescent="0.4">
      <c r="A107" s="1">
        <v>34.446599999999997</v>
      </c>
      <c r="B107" s="1">
        <v>10976</v>
      </c>
      <c r="C107" s="1">
        <v>6904.0942999999997</v>
      </c>
      <c r="D107" s="2">
        <v>1</v>
      </c>
      <c r="E107" s="1">
        <v>0</v>
      </c>
      <c r="F107" s="13">
        <f t="shared" si="7"/>
        <v>1.5897812983232285</v>
      </c>
      <c r="G107">
        <f t="shared" si="8"/>
        <v>1.5891315972178364</v>
      </c>
      <c r="X107" s="1">
        <v>34.445799999999998</v>
      </c>
      <c r="Y107" s="1">
        <v>4884</v>
      </c>
      <c r="Z107" s="1">
        <v>5908.2566999999999</v>
      </c>
      <c r="AA107" s="2">
        <v>1</v>
      </c>
      <c r="AB107" s="13">
        <f t="shared" si="10"/>
        <v>0.8266397768397572</v>
      </c>
    </row>
    <row r="108" spans="1:35" x14ac:dyDescent="0.4">
      <c r="A108" s="1">
        <v>34.447600000000001</v>
      </c>
      <c r="B108" s="1">
        <v>13497</v>
      </c>
      <c r="C108" s="1">
        <v>6902.7736000000004</v>
      </c>
      <c r="D108" s="2">
        <v>1</v>
      </c>
      <c r="E108" s="1">
        <v>0</v>
      </c>
      <c r="F108" s="13">
        <f t="shared" si="7"/>
        <v>1.9553009822022844</v>
      </c>
      <c r="G108">
        <f t="shared" si="8"/>
        <v>1.9546512810968923</v>
      </c>
      <c r="X108" s="1">
        <v>34.446800000000003</v>
      </c>
      <c r="Y108" s="1">
        <v>5994</v>
      </c>
      <c r="Z108" s="1">
        <v>5908.8644999999997</v>
      </c>
      <c r="AA108" s="2">
        <v>1</v>
      </c>
      <c r="AB108" s="13">
        <f t="shared" si="10"/>
        <v>1.0144080982056705</v>
      </c>
    </row>
    <row r="109" spans="1:35" x14ac:dyDescent="0.4">
      <c r="A109" s="1">
        <v>34.448599999999999</v>
      </c>
      <c r="B109" s="1">
        <v>17018</v>
      </c>
      <c r="C109" s="1">
        <v>6902.9525999999996</v>
      </c>
      <c r="D109" s="2">
        <v>1</v>
      </c>
      <c r="E109" s="1">
        <v>0</v>
      </c>
      <c r="F109" s="13">
        <f t="shared" si="7"/>
        <v>2.4653218682104234</v>
      </c>
      <c r="G109">
        <f t="shared" si="8"/>
        <v>2.4646721671050313</v>
      </c>
      <c r="X109" s="1">
        <v>34.447800000000001</v>
      </c>
      <c r="Y109" s="1">
        <v>7203</v>
      </c>
      <c r="Z109" s="1">
        <v>5909.8996999999999</v>
      </c>
      <c r="AA109" s="2">
        <v>1</v>
      </c>
      <c r="AB109" s="13">
        <f t="shared" si="10"/>
        <v>1.2188024104706887</v>
      </c>
    </row>
    <row r="110" spans="1:35" x14ac:dyDescent="0.4">
      <c r="A110" s="1">
        <v>34.449599999999997</v>
      </c>
      <c r="B110" s="1">
        <v>22571</v>
      </c>
      <c r="C110" s="1">
        <v>6903.0497999999998</v>
      </c>
      <c r="D110" s="2">
        <v>1</v>
      </c>
      <c r="E110" s="1">
        <v>0</v>
      </c>
      <c r="F110" s="13">
        <f t="shared" si="7"/>
        <v>3.2697142066105331</v>
      </c>
      <c r="G110">
        <f t="shared" si="8"/>
        <v>3.269064505505141</v>
      </c>
      <c r="X110" s="1">
        <v>34.448799999999999</v>
      </c>
      <c r="Y110" s="1">
        <v>8480</v>
      </c>
      <c r="Z110" s="1">
        <v>5909.8824999999997</v>
      </c>
      <c r="AA110" s="2">
        <v>1</v>
      </c>
      <c r="AB110" s="13">
        <f t="shared" si="10"/>
        <v>1.4348847037144987</v>
      </c>
    </row>
    <row r="111" spans="1:35" x14ac:dyDescent="0.4">
      <c r="A111" s="1">
        <v>34.450600000000001</v>
      </c>
      <c r="B111" s="1">
        <v>31629</v>
      </c>
      <c r="C111" s="1">
        <v>6903.5663999999997</v>
      </c>
      <c r="D111" s="2">
        <v>1</v>
      </c>
      <c r="E111" s="1">
        <v>0</v>
      </c>
      <c r="F111" s="13">
        <f t="shared" si="7"/>
        <v>4.5815449823152274</v>
      </c>
      <c r="G111">
        <f t="shared" si="8"/>
        <v>4.5808952812098358</v>
      </c>
      <c r="X111" s="1">
        <v>34.449800000000003</v>
      </c>
      <c r="Y111" s="1">
        <v>11026</v>
      </c>
      <c r="Z111" s="1">
        <v>5909.1815999999999</v>
      </c>
      <c r="AA111" s="2">
        <v>1</v>
      </c>
      <c r="AB111" s="13">
        <f t="shared" si="10"/>
        <v>1.865909824128607</v>
      </c>
    </row>
    <row r="112" spans="1:35" x14ac:dyDescent="0.4">
      <c r="A112" s="1">
        <v>34.451599999999999</v>
      </c>
      <c r="B112" s="1">
        <v>54881</v>
      </c>
      <c r="C112" s="1">
        <v>6903.7767000000003</v>
      </c>
      <c r="D112" s="2">
        <v>1</v>
      </c>
      <c r="E112" s="1">
        <v>0</v>
      </c>
      <c r="F112" s="13">
        <f t="shared" si="7"/>
        <v>7.9494170198175729</v>
      </c>
      <c r="G112">
        <f t="shared" si="8"/>
        <v>7.9487673187121812</v>
      </c>
      <c r="X112" s="1">
        <v>34.450800000000001</v>
      </c>
      <c r="Y112" s="1">
        <v>13833</v>
      </c>
      <c r="Z112" s="1">
        <v>5911.5311000000002</v>
      </c>
      <c r="AA112" s="2">
        <v>1</v>
      </c>
      <c r="AB112" s="13">
        <f t="shared" si="10"/>
        <v>2.3400029139658929</v>
      </c>
    </row>
    <row r="113" spans="1:28" x14ac:dyDescent="0.4">
      <c r="A113" s="1">
        <v>34.452599999999997</v>
      </c>
      <c r="B113" s="1">
        <v>171138</v>
      </c>
      <c r="C113" s="1">
        <v>6899.6464999999998</v>
      </c>
      <c r="D113" s="2">
        <v>1</v>
      </c>
      <c r="E113" s="1">
        <v>0</v>
      </c>
      <c r="F113" s="13">
        <f t="shared" si="7"/>
        <v>24.803879445128096</v>
      </c>
      <c r="G113">
        <f t="shared" si="8"/>
        <v>24.803229744022705</v>
      </c>
      <c r="X113" s="1">
        <v>34.451799999999999</v>
      </c>
      <c r="Y113" s="1">
        <v>17834</v>
      </c>
      <c r="Z113" s="1">
        <v>5910.6725999999999</v>
      </c>
      <c r="AA113" s="2">
        <v>1</v>
      </c>
      <c r="AB113" s="13">
        <f t="shared" si="10"/>
        <v>3.0172539077870768</v>
      </c>
    </row>
    <row r="114" spans="1:28" x14ac:dyDescent="0.4">
      <c r="A114" s="1">
        <v>34.453600000000002</v>
      </c>
      <c r="B114" s="1">
        <v>1008557</v>
      </c>
      <c r="C114" s="1">
        <v>6898.5285999999996</v>
      </c>
      <c r="D114" s="2">
        <v>1</v>
      </c>
      <c r="E114" s="1">
        <v>0</v>
      </c>
      <c r="F114" s="13">
        <f t="shared" si="7"/>
        <v>146.19885753608386</v>
      </c>
      <c r="G114">
        <f t="shared" si="8"/>
        <v>146.19820783497846</v>
      </c>
      <c r="X114" s="1">
        <v>34.452800000000003</v>
      </c>
      <c r="Y114" s="1">
        <v>24841</v>
      </c>
      <c r="Z114" s="1">
        <v>5912.6089000000002</v>
      </c>
      <c r="AA114" s="2">
        <v>1</v>
      </c>
      <c r="AB114" s="13">
        <f t="shared" si="10"/>
        <v>4.2013602489418842</v>
      </c>
    </row>
    <row r="115" spans="1:28" x14ac:dyDescent="0.4">
      <c r="A115" s="1">
        <v>34.454599999999999</v>
      </c>
      <c r="B115" s="1">
        <v>5978135</v>
      </c>
      <c r="C115" s="1">
        <v>6899.2920999999997</v>
      </c>
      <c r="D115" s="2">
        <v>1</v>
      </c>
      <c r="E115" s="1">
        <v>0</v>
      </c>
      <c r="F115" s="13">
        <f t="shared" si="7"/>
        <v>866.48527317751928</v>
      </c>
      <c r="G115">
        <f t="shared" si="8"/>
        <v>866.48462347641384</v>
      </c>
      <c r="X115" s="1">
        <v>34.453800000000001</v>
      </c>
      <c r="Y115" s="1">
        <v>41450</v>
      </c>
      <c r="Z115" s="1">
        <v>5913.0883999999996</v>
      </c>
      <c r="AA115" s="2">
        <v>1</v>
      </c>
      <c r="AB115" s="13">
        <f t="shared" si="10"/>
        <v>7.0098732161690673</v>
      </c>
    </row>
    <row r="116" spans="1:28" x14ac:dyDescent="0.4">
      <c r="A116" s="1">
        <v>34.455599999999997</v>
      </c>
      <c r="B116" s="1">
        <v>427921</v>
      </c>
      <c r="C116" s="1">
        <v>6898.4907000000003</v>
      </c>
      <c r="D116" s="2">
        <v>53.984200000000001</v>
      </c>
      <c r="E116" s="1">
        <v>0</v>
      </c>
      <c r="F116" s="13">
        <f t="shared" si="7"/>
        <v>3348.6995710815409</v>
      </c>
      <c r="G116">
        <f t="shared" si="8"/>
        <v>3348.6989213804354</v>
      </c>
      <c r="X116" s="1">
        <v>34.454799999999999</v>
      </c>
      <c r="Y116" s="1">
        <v>115773</v>
      </c>
      <c r="Z116" s="1">
        <v>5914.1905999999999</v>
      </c>
      <c r="AA116" s="2">
        <v>1</v>
      </c>
      <c r="AB116" s="13">
        <f t="shared" si="10"/>
        <v>19.575459742538566</v>
      </c>
    </row>
    <row r="117" spans="1:28" x14ac:dyDescent="0.4">
      <c r="A117" s="1">
        <v>34.456600000000002</v>
      </c>
      <c r="B117" s="1">
        <v>1147867</v>
      </c>
      <c r="C117" s="1">
        <v>6896.1039000000001</v>
      </c>
      <c r="D117" s="2">
        <v>53.984200000000001</v>
      </c>
      <c r="E117" s="1">
        <v>0</v>
      </c>
      <c r="F117" s="13">
        <f t="shared" si="7"/>
        <v>8985.7523320378059</v>
      </c>
      <c r="G117">
        <f t="shared" si="8"/>
        <v>8985.7516823367005</v>
      </c>
      <c r="X117" s="1">
        <v>34.455800000000004</v>
      </c>
      <c r="Y117" s="1">
        <v>645104</v>
      </c>
      <c r="Z117" s="1">
        <v>5914.9165999999996</v>
      </c>
      <c r="AA117" s="2">
        <v>1</v>
      </c>
      <c r="AB117" s="13">
        <f t="shared" si="10"/>
        <v>109.06392154371206</v>
      </c>
    </row>
    <row r="118" spans="1:28" x14ac:dyDescent="0.4">
      <c r="A118" s="1">
        <v>34.457599999999999</v>
      </c>
      <c r="B118" s="1">
        <v>2094728</v>
      </c>
      <c r="C118" s="1">
        <v>6894.6881000000003</v>
      </c>
      <c r="D118" s="2">
        <v>53.984200000000001</v>
      </c>
      <c r="E118" s="1">
        <v>0</v>
      </c>
      <c r="F118" s="13">
        <f t="shared" si="7"/>
        <v>16401.353282043317</v>
      </c>
      <c r="G118">
        <f t="shared" si="8"/>
        <v>16401.352632342212</v>
      </c>
      <c r="X118" s="1">
        <v>34.456800000000001</v>
      </c>
      <c r="Y118" s="1">
        <v>4093312</v>
      </c>
      <c r="Z118" s="1">
        <v>5916.6607000000004</v>
      </c>
      <c r="AA118" s="2">
        <v>1</v>
      </c>
      <c r="AB118" s="13">
        <f t="shared" si="10"/>
        <v>691.82807795620249</v>
      </c>
    </row>
    <row r="119" spans="1:28" x14ac:dyDescent="0.4">
      <c r="A119" s="1">
        <v>34.458599999999997</v>
      </c>
      <c r="B119" s="1">
        <v>57897</v>
      </c>
      <c r="C119" s="1">
        <v>6892.9614000000001</v>
      </c>
      <c r="D119" s="2">
        <v>2400.44</v>
      </c>
      <c r="E119" s="1">
        <v>0</v>
      </c>
      <c r="F119" s="13">
        <f t="shared" si="7"/>
        <v>20162.346285589239</v>
      </c>
      <c r="G119">
        <f t="shared" si="8"/>
        <v>20162.345635888134</v>
      </c>
      <c r="X119" s="1">
        <v>34.457799999999999</v>
      </c>
      <c r="Y119" s="1">
        <v>338059</v>
      </c>
      <c r="Z119" s="1">
        <v>5915.7231000000002</v>
      </c>
      <c r="AA119" s="2">
        <v>53.984200000000001</v>
      </c>
      <c r="AB119" s="13">
        <f t="shared" si="10"/>
        <v>3084.9727682149287</v>
      </c>
    </row>
    <row r="120" spans="1:28" x14ac:dyDescent="0.4">
      <c r="A120" s="1">
        <v>34.459600000000002</v>
      </c>
      <c r="B120" s="1">
        <v>58901</v>
      </c>
      <c r="C120" s="1">
        <v>6891.74</v>
      </c>
      <c r="D120" s="2">
        <v>2400.44</v>
      </c>
      <c r="E120" s="1">
        <v>0</v>
      </c>
      <c r="F120" s="13">
        <f t="shared" si="7"/>
        <v>20515.619631616981</v>
      </c>
      <c r="G120">
        <f t="shared" si="8"/>
        <v>20515.618981915875</v>
      </c>
      <c r="X120" s="1">
        <v>34.458799999999997</v>
      </c>
      <c r="Y120" s="1">
        <v>994039</v>
      </c>
      <c r="Z120" s="1">
        <v>5915.3109999999997</v>
      </c>
      <c r="AA120" s="2">
        <v>53.984200000000001</v>
      </c>
      <c r="AB120" s="13">
        <f t="shared" si="10"/>
        <v>9071.7800270856442</v>
      </c>
    </row>
    <row r="121" spans="1:28" x14ac:dyDescent="0.4">
      <c r="A121" s="1">
        <v>34.460599999999999</v>
      </c>
      <c r="B121" s="1">
        <v>47006</v>
      </c>
      <c r="C121" s="1">
        <v>6895.0577000000003</v>
      </c>
      <c r="D121" s="2">
        <v>2400.44</v>
      </c>
      <c r="E121" s="1">
        <v>0</v>
      </c>
      <c r="F121" s="13">
        <f t="shared" si="7"/>
        <v>16364.632110330273</v>
      </c>
      <c r="G121">
        <f t="shared" si="8"/>
        <v>16364.631460629167</v>
      </c>
      <c r="X121" s="1">
        <v>34.459800000000001</v>
      </c>
      <c r="Y121" s="1">
        <v>1821259</v>
      </c>
      <c r="Z121" s="1">
        <v>5912.4075999999995</v>
      </c>
      <c r="AA121" s="2">
        <v>53.984200000000001</v>
      </c>
      <c r="AB121" s="13">
        <f t="shared" si="10"/>
        <v>16629.301759878668</v>
      </c>
    </row>
    <row r="122" spans="1:28" x14ac:dyDescent="0.4">
      <c r="A122" s="1">
        <v>34.461599999999997</v>
      </c>
      <c r="B122" s="1">
        <v>26095</v>
      </c>
      <c r="C122" s="1">
        <v>6896.4498999999996</v>
      </c>
      <c r="D122" s="2">
        <v>2400.44</v>
      </c>
      <c r="E122" s="1">
        <v>0</v>
      </c>
      <c r="F122" s="13">
        <f t="shared" si="7"/>
        <v>9082.8589648711877</v>
      </c>
      <c r="G122">
        <f t="shared" si="8"/>
        <v>9082.8583151700823</v>
      </c>
      <c r="X122" s="1">
        <v>34.460799999999999</v>
      </c>
      <c r="Y122" s="1">
        <v>2285456</v>
      </c>
      <c r="Z122" s="1">
        <v>5913.1063999999997</v>
      </c>
      <c r="AA122" s="2">
        <v>53.984200000000001</v>
      </c>
      <c r="AB122" s="13">
        <f t="shared" si="10"/>
        <v>20865.261919724631</v>
      </c>
    </row>
    <row r="123" spans="1:28" x14ac:dyDescent="0.4">
      <c r="A123" s="1">
        <v>34.462600000000002</v>
      </c>
      <c r="B123" s="1">
        <v>8283</v>
      </c>
      <c r="C123" s="1">
        <v>6894.13</v>
      </c>
      <c r="D123" s="2">
        <v>2400.44</v>
      </c>
      <c r="E123" s="1">
        <v>0</v>
      </c>
      <c r="F123" s="13">
        <f t="shared" si="7"/>
        <v>2884.0251808422531</v>
      </c>
      <c r="G123">
        <f t="shared" si="8"/>
        <v>2884.0245311411477</v>
      </c>
      <c r="X123" s="1">
        <v>34.461799999999997</v>
      </c>
      <c r="Y123" s="1">
        <v>2312305</v>
      </c>
      <c r="Z123" s="1">
        <v>5912.4103999999998</v>
      </c>
      <c r="AA123" s="2">
        <v>53.984200000000001</v>
      </c>
      <c r="AB123" s="13">
        <f t="shared" si="10"/>
        <v>21112.86719558575</v>
      </c>
    </row>
    <row r="124" spans="1:28" x14ac:dyDescent="0.4">
      <c r="A124" s="1">
        <v>34.4636</v>
      </c>
      <c r="B124" s="1">
        <v>85000</v>
      </c>
      <c r="C124" s="1">
        <v>6890.8584000000001</v>
      </c>
      <c r="D124" s="2">
        <v>53.984200000000001</v>
      </c>
      <c r="E124" s="1">
        <v>0</v>
      </c>
      <c r="F124" s="13">
        <f t="shared" si="7"/>
        <v>665.90499087893033</v>
      </c>
      <c r="G124">
        <f t="shared" si="8"/>
        <v>665.9043411778249</v>
      </c>
      <c r="X124" s="1">
        <v>34.462800000000001</v>
      </c>
      <c r="Y124" s="1">
        <v>1909241</v>
      </c>
      <c r="Z124" s="1">
        <v>5909.2785999999996</v>
      </c>
      <c r="AA124" s="2">
        <v>53.984200000000001</v>
      </c>
      <c r="AB124" s="13">
        <f t="shared" si="10"/>
        <v>17441.866422104384</v>
      </c>
    </row>
    <row r="125" spans="1:28" x14ac:dyDescent="0.4">
      <c r="A125" s="1">
        <v>34.464599999999997</v>
      </c>
      <c r="B125" s="1">
        <v>24549</v>
      </c>
      <c r="C125" s="1">
        <v>6892.2777999999998</v>
      </c>
      <c r="D125" s="2">
        <v>53.984200000000001</v>
      </c>
      <c r="E125" s="1">
        <v>0</v>
      </c>
      <c r="F125" s="13">
        <f t="shared" si="7"/>
        <v>192.28158879492639</v>
      </c>
      <c r="G125">
        <f t="shared" si="8"/>
        <v>192.28093909382099</v>
      </c>
      <c r="X125" s="1">
        <v>34.463799999999999</v>
      </c>
      <c r="Y125" s="1">
        <v>1140259</v>
      </c>
      <c r="Z125" s="1">
        <v>5909.8068999999996</v>
      </c>
      <c r="AA125" s="2">
        <v>53.984200000000001</v>
      </c>
      <c r="AB125" s="13">
        <f t="shared" si="10"/>
        <v>10415.902067426265</v>
      </c>
    </row>
    <row r="126" spans="1:28" x14ac:dyDescent="0.4">
      <c r="A126" s="1">
        <v>34.465600000000002</v>
      </c>
      <c r="B126" s="1">
        <v>349646</v>
      </c>
      <c r="C126" s="1">
        <v>6893.3508000000002</v>
      </c>
      <c r="D126" s="2">
        <v>1</v>
      </c>
      <c r="E126" s="1">
        <v>0</v>
      </c>
      <c r="F126" s="13">
        <f t="shared" si="7"/>
        <v>50.722211903099435</v>
      </c>
      <c r="G126">
        <f t="shared" si="8"/>
        <v>50.72156220199404</v>
      </c>
      <c r="X126" s="1">
        <v>34.464799999999997</v>
      </c>
      <c r="Y126" s="1">
        <v>406294</v>
      </c>
      <c r="Z126" s="1">
        <v>5909.3132999999998</v>
      </c>
      <c r="AA126" s="2">
        <v>53.984200000000001</v>
      </c>
      <c r="AB126" s="13">
        <f t="shared" si="10"/>
        <v>3711.6760343033434</v>
      </c>
    </row>
    <row r="127" spans="1:28" x14ac:dyDescent="0.4">
      <c r="A127" s="1">
        <v>34.4666</v>
      </c>
      <c r="B127" s="1">
        <v>180507</v>
      </c>
      <c r="C127" s="1">
        <v>6889.8310000000001</v>
      </c>
      <c r="D127" s="2">
        <v>1</v>
      </c>
      <c r="E127" s="1">
        <v>0</v>
      </c>
      <c r="F127" s="13">
        <f t="shared" si="7"/>
        <v>26.199046101421064</v>
      </c>
      <c r="G127">
        <f t="shared" si="8"/>
        <v>26.198396400315673</v>
      </c>
      <c r="X127" s="1">
        <v>34.465800000000002</v>
      </c>
      <c r="Y127" s="1">
        <v>86463</v>
      </c>
      <c r="Z127" s="1">
        <v>5909.8521000000001</v>
      </c>
      <c r="AA127" s="2">
        <v>53.984200000000001</v>
      </c>
      <c r="AB127" s="13">
        <f t="shared" si="10"/>
        <v>789.80587087788547</v>
      </c>
    </row>
    <row r="128" spans="1:28" x14ac:dyDescent="0.4">
      <c r="A128" s="1">
        <v>34.467599999999997</v>
      </c>
      <c r="B128" s="1">
        <v>126712</v>
      </c>
      <c r="C128" s="1">
        <v>6885.3132999999998</v>
      </c>
      <c r="D128" s="2">
        <v>1</v>
      </c>
      <c r="E128" s="1">
        <v>0</v>
      </c>
      <c r="F128" s="13">
        <f t="shared" si="7"/>
        <v>18.40322937810252</v>
      </c>
      <c r="G128">
        <f t="shared" si="8"/>
        <v>18.402579676997128</v>
      </c>
      <c r="X128" s="1">
        <v>34.466799999999999</v>
      </c>
      <c r="Y128" s="1">
        <v>21665</v>
      </c>
      <c r="Z128" s="1">
        <v>5908.8627999999999</v>
      </c>
      <c r="AA128" s="2">
        <v>53.984200000000001</v>
      </c>
      <c r="AB128" s="13">
        <f t="shared" si="10"/>
        <v>197.93448123385096</v>
      </c>
    </row>
    <row r="129" spans="1:28" x14ac:dyDescent="0.4">
      <c r="A129" s="1">
        <v>34.468600000000002</v>
      </c>
      <c r="B129" s="1">
        <v>98095</v>
      </c>
      <c r="C129" s="1">
        <v>6883.2226000000001</v>
      </c>
      <c r="D129" s="2">
        <v>1</v>
      </c>
      <c r="E129" s="1">
        <v>0</v>
      </c>
      <c r="F129" s="13">
        <f t="shared" si="7"/>
        <v>14.251318851725063</v>
      </c>
      <c r="G129">
        <f t="shared" si="8"/>
        <v>14.250669150619672</v>
      </c>
      <c r="X129" s="1">
        <v>34.467799999999997</v>
      </c>
      <c r="Y129" s="1">
        <v>305156</v>
      </c>
      <c r="Z129" s="1">
        <v>5908.4412000000002</v>
      </c>
      <c r="AA129" s="2">
        <v>1</v>
      </c>
      <c r="AB129" s="13">
        <f t="shared" si="10"/>
        <v>51.647463293702572</v>
      </c>
    </row>
    <row r="130" spans="1:28" x14ac:dyDescent="0.4">
      <c r="A130" s="1">
        <v>34.4696</v>
      </c>
      <c r="B130" s="1">
        <v>77863</v>
      </c>
      <c r="C130" s="1">
        <v>6881.7157999999999</v>
      </c>
      <c r="D130" s="2">
        <v>1</v>
      </c>
      <c r="E130" s="1">
        <v>0</v>
      </c>
      <c r="F130" s="13">
        <f t="shared" si="7"/>
        <v>11.314474800020076</v>
      </c>
      <c r="G130">
        <f t="shared" si="8"/>
        <v>11.313825098914684</v>
      </c>
      <c r="X130" s="1">
        <v>34.468800000000002</v>
      </c>
      <c r="Y130" s="1">
        <v>164088</v>
      </c>
      <c r="Z130" s="1">
        <v>5909.5266000000001</v>
      </c>
      <c r="AA130" s="2">
        <v>1</v>
      </c>
      <c r="AB130" s="13">
        <f t="shared" si="10"/>
        <v>27.766691159322303</v>
      </c>
    </row>
    <row r="131" spans="1:28" x14ac:dyDescent="0.4">
      <c r="A131" s="1">
        <v>34.470599999999997</v>
      </c>
      <c r="B131" s="1">
        <v>64445</v>
      </c>
      <c r="C131" s="1">
        <v>6873.9723000000004</v>
      </c>
      <c r="D131" s="2">
        <v>1</v>
      </c>
      <c r="E131" s="1">
        <v>0</v>
      </c>
      <c r="F131" s="13">
        <f t="shared" si="7"/>
        <v>9.3752196237392464</v>
      </c>
      <c r="G131">
        <f t="shared" si="8"/>
        <v>9.3745699226338548</v>
      </c>
      <c r="X131" s="1">
        <v>34.469799999999999</v>
      </c>
      <c r="Y131" s="1">
        <v>116112</v>
      </c>
      <c r="Z131" s="1">
        <v>5908.4485000000004</v>
      </c>
      <c r="AA131" s="2">
        <v>1</v>
      </c>
      <c r="AB131" s="13">
        <f t="shared" si="10"/>
        <v>19.651859536390983</v>
      </c>
    </row>
    <row r="132" spans="1:28" x14ac:dyDescent="0.4">
      <c r="A132" s="1">
        <v>34.471600000000002</v>
      </c>
      <c r="B132" s="1">
        <v>53640</v>
      </c>
      <c r="C132" s="1">
        <v>6875.0358999999999</v>
      </c>
      <c r="D132" s="2">
        <v>1</v>
      </c>
      <c r="E132" s="1">
        <v>0</v>
      </c>
      <c r="F132" s="13">
        <f t="shared" si="7"/>
        <v>7.8021410768196864</v>
      </c>
      <c r="G132">
        <f t="shared" si="8"/>
        <v>7.8014913757142947</v>
      </c>
      <c r="X132" s="1">
        <v>34.470799999999997</v>
      </c>
      <c r="Y132" s="1">
        <v>89272</v>
      </c>
      <c r="Z132" s="1">
        <v>5906.7192999999997</v>
      </c>
      <c r="AA132" s="2">
        <v>1</v>
      </c>
      <c r="AB132" s="13">
        <f t="shared" si="10"/>
        <v>15.113635076581344</v>
      </c>
    </row>
    <row r="133" spans="1:28" x14ac:dyDescent="0.4">
      <c r="A133" s="1">
        <v>34.4726</v>
      </c>
      <c r="B133" s="1">
        <v>45482</v>
      </c>
      <c r="C133" s="1">
        <v>6870.1779999999999</v>
      </c>
      <c r="D133" s="2">
        <v>1</v>
      </c>
      <c r="E133" s="1">
        <v>0</v>
      </c>
      <c r="F133" s="13">
        <f t="shared" si="7"/>
        <v>6.6202069291363337</v>
      </c>
      <c r="G133">
        <f t="shared" si="8"/>
        <v>6.619557228030942</v>
      </c>
      <c r="X133" s="1">
        <v>34.471800000000002</v>
      </c>
      <c r="Y133" s="1">
        <v>70635</v>
      </c>
      <c r="Z133" s="1">
        <v>5906.4750999999997</v>
      </c>
      <c r="AA133" s="2">
        <v>1</v>
      </c>
      <c r="AB133" s="13">
        <f t="shared" si="10"/>
        <v>11.958909299389072</v>
      </c>
    </row>
    <row r="134" spans="1:28" x14ac:dyDescent="0.4">
      <c r="A134" s="1">
        <v>34.473599999999998</v>
      </c>
      <c r="B134" s="1">
        <v>38606</v>
      </c>
      <c r="C134" s="1">
        <v>6871.3928999999998</v>
      </c>
      <c r="D134" s="2">
        <v>1</v>
      </c>
      <c r="E134" s="1">
        <v>0</v>
      </c>
      <c r="F134" s="13">
        <f t="shared" si="7"/>
        <v>5.6183659647813187</v>
      </c>
      <c r="G134">
        <f t="shared" si="8"/>
        <v>5.617716263675927</v>
      </c>
      <c r="X134" s="1">
        <v>34.472799999999999</v>
      </c>
      <c r="Y134" s="1">
        <v>57976</v>
      </c>
      <c r="Z134" s="1">
        <v>5904.3033999999998</v>
      </c>
      <c r="AA134" s="2">
        <v>1</v>
      </c>
      <c r="AB134" s="13">
        <f t="shared" si="10"/>
        <v>9.8192785960152396</v>
      </c>
    </row>
    <row r="135" spans="1:28" x14ac:dyDescent="0.4">
      <c r="A135" s="1">
        <v>34.474600000000002</v>
      </c>
      <c r="B135" s="1">
        <v>33873</v>
      </c>
      <c r="C135" s="1">
        <v>6871.4701999999997</v>
      </c>
      <c r="D135" s="2">
        <v>1</v>
      </c>
      <c r="E135" s="1">
        <v>0</v>
      </c>
      <c r="F135" s="13">
        <f t="shared" si="7"/>
        <v>4.9295127555090028</v>
      </c>
      <c r="G135">
        <f t="shared" si="8"/>
        <v>4.9288630544036112</v>
      </c>
      <c r="X135" s="1">
        <v>34.473799999999997</v>
      </c>
      <c r="Y135" s="1">
        <v>49280</v>
      </c>
      <c r="Z135" s="1">
        <v>5902.1623</v>
      </c>
      <c r="AA135" s="2">
        <v>1</v>
      </c>
      <c r="AB135" s="13">
        <f t="shared" si="10"/>
        <v>8.3494823583553437</v>
      </c>
    </row>
    <row r="136" spans="1:28" x14ac:dyDescent="0.4">
      <c r="A136" s="1">
        <v>34.4756</v>
      </c>
      <c r="B136" s="1">
        <v>29443</v>
      </c>
      <c r="C136" s="1">
        <v>6866.4245000000001</v>
      </c>
      <c r="D136" s="2">
        <v>1</v>
      </c>
      <c r="E136" s="1">
        <v>0</v>
      </c>
      <c r="F136" s="13">
        <f t="shared" si="7"/>
        <v>4.2879667576625939</v>
      </c>
      <c r="G136">
        <f t="shared" si="8"/>
        <v>4.2873170565572023</v>
      </c>
      <c r="X136" s="1">
        <v>34.474800000000002</v>
      </c>
      <c r="Y136" s="1">
        <v>41441</v>
      </c>
      <c r="Z136" s="1">
        <v>5899.5740999999998</v>
      </c>
      <c r="AA136" s="2">
        <v>1</v>
      </c>
      <c r="AB136" s="13">
        <f t="shared" si="10"/>
        <v>7.0244053719064228</v>
      </c>
    </row>
    <row r="137" spans="1:28" x14ac:dyDescent="0.4">
      <c r="A137" s="1">
        <v>34.476599999999998</v>
      </c>
      <c r="B137" s="1">
        <v>25787</v>
      </c>
      <c r="C137" s="1">
        <v>6863.7105000000001</v>
      </c>
      <c r="D137" s="2">
        <v>1</v>
      </c>
      <c r="E137" s="1">
        <v>0</v>
      </c>
      <c r="F137" s="13">
        <f t="shared" si="7"/>
        <v>3.7570057769773362</v>
      </c>
      <c r="G137">
        <f t="shared" si="8"/>
        <v>3.7563560758719441</v>
      </c>
      <c r="X137" s="1">
        <v>34.4758</v>
      </c>
      <c r="Y137" s="1">
        <v>35115</v>
      </c>
      <c r="Z137" s="1">
        <v>5898.9179000000004</v>
      </c>
      <c r="AA137" s="2">
        <v>1</v>
      </c>
      <c r="AB137" s="13">
        <f t="shared" si="10"/>
        <v>5.9527866966922858</v>
      </c>
    </row>
    <row r="138" spans="1:28" x14ac:dyDescent="0.4">
      <c r="A138" s="1">
        <v>34.477600000000002</v>
      </c>
      <c r="B138" s="1">
        <v>22738</v>
      </c>
      <c r="C138" s="1">
        <v>6868.7115000000003</v>
      </c>
      <c r="D138" s="2">
        <v>1</v>
      </c>
      <c r="E138" s="1">
        <v>0</v>
      </c>
      <c r="F138" s="13">
        <f t="shared" si="7"/>
        <v>3.3103734230211881</v>
      </c>
      <c r="G138">
        <f t="shared" si="8"/>
        <v>3.309723721915796</v>
      </c>
      <c r="X138" s="1">
        <v>34.476799999999997</v>
      </c>
      <c r="Y138" s="1">
        <v>30539</v>
      </c>
      <c r="Z138" s="1">
        <v>5898.6767</v>
      </c>
      <c r="AA138" s="2">
        <v>1</v>
      </c>
      <c r="AB138" s="13">
        <f t="shared" si="10"/>
        <v>5.1772628935571259</v>
      </c>
    </row>
    <row r="139" spans="1:28" x14ac:dyDescent="0.4">
      <c r="A139" s="1">
        <v>34.4786</v>
      </c>
      <c r="B139" s="1">
        <v>20210</v>
      </c>
      <c r="C139" s="1">
        <v>6870.7208000000001</v>
      </c>
      <c r="D139" s="2">
        <v>1</v>
      </c>
      <c r="E139" s="1">
        <v>0</v>
      </c>
      <c r="F139" s="13">
        <f t="shared" si="7"/>
        <v>2.9414672184030533</v>
      </c>
      <c r="G139">
        <f t="shared" si="8"/>
        <v>2.9408175172976612</v>
      </c>
      <c r="X139" s="1">
        <v>34.477800000000002</v>
      </c>
      <c r="Y139" s="1">
        <v>26298</v>
      </c>
      <c r="Z139" s="1">
        <v>5899.1769000000004</v>
      </c>
      <c r="AA139" s="2">
        <v>1</v>
      </c>
      <c r="AB139" s="13">
        <f t="shared" si="10"/>
        <v>4.4579100518243484</v>
      </c>
    </row>
    <row r="140" spans="1:28" x14ac:dyDescent="0.4">
      <c r="A140" s="1">
        <v>34.479599999999998</v>
      </c>
      <c r="B140" s="1">
        <v>18149</v>
      </c>
      <c r="C140" s="1">
        <v>6868.2434000000003</v>
      </c>
      <c r="D140" s="2">
        <v>1</v>
      </c>
      <c r="E140" s="1">
        <v>0</v>
      </c>
      <c r="F140" s="13">
        <f t="shared" si="7"/>
        <v>2.6424514891245701</v>
      </c>
      <c r="G140">
        <f t="shared" si="8"/>
        <v>2.641801788019178</v>
      </c>
      <c r="X140" s="1">
        <v>34.4788</v>
      </c>
      <c r="Y140" s="1">
        <v>23222</v>
      </c>
      <c r="Z140" s="1">
        <v>5898.2758999999996</v>
      </c>
      <c r="AA140" s="2">
        <v>1</v>
      </c>
      <c r="AB140" s="13">
        <f t="shared" si="10"/>
        <v>3.9370826990307459</v>
      </c>
    </row>
    <row r="141" spans="1:28" x14ac:dyDescent="0.4">
      <c r="A141" s="1">
        <v>34.480600000000003</v>
      </c>
      <c r="B141" s="1">
        <v>16283</v>
      </c>
      <c r="C141" s="1">
        <v>6868.9441999999999</v>
      </c>
      <c r="D141" s="2">
        <v>1</v>
      </c>
      <c r="E141" s="1">
        <v>0</v>
      </c>
      <c r="F141" s="13">
        <f t="shared" si="7"/>
        <v>2.3705244249909616</v>
      </c>
      <c r="G141">
        <f t="shared" si="8"/>
        <v>2.3698747238855695</v>
      </c>
      <c r="X141" s="1">
        <v>34.479799999999997</v>
      </c>
      <c r="Y141" s="1">
        <v>20462</v>
      </c>
      <c r="Z141" s="1">
        <v>5894.1019999999999</v>
      </c>
      <c r="AA141" s="2">
        <v>1</v>
      </c>
      <c r="AB141" s="13">
        <f t="shared" si="10"/>
        <v>3.4716060224271654</v>
      </c>
    </row>
    <row r="142" spans="1:28" x14ac:dyDescent="0.4">
      <c r="A142" s="1">
        <v>34.4816</v>
      </c>
      <c r="B142" s="1">
        <v>14845</v>
      </c>
      <c r="C142" s="1">
        <v>6873.1859999999997</v>
      </c>
      <c r="D142" s="2">
        <v>1</v>
      </c>
      <c r="E142" s="1">
        <v>0</v>
      </c>
      <c r="F142" s="13">
        <f t="shared" si="7"/>
        <v>2.159842611563255</v>
      </c>
      <c r="G142">
        <f t="shared" si="8"/>
        <v>2.1591929104578629</v>
      </c>
      <c r="X142" s="1">
        <v>34.480800000000002</v>
      </c>
      <c r="Y142" s="1">
        <v>18148</v>
      </c>
      <c r="Z142" s="1">
        <v>5894.7115999999996</v>
      </c>
      <c r="AA142" s="2">
        <v>1</v>
      </c>
      <c r="AB142" s="13">
        <f t="shared" si="10"/>
        <v>3.0786917548264787</v>
      </c>
    </row>
    <row r="143" spans="1:28" x14ac:dyDescent="0.4">
      <c r="A143" s="1">
        <v>34.482599999999998</v>
      </c>
      <c r="B143" s="1">
        <v>13542</v>
      </c>
      <c r="C143" s="1">
        <v>6870.5317999999997</v>
      </c>
      <c r="D143" s="2">
        <v>1</v>
      </c>
      <c r="E143" s="1">
        <v>0</v>
      </c>
      <c r="F143" s="13">
        <f t="shared" si="7"/>
        <v>1.9710264640649797</v>
      </c>
      <c r="G143">
        <f t="shared" si="8"/>
        <v>1.9703767629595876</v>
      </c>
      <c r="X143" s="1">
        <v>34.4818</v>
      </c>
      <c r="Y143" s="1">
        <v>16440</v>
      </c>
      <c r="Z143" s="1">
        <v>5894.1354000000001</v>
      </c>
      <c r="AA143" s="2">
        <v>1</v>
      </c>
      <c r="AB143" s="13">
        <f t="shared" si="10"/>
        <v>2.7892131558430098</v>
      </c>
    </row>
    <row r="144" spans="1:28" x14ac:dyDescent="0.4">
      <c r="A144" s="1">
        <v>34.483600000000003</v>
      </c>
      <c r="B144" s="1">
        <v>11981</v>
      </c>
      <c r="C144" s="1">
        <v>6871.4694</v>
      </c>
      <c r="D144" s="2">
        <v>1</v>
      </c>
      <c r="E144" s="1">
        <v>0</v>
      </c>
      <c r="F144" s="13">
        <f t="shared" si="7"/>
        <v>1.7435863135765401</v>
      </c>
      <c r="G144">
        <f t="shared" si="8"/>
        <v>1.7429366124711481</v>
      </c>
      <c r="X144" s="1">
        <v>34.482799999999997</v>
      </c>
      <c r="Y144" s="1">
        <v>14718</v>
      </c>
      <c r="Z144" s="1">
        <v>5894.4169000000002</v>
      </c>
      <c r="AA144" s="2">
        <v>1</v>
      </c>
      <c r="AB144" s="13">
        <f t="shared" si="10"/>
        <v>2.496939095027364</v>
      </c>
    </row>
    <row r="145" spans="1:28" x14ac:dyDescent="0.4">
      <c r="A145" s="1">
        <v>34.4846</v>
      </c>
      <c r="B145" s="1">
        <v>10607</v>
      </c>
      <c r="C145" s="1">
        <v>6870.0931</v>
      </c>
      <c r="D145" s="2">
        <v>1</v>
      </c>
      <c r="E145" s="1">
        <v>0</v>
      </c>
      <c r="F145" s="13">
        <f t="shared" si="7"/>
        <v>1.5439383201371755</v>
      </c>
      <c r="G145">
        <f t="shared" si="8"/>
        <v>1.5432886190317834</v>
      </c>
      <c r="X145" s="1">
        <v>34.483800000000002</v>
      </c>
      <c r="Y145" s="1">
        <v>13315</v>
      </c>
      <c r="Z145" s="1">
        <v>5892.1764000000003</v>
      </c>
      <c r="AA145" s="2">
        <v>1</v>
      </c>
      <c r="AB145" s="13">
        <f t="shared" si="10"/>
        <v>2.2597762008618751</v>
      </c>
    </row>
    <row r="146" spans="1:28" x14ac:dyDescent="0.4">
      <c r="A146" s="1">
        <v>34.485599999999998</v>
      </c>
      <c r="B146" s="1">
        <v>9343</v>
      </c>
      <c r="C146" s="1">
        <v>6873.7016999999996</v>
      </c>
      <c r="D146" s="2">
        <v>1</v>
      </c>
      <c r="E146" s="1">
        <v>0</v>
      </c>
      <c r="F146" s="13">
        <f t="shared" si="7"/>
        <v>1.3592385017231692</v>
      </c>
      <c r="G146">
        <f t="shared" si="8"/>
        <v>1.3585888006177771</v>
      </c>
      <c r="X146" s="1">
        <v>34.4848</v>
      </c>
      <c r="Y146" s="1">
        <v>12186</v>
      </c>
      <c r="Z146" s="1">
        <v>5892.2287999999999</v>
      </c>
      <c r="AA146" s="2">
        <v>1</v>
      </c>
      <c r="AB146" s="13">
        <f t="shared" si="10"/>
        <v>2.0681477949396672</v>
      </c>
    </row>
    <row r="147" spans="1:28" x14ac:dyDescent="0.4">
      <c r="A147" s="1">
        <v>34.486600000000003</v>
      </c>
      <c r="B147" s="1">
        <v>8093</v>
      </c>
      <c r="C147" s="1">
        <v>6872.0146000000004</v>
      </c>
      <c r="D147" s="2">
        <v>1</v>
      </c>
      <c r="E147" s="1">
        <v>0</v>
      </c>
      <c r="F147" s="13">
        <f t="shared" si="7"/>
        <v>1.1776750299686498</v>
      </c>
      <c r="G147">
        <f t="shared" si="8"/>
        <v>1.1770253288632577</v>
      </c>
      <c r="X147" s="1">
        <v>34.485799999999998</v>
      </c>
      <c r="Y147" s="1">
        <v>11029</v>
      </c>
      <c r="Z147" s="1">
        <v>5892.4358000000002</v>
      </c>
      <c r="AA147" s="2">
        <v>1</v>
      </c>
      <c r="AB147" s="13">
        <f t="shared" si="10"/>
        <v>1.8717217080243793</v>
      </c>
    </row>
    <row r="148" spans="1:28" x14ac:dyDescent="0.4">
      <c r="A148" s="1">
        <v>34.4876</v>
      </c>
      <c r="B148" s="1">
        <v>7041</v>
      </c>
      <c r="C148" s="1">
        <v>6870.9565000000002</v>
      </c>
      <c r="D148" s="2">
        <v>1</v>
      </c>
      <c r="E148" s="1">
        <v>0</v>
      </c>
      <c r="F148" s="13">
        <f t="shared" si="7"/>
        <v>1.0247481555151745</v>
      </c>
      <c r="G148">
        <f t="shared" si="8"/>
        <v>1.0240984544097824</v>
      </c>
      <c r="X148" s="1">
        <v>34.486800000000002</v>
      </c>
      <c r="Y148" s="1">
        <v>9957</v>
      </c>
      <c r="Z148" s="1">
        <v>5893.1116000000002</v>
      </c>
      <c r="AA148" s="2">
        <v>1</v>
      </c>
      <c r="AB148" s="13">
        <f t="shared" si="10"/>
        <v>1.6895997693306877</v>
      </c>
    </row>
    <row r="149" spans="1:28" x14ac:dyDescent="0.4">
      <c r="A149" s="1">
        <v>34.488599999999998</v>
      </c>
      <c r="B149" s="1">
        <v>5920</v>
      </c>
      <c r="C149" s="1">
        <v>6868.8280999999997</v>
      </c>
      <c r="D149" s="2">
        <v>1</v>
      </c>
      <c r="E149" s="1">
        <v>0</v>
      </c>
      <c r="F149" s="13">
        <f t="shared" ref="F149:F212" si="12">B149/C149*D149</f>
        <v>0.86186463161015781</v>
      </c>
      <c r="G149">
        <f t="shared" ref="G149:G212" si="13">F149-$M$101</f>
        <v>0.86121493050476572</v>
      </c>
      <c r="X149" s="1">
        <v>34.4878</v>
      </c>
      <c r="Y149" s="1">
        <v>8738</v>
      </c>
      <c r="Z149" s="1">
        <v>5892.4431000000004</v>
      </c>
      <c r="AA149" s="2">
        <v>1</v>
      </c>
      <c r="AB149" s="13">
        <f t="shared" ref="AB149:AB212" si="14">Y149/Z149*AA149</f>
        <v>1.4829163136085268</v>
      </c>
    </row>
    <row r="150" spans="1:28" x14ac:dyDescent="0.4">
      <c r="A150" s="1">
        <v>34.489600000000003</v>
      </c>
      <c r="B150" s="1">
        <v>5150</v>
      </c>
      <c r="C150" s="1">
        <v>6865.9642000000003</v>
      </c>
      <c r="D150" s="2">
        <v>1</v>
      </c>
      <c r="E150" s="1">
        <v>0</v>
      </c>
      <c r="F150" s="13">
        <f t="shared" si="12"/>
        <v>0.75007673357807481</v>
      </c>
      <c r="G150">
        <f t="shared" si="13"/>
        <v>0.74942703247268272</v>
      </c>
      <c r="X150" s="1">
        <v>34.488799999999998</v>
      </c>
      <c r="Y150" s="1">
        <v>7731</v>
      </c>
      <c r="Z150" s="1">
        <v>5894.0892999999996</v>
      </c>
      <c r="AA150" s="2">
        <v>1</v>
      </c>
      <c r="AB150" s="13">
        <f t="shared" si="14"/>
        <v>1.311653014826226</v>
      </c>
    </row>
    <row r="151" spans="1:28" x14ac:dyDescent="0.4">
      <c r="A151" s="1">
        <v>34.490600000000001</v>
      </c>
      <c r="B151" s="1">
        <v>4416</v>
      </c>
      <c r="C151" s="1">
        <v>6866.5267000000003</v>
      </c>
      <c r="D151" s="2">
        <v>1</v>
      </c>
      <c r="E151" s="1">
        <v>0</v>
      </c>
      <c r="F151" s="13">
        <f t="shared" si="12"/>
        <v>0.64311990514796946</v>
      </c>
      <c r="G151">
        <f t="shared" si="13"/>
        <v>0.64247020404257738</v>
      </c>
      <c r="X151" s="1">
        <v>34.489800000000002</v>
      </c>
      <c r="Y151" s="1">
        <v>6874</v>
      </c>
      <c r="Z151" s="1">
        <v>5893.7545</v>
      </c>
      <c r="AA151" s="2">
        <v>1</v>
      </c>
      <c r="AB151" s="13">
        <f t="shared" si="14"/>
        <v>1.1663193639979406</v>
      </c>
    </row>
    <row r="152" spans="1:28" x14ac:dyDescent="0.4">
      <c r="A152" s="1">
        <v>34.491599999999998</v>
      </c>
      <c r="B152" s="1">
        <v>3823</v>
      </c>
      <c r="C152" s="1">
        <v>6866.5616</v>
      </c>
      <c r="D152" s="2">
        <v>1</v>
      </c>
      <c r="E152" s="1">
        <v>0</v>
      </c>
      <c r="F152" s="13">
        <f t="shared" si="12"/>
        <v>0.5567560917242772</v>
      </c>
      <c r="G152">
        <f t="shared" si="13"/>
        <v>0.55610639061888512</v>
      </c>
      <c r="X152" s="1">
        <v>34.4908</v>
      </c>
      <c r="Y152" s="1">
        <v>6045</v>
      </c>
      <c r="Z152" s="1">
        <v>5896.9616999999998</v>
      </c>
      <c r="AA152" s="2">
        <v>1</v>
      </c>
      <c r="AB152" s="13">
        <f t="shared" si="14"/>
        <v>1.0251041650821644</v>
      </c>
    </row>
    <row r="153" spans="1:28" x14ac:dyDescent="0.4">
      <c r="A153" s="1">
        <v>34.492600000000003</v>
      </c>
      <c r="B153" s="1">
        <v>3209</v>
      </c>
      <c r="C153" s="1">
        <v>6861.9881999999998</v>
      </c>
      <c r="D153" s="2">
        <v>1</v>
      </c>
      <c r="E153" s="1">
        <v>0</v>
      </c>
      <c r="F153" s="13">
        <f t="shared" si="12"/>
        <v>0.46764872023533938</v>
      </c>
      <c r="G153">
        <f t="shared" si="13"/>
        <v>0.46699901912994729</v>
      </c>
      <c r="X153" s="1">
        <v>34.491799999999998</v>
      </c>
      <c r="Y153" s="1">
        <v>5262</v>
      </c>
      <c r="Z153" s="1">
        <v>5895.4236000000001</v>
      </c>
      <c r="AA153" s="2">
        <v>1</v>
      </c>
      <c r="AB153" s="13">
        <f t="shared" si="14"/>
        <v>0.89255672823917176</v>
      </c>
    </row>
    <row r="154" spans="1:28" x14ac:dyDescent="0.4">
      <c r="A154" s="1">
        <v>34.493600000000001</v>
      </c>
      <c r="B154" s="1">
        <v>2572</v>
      </c>
      <c r="C154" s="1">
        <v>6859.5133999999998</v>
      </c>
      <c r="D154" s="2">
        <v>1</v>
      </c>
      <c r="E154" s="1">
        <v>0</v>
      </c>
      <c r="F154" s="13">
        <f t="shared" si="12"/>
        <v>0.3749537102733847</v>
      </c>
      <c r="G154">
        <f t="shared" si="13"/>
        <v>0.37430400916799261</v>
      </c>
      <c r="X154" s="1">
        <v>34.492800000000003</v>
      </c>
      <c r="Y154" s="1">
        <v>4496</v>
      </c>
      <c r="Z154" s="1">
        <v>5897.0003999999999</v>
      </c>
      <c r="AA154" s="2">
        <v>1</v>
      </c>
      <c r="AB154" s="13">
        <f t="shared" si="14"/>
        <v>0.76242151857408724</v>
      </c>
    </row>
    <row r="155" spans="1:28" x14ac:dyDescent="0.4">
      <c r="A155" s="1">
        <v>34.494599999999998</v>
      </c>
      <c r="B155" s="1">
        <v>2174</v>
      </c>
      <c r="C155" s="1">
        <v>6859.9031999999997</v>
      </c>
      <c r="D155" s="2">
        <v>1</v>
      </c>
      <c r="E155" s="1">
        <v>0</v>
      </c>
      <c r="F155" s="13">
        <f t="shared" si="12"/>
        <v>0.31691409289857037</v>
      </c>
      <c r="G155">
        <f t="shared" si="13"/>
        <v>0.31626439179317828</v>
      </c>
      <c r="X155" s="1">
        <v>34.4938</v>
      </c>
      <c r="Y155" s="1">
        <v>3850</v>
      </c>
      <c r="Z155" s="1">
        <v>5898.5634</v>
      </c>
      <c r="AA155" s="2">
        <v>1</v>
      </c>
      <c r="AB155" s="13">
        <f t="shared" si="14"/>
        <v>0.65270130011656735</v>
      </c>
    </row>
    <row r="156" spans="1:28" x14ac:dyDescent="0.4">
      <c r="A156" s="1">
        <v>34.495600000000003</v>
      </c>
      <c r="B156" s="1">
        <v>1779</v>
      </c>
      <c r="C156" s="1">
        <v>6858.1297999999997</v>
      </c>
      <c r="D156" s="2">
        <v>1</v>
      </c>
      <c r="E156" s="1">
        <v>0</v>
      </c>
      <c r="F156" s="13">
        <f t="shared" si="12"/>
        <v>0.2594001647504543</v>
      </c>
      <c r="G156">
        <f t="shared" si="13"/>
        <v>0.25875046364506221</v>
      </c>
      <c r="X156" s="1">
        <v>34.494799999999998</v>
      </c>
      <c r="Y156" s="1">
        <v>3315</v>
      </c>
      <c r="Z156" s="1">
        <v>5897.6404000000002</v>
      </c>
      <c r="AA156" s="2">
        <v>1</v>
      </c>
      <c r="AB156" s="13">
        <f t="shared" si="14"/>
        <v>0.56208920435365983</v>
      </c>
    </row>
    <row r="157" spans="1:28" x14ac:dyDescent="0.4">
      <c r="A157" s="1">
        <v>34.496600000000001</v>
      </c>
      <c r="B157" s="1">
        <v>1500</v>
      </c>
      <c r="C157" s="1">
        <v>6856.2380999999996</v>
      </c>
      <c r="D157" s="2">
        <v>1</v>
      </c>
      <c r="E157" s="1">
        <v>0</v>
      </c>
      <c r="F157" s="13">
        <f t="shared" si="12"/>
        <v>0.2187788665040673</v>
      </c>
      <c r="G157">
        <f t="shared" si="13"/>
        <v>0.21812916539867522</v>
      </c>
      <c r="X157" s="1">
        <v>34.495800000000003</v>
      </c>
      <c r="Y157" s="1">
        <v>2870</v>
      </c>
      <c r="Z157" s="1">
        <v>5898.6976999999997</v>
      </c>
      <c r="AA157" s="2">
        <v>1</v>
      </c>
      <c r="AB157" s="13">
        <f t="shared" si="14"/>
        <v>0.48654807314502657</v>
      </c>
    </row>
    <row r="158" spans="1:28" x14ac:dyDescent="0.4">
      <c r="A158" s="1">
        <v>34.497599999999998</v>
      </c>
      <c r="B158" s="1">
        <v>1397</v>
      </c>
      <c r="C158" s="1">
        <v>6858.0304999999998</v>
      </c>
      <c r="D158" s="2">
        <v>1</v>
      </c>
      <c r="E158" s="1">
        <v>0</v>
      </c>
      <c r="F158" s="13">
        <f t="shared" si="12"/>
        <v>0.20370279776387695</v>
      </c>
      <c r="G158">
        <f t="shared" si="13"/>
        <v>0.20305309665848487</v>
      </c>
      <c r="X158" s="1">
        <v>34.4968</v>
      </c>
      <c r="Y158" s="1">
        <v>2498</v>
      </c>
      <c r="Z158" s="1">
        <v>5898.0083999999997</v>
      </c>
      <c r="AA158" s="2">
        <v>1</v>
      </c>
      <c r="AB158" s="13">
        <f t="shared" si="14"/>
        <v>0.42353279795261062</v>
      </c>
    </row>
    <row r="159" spans="1:28" x14ac:dyDescent="0.4">
      <c r="A159" s="1">
        <v>34.498600000000003</v>
      </c>
      <c r="B159" s="1">
        <v>1162</v>
      </c>
      <c r="C159" s="1">
        <v>6855.5757000000003</v>
      </c>
      <c r="D159" s="2">
        <v>1</v>
      </c>
      <c r="E159" s="1">
        <v>0</v>
      </c>
      <c r="F159" s="13">
        <f t="shared" si="12"/>
        <v>0.16949707082951471</v>
      </c>
      <c r="G159">
        <f t="shared" si="13"/>
        <v>0.16884736972412262</v>
      </c>
      <c r="X159" s="1">
        <v>34.497799999999998</v>
      </c>
      <c r="Y159" s="1">
        <v>2051</v>
      </c>
      <c r="Z159" s="1">
        <v>5897.4778999999999</v>
      </c>
      <c r="AA159" s="2">
        <v>1</v>
      </c>
      <c r="AB159" s="13">
        <f t="shared" si="14"/>
        <v>0.34777578394994918</v>
      </c>
    </row>
    <row r="160" spans="1:28" x14ac:dyDescent="0.4">
      <c r="A160" s="1">
        <v>34.499600000000001</v>
      </c>
      <c r="B160" s="1">
        <v>1003</v>
      </c>
      <c r="C160" s="1">
        <v>6855.2314999999999</v>
      </c>
      <c r="D160" s="2">
        <v>1</v>
      </c>
      <c r="E160" s="1">
        <v>0</v>
      </c>
      <c r="F160" s="13">
        <f t="shared" si="12"/>
        <v>0.14631161617226202</v>
      </c>
      <c r="G160">
        <f t="shared" si="13"/>
        <v>0.14566191506686993</v>
      </c>
      <c r="X160" s="1">
        <v>34.498800000000003</v>
      </c>
      <c r="Y160" s="1">
        <v>1586</v>
      </c>
      <c r="Z160" s="1">
        <v>5896.6615000000002</v>
      </c>
      <c r="AA160" s="2">
        <v>1</v>
      </c>
      <c r="AB160" s="13">
        <f t="shared" si="14"/>
        <v>0.26896575290950647</v>
      </c>
    </row>
    <row r="161" spans="1:28" x14ac:dyDescent="0.4">
      <c r="A161" s="1">
        <v>34.500599999999999</v>
      </c>
      <c r="B161" s="1">
        <v>900</v>
      </c>
      <c r="C161" s="1">
        <v>6852.1453000000001</v>
      </c>
      <c r="D161" s="2">
        <v>1</v>
      </c>
      <c r="E161" s="1">
        <v>0</v>
      </c>
      <c r="F161" s="13">
        <f t="shared" si="12"/>
        <v>0.13134572613339066</v>
      </c>
      <c r="G161">
        <f t="shared" si="13"/>
        <v>0.13069602502799857</v>
      </c>
      <c r="X161" s="1">
        <v>34.4998</v>
      </c>
      <c r="Y161" s="1">
        <v>1334</v>
      </c>
      <c r="Z161" s="1">
        <v>5895.4948000000004</v>
      </c>
      <c r="AA161" s="2">
        <v>1</v>
      </c>
      <c r="AB161" s="13">
        <f t="shared" si="14"/>
        <v>0.22627447657149996</v>
      </c>
    </row>
    <row r="162" spans="1:28" x14ac:dyDescent="0.4">
      <c r="A162" s="1">
        <v>34.501600000000003</v>
      </c>
      <c r="B162" s="1">
        <v>870</v>
      </c>
      <c r="C162" s="1">
        <v>6850.1711999999998</v>
      </c>
      <c r="D162" s="2">
        <v>1</v>
      </c>
      <c r="E162" s="1">
        <v>0</v>
      </c>
      <c r="F162" s="13">
        <f t="shared" si="12"/>
        <v>0.12700412509398307</v>
      </c>
      <c r="G162">
        <f t="shared" si="13"/>
        <v>0.12635442398859098</v>
      </c>
      <c r="X162" s="1">
        <v>34.500799999999998</v>
      </c>
      <c r="Y162" s="1">
        <v>1202</v>
      </c>
      <c r="Z162" s="1">
        <v>5895.1129000000001</v>
      </c>
      <c r="AA162" s="2">
        <v>1</v>
      </c>
      <c r="AB162" s="13">
        <f t="shared" si="14"/>
        <v>0.20389770652229577</v>
      </c>
    </row>
    <row r="163" spans="1:28" x14ac:dyDescent="0.4">
      <c r="A163" s="1">
        <v>34.502600000000001</v>
      </c>
      <c r="B163" s="1">
        <v>806</v>
      </c>
      <c r="C163" s="1">
        <v>6849.5041000000001</v>
      </c>
      <c r="D163" s="2">
        <v>1</v>
      </c>
      <c r="E163" s="1">
        <v>0</v>
      </c>
      <c r="F163" s="13">
        <f t="shared" si="12"/>
        <v>0.1176727523967757</v>
      </c>
      <c r="G163">
        <f t="shared" si="13"/>
        <v>0.11702305129138363</v>
      </c>
      <c r="X163" s="1">
        <v>34.501800000000003</v>
      </c>
      <c r="Y163" s="1">
        <v>1006</v>
      </c>
      <c r="Z163" s="1">
        <v>5893.9174000000003</v>
      </c>
      <c r="AA163" s="2">
        <v>1</v>
      </c>
      <c r="AB163" s="13">
        <f t="shared" si="14"/>
        <v>0.17068444155664617</v>
      </c>
    </row>
    <row r="164" spans="1:28" x14ac:dyDescent="0.4">
      <c r="A164" s="1">
        <v>34.503599999999999</v>
      </c>
      <c r="B164" s="1">
        <v>749</v>
      </c>
      <c r="C164" s="1">
        <v>6852.1435000000001</v>
      </c>
      <c r="D164" s="2">
        <v>1</v>
      </c>
      <c r="E164" s="1">
        <v>0</v>
      </c>
      <c r="F164" s="13">
        <f t="shared" si="12"/>
        <v>0.10930886079662518</v>
      </c>
      <c r="G164">
        <f t="shared" si="13"/>
        <v>0.1086591596912331</v>
      </c>
      <c r="X164" s="1">
        <v>34.502800000000001</v>
      </c>
      <c r="Y164" s="1">
        <v>895</v>
      </c>
      <c r="Z164" s="1">
        <v>5891.5919999999996</v>
      </c>
      <c r="AA164" s="2">
        <v>1</v>
      </c>
      <c r="AB164" s="13">
        <f t="shared" si="14"/>
        <v>0.15191140187575786</v>
      </c>
    </row>
    <row r="165" spans="1:28" x14ac:dyDescent="0.4">
      <c r="A165" s="1">
        <v>34.504600000000003</v>
      </c>
      <c r="B165" s="1">
        <v>691</v>
      </c>
      <c r="C165" s="1">
        <v>6850.8532999999998</v>
      </c>
      <c r="D165" s="2">
        <v>1</v>
      </c>
      <c r="E165" s="1">
        <v>0</v>
      </c>
      <c r="F165" s="13">
        <f t="shared" si="12"/>
        <v>0.10086334792776835</v>
      </c>
      <c r="G165">
        <f t="shared" si="13"/>
        <v>0.10021364682237628</v>
      </c>
      <c r="X165" s="1">
        <v>34.503799999999998</v>
      </c>
      <c r="Y165" s="1">
        <v>762</v>
      </c>
      <c r="Z165" s="1">
        <v>5891.8055000000004</v>
      </c>
      <c r="AA165" s="2">
        <v>1</v>
      </c>
      <c r="AB165" s="13">
        <f t="shared" si="14"/>
        <v>0.12933217160681898</v>
      </c>
    </row>
    <row r="166" spans="1:28" x14ac:dyDescent="0.4">
      <c r="A166" s="1">
        <v>34.505600000000001</v>
      </c>
      <c r="B166" s="1">
        <v>706</v>
      </c>
      <c r="C166" s="1">
        <v>6848.7174999999997</v>
      </c>
      <c r="D166" s="2">
        <v>1</v>
      </c>
      <c r="E166" s="1">
        <v>0</v>
      </c>
      <c r="F166" s="13">
        <f t="shared" si="12"/>
        <v>0.10308499365027102</v>
      </c>
      <c r="G166">
        <f t="shared" si="13"/>
        <v>0.10243529254487894</v>
      </c>
      <c r="X166" s="1">
        <v>34.504800000000003</v>
      </c>
      <c r="Y166" s="1">
        <v>698</v>
      </c>
      <c r="Z166" s="1">
        <v>5889.8972000000003</v>
      </c>
      <c r="AA166" s="2">
        <v>1</v>
      </c>
      <c r="AB166" s="13">
        <f t="shared" si="14"/>
        <v>0.11850801063217198</v>
      </c>
    </row>
    <row r="167" spans="1:28" x14ac:dyDescent="0.4">
      <c r="A167" s="1">
        <v>34.506599999999999</v>
      </c>
      <c r="B167" s="1">
        <v>678</v>
      </c>
      <c r="C167" s="1">
        <v>6850.7974999999997</v>
      </c>
      <c r="D167" s="2">
        <v>1</v>
      </c>
      <c r="E167" s="1">
        <v>0</v>
      </c>
      <c r="F167" s="13">
        <f t="shared" si="12"/>
        <v>9.8966580168221296E-2</v>
      </c>
      <c r="G167">
        <f t="shared" si="13"/>
        <v>9.8316879062829224E-2</v>
      </c>
      <c r="X167" s="1">
        <v>34.505800000000001</v>
      </c>
      <c r="Y167" s="1">
        <v>650</v>
      </c>
      <c r="Z167" s="1">
        <v>5888.7412000000004</v>
      </c>
      <c r="AA167" s="2">
        <v>1</v>
      </c>
      <c r="AB167" s="13">
        <f t="shared" si="14"/>
        <v>0.11038012674083894</v>
      </c>
    </row>
    <row r="168" spans="1:28" x14ac:dyDescent="0.4">
      <c r="A168" s="1">
        <v>34.507599999999996</v>
      </c>
      <c r="B168" s="1">
        <v>589</v>
      </c>
      <c r="C168" s="1">
        <v>6850.3226000000004</v>
      </c>
      <c r="D168" s="2">
        <v>1</v>
      </c>
      <c r="E168" s="1">
        <v>0</v>
      </c>
      <c r="F168" s="13">
        <f t="shared" si="12"/>
        <v>8.598135217748723E-2</v>
      </c>
      <c r="G168">
        <f t="shared" si="13"/>
        <v>8.5331651072095158E-2</v>
      </c>
      <c r="X168" s="1">
        <v>34.506799999999998</v>
      </c>
      <c r="Y168" s="1">
        <v>627</v>
      </c>
      <c r="Z168" s="1">
        <v>5885.1016</v>
      </c>
      <c r="AA168" s="2">
        <v>1</v>
      </c>
      <c r="AB168" s="13">
        <f t="shared" si="14"/>
        <v>0.10654021673984354</v>
      </c>
    </row>
    <row r="169" spans="1:28" x14ac:dyDescent="0.4">
      <c r="A169" s="1">
        <v>34.508600000000001</v>
      </c>
      <c r="B169" s="1">
        <v>619</v>
      </c>
      <c r="C169" s="1">
        <v>6848.0171</v>
      </c>
      <c r="D169" s="2">
        <v>1</v>
      </c>
      <c r="E169" s="1">
        <v>0</v>
      </c>
      <c r="F169" s="13">
        <f t="shared" si="12"/>
        <v>9.0391129426356132E-2</v>
      </c>
      <c r="G169">
        <f t="shared" si="13"/>
        <v>8.9741428320964059E-2</v>
      </c>
      <c r="X169" s="1">
        <v>34.507800000000003</v>
      </c>
      <c r="Y169" s="1">
        <v>582</v>
      </c>
      <c r="Z169" s="1">
        <v>5885.1265999999996</v>
      </c>
      <c r="AA169" s="2">
        <v>1</v>
      </c>
      <c r="AB169" s="13">
        <f t="shared" si="14"/>
        <v>9.8893369600579206E-2</v>
      </c>
    </row>
    <row r="170" spans="1:28" x14ac:dyDescent="0.4">
      <c r="A170" s="1">
        <v>34.509599999999999</v>
      </c>
      <c r="B170" s="1">
        <v>605</v>
      </c>
      <c r="C170" s="1">
        <v>6847.5236999999997</v>
      </c>
      <c r="D170" s="2">
        <v>1</v>
      </c>
      <c r="E170" s="1">
        <v>0</v>
      </c>
      <c r="F170" s="13">
        <f t="shared" si="12"/>
        <v>8.8353107854157564E-2</v>
      </c>
      <c r="G170">
        <f t="shared" si="13"/>
        <v>8.7703406748765492E-2</v>
      </c>
      <c r="X170" s="1">
        <v>34.508800000000001</v>
      </c>
      <c r="Y170" s="1">
        <v>544</v>
      </c>
      <c r="Z170" s="1">
        <v>5886.7407000000003</v>
      </c>
      <c r="AA170" s="2">
        <v>1</v>
      </c>
      <c r="AB170" s="13">
        <f t="shared" si="14"/>
        <v>9.2411068827950915E-2</v>
      </c>
    </row>
    <row r="171" spans="1:28" x14ac:dyDescent="0.4">
      <c r="A171" s="1">
        <v>34.510599999999997</v>
      </c>
      <c r="B171" s="1">
        <v>586</v>
      </c>
      <c r="C171" s="1">
        <v>6847.3991999999998</v>
      </c>
      <c r="D171" s="2">
        <v>1</v>
      </c>
      <c r="E171" s="1">
        <v>0</v>
      </c>
      <c r="F171" s="13">
        <f t="shared" si="12"/>
        <v>8.5579938146442519E-2</v>
      </c>
      <c r="G171">
        <f t="shared" si="13"/>
        <v>8.4930237041050446E-2</v>
      </c>
      <c r="X171" s="1">
        <v>34.509799999999998</v>
      </c>
      <c r="Y171" s="1">
        <v>498</v>
      </c>
      <c r="Z171" s="1">
        <v>5886.0388000000003</v>
      </c>
      <c r="AA171" s="2">
        <v>1</v>
      </c>
      <c r="AB171" s="13">
        <f t="shared" si="14"/>
        <v>8.4606985601250198E-2</v>
      </c>
    </row>
    <row r="172" spans="1:28" x14ac:dyDescent="0.4">
      <c r="A172" s="1">
        <v>34.511600000000001</v>
      </c>
      <c r="B172" s="1">
        <v>512</v>
      </c>
      <c r="C172" s="1">
        <v>6845.6135999999997</v>
      </c>
      <c r="D172" s="2">
        <v>1</v>
      </c>
      <c r="E172" s="1">
        <v>0</v>
      </c>
      <c r="F172" s="13">
        <f t="shared" si="12"/>
        <v>7.4792418900184496E-2</v>
      </c>
      <c r="G172">
        <f t="shared" si="13"/>
        <v>7.4142717794792423E-2</v>
      </c>
      <c r="X172" s="1">
        <v>34.510800000000003</v>
      </c>
      <c r="Y172" s="1">
        <v>511</v>
      </c>
      <c r="Z172" s="1">
        <v>5883.1176999999998</v>
      </c>
      <c r="AA172" s="2">
        <v>1</v>
      </c>
      <c r="AB172" s="13">
        <f t="shared" si="14"/>
        <v>8.6858707586285416E-2</v>
      </c>
    </row>
    <row r="173" spans="1:28" x14ac:dyDescent="0.4">
      <c r="A173" s="1">
        <v>34.512599999999999</v>
      </c>
      <c r="B173" s="1">
        <v>550</v>
      </c>
      <c r="C173" s="1">
        <v>6842.5627000000004</v>
      </c>
      <c r="D173" s="2">
        <v>1</v>
      </c>
      <c r="E173" s="1">
        <v>0</v>
      </c>
      <c r="F173" s="13">
        <f t="shared" si="12"/>
        <v>8.0379241537677101E-2</v>
      </c>
      <c r="G173">
        <f t="shared" si="13"/>
        <v>7.9729540432285029E-2</v>
      </c>
      <c r="X173" s="1">
        <v>34.511800000000001</v>
      </c>
      <c r="Y173" s="1">
        <v>485</v>
      </c>
      <c r="Z173" s="1">
        <v>5879.62</v>
      </c>
      <c r="AA173" s="2">
        <v>1</v>
      </c>
      <c r="AB173" s="13">
        <f t="shared" si="14"/>
        <v>8.248832407536541E-2</v>
      </c>
    </row>
    <row r="174" spans="1:28" x14ac:dyDescent="0.4">
      <c r="A174" s="1">
        <v>34.513599999999997</v>
      </c>
      <c r="B174" s="1">
        <v>462</v>
      </c>
      <c r="C174" s="1">
        <v>6843.9078</v>
      </c>
      <c r="D174" s="2">
        <v>1</v>
      </c>
      <c r="E174" s="1">
        <v>0</v>
      </c>
      <c r="F174" s="13">
        <f t="shared" si="12"/>
        <v>6.750529280946771E-2</v>
      </c>
      <c r="G174">
        <f t="shared" si="13"/>
        <v>6.6855591704075637E-2</v>
      </c>
      <c r="X174" s="1">
        <v>34.512799999999999</v>
      </c>
      <c r="Y174" s="1">
        <v>508</v>
      </c>
      <c r="Z174" s="1">
        <v>5882.1527999999998</v>
      </c>
      <c r="AA174" s="2">
        <v>1</v>
      </c>
      <c r="AB174" s="13">
        <f t="shared" si="14"/>
        <v>8.6362938412616552E-2</v>
      </c>
    </row>
    <row r="175" spans="1:28" x14ac:dyDescent="0.4">
      <c r="A175" s="1">
        <v>34.514600000000002</v>
      </c>
      <c r="B175" s="1">
        <v>440</v>
      </c>
      <c r="C175" s="1">
        <v>6840.4488000000001</v>
      </c>
      <c r="D175" s="2">
        <v>1</v>
      </c>
      <c r="E175" s="1">
        <v>0</v>
      </c>
      <c r="F175" s="13">
        <f t="shared" si="12"/>
        <v>6.4323264871158747E-2</v>
      </c>
      <c r="G175">
        <f t="shared" si="13"/>
        <v>6.3673563765766675E-2</v>
      </c>
      <c r="X175" s="1">
        <v>34.513800000000003</v>
      </c>
      <c r="Y175" s="1">
        <v>452</v>
      </c>
      <c r="Z175" s="1">
        <v>5880.6957000000002</v>
      </c>
      <c r="AA175" s="2">
        <v>1</v>
      </c>
      <c r="AB175" s="13">
        <f t="shared" si="14"/>
        <v>7.6861654310730609E-2</v>
      </c>
    </row>
    <row r="176" spans="1:28" x14ac:dyDescent="0.4">
      <c r="A176" s="1">
        <v>34.515599999999999</v>
      </c>
      <c r="B176" s="1">
        <v>475</v>
      </c>
      <c r="C176" s="1">
        <v>6842.0925999999999</v>
      </c>
      <c r="D176" s="2">
        <v>1</v>
      </c>
      <c r="E176" s="1">
        <v>0</v>
      </c>
      <c r="F176" s="13">
        <f t="shared" si="12"/>
        <v>6.9423205409409397E-2</v>
      </c>
      <c r="G176">
        <f t="shared" si="13"/>
        <v>6.8773504304017324E-2</v>
      </c>
      <c r="X176" s="1">
        <v>34.514800000000001</v>
      </c>
      <c r="Y176" s="1">
        <v>468</v>
      </c>
      <c r="Z176" s="1">
        <v>5881.3986000000004</v>
      </c>
      <c r="AA176" s="2">
        <v>1</v>
      </c>
      <c r="AB176" s="13">
        <f t="shared" si="14"/>
        <v>7.9572909749731968E-2</v>
      </c>
    </row>
    <row r="177" spans="1:28" x14ac:dyDescent="0.4">
      <c r="A177" s="1">
        <v>34.516599999999997</v>
      </c>
      <c r="B177" s="1">
        <v>432</v>
      </c>
      <c r="C177" s="1">
        <v>6839.6930000000002</v>
      </c>
      <c r="D177" s="2">
        <v>1</v>
      </c>
      <c r="E177" s="1">
        <v>0</v>
      </c>
      <c r="F177" s="13">
        <f t="shared" si="12"/>
        <v>6.3160729582453473E-2</v>
      </c>
      <c r="G177">
        <f t="shared" si="13"/>
        <v>6.2511028477061401E-2</v>
      </c>
      <c r="X177" s="1">
        <v>34.515799999999999</v>
      </c>
      <c r="Y177" s="1">
        <v>386</v>
      </c>
      <c r="Z177" s="1">
        <v>5881.7727999999997</v>
      </c>
      <c r="AA177" s="2">
        <v>1</v>
      </c>
      <c r="AB177" s="13">
        <f t="shared" si="14"/>
        <v>6.5626472345208575E-2</v>
      </c>
    </row>
    <row r="178" spans="1:28" x14ac:dyDescent="0.4">
      <c r="A178" s="1">
        <v>34.517600000000002</v>
      </c>
      <c r="B178" s="1">
        <v>412</v>
      </c>
      <c r="C178" s="1">
        <v>6840.3756000000003</v>
      </c>
      <c r="D178" s="2">
        <v>1</v>
      </c>
      <c r="E178" s="1">
        <v>0</v>
      </c>
      <c r="F178" s="13">
        <f t="shared" si="12"/>
        <v>6.023061072845181E-2</v>
      </c>
      <c r="G178">
        <f t="shared" si="13"/>
        <v>5.9580909623059737E-2</v>
      </c>
      <c r="X178" s="1">
        <v>34.516800000000003</v>
      </c>
      <c r="Y178" s="1">
        <v>419</v>
      </c>
      <c r="Z178" s="1">
        <v>5881.3122999999996</v>
      </c>
      <c r="AA178" s="2">
        <v>1</v>
      </c>
      <c r="AB178" s="13">
        <f t="shared" si="14"/>
        <v>7.1242603457735115E-2</v>
      </c>
    </row>
    <row r="179" spans="1:28" x14ac:dyDescent="0.4">
      <c r="A179" s="1">
        <v>34.518599999999999</v>
      </c>
      <c r="B179" s="1">
        <v>375</v>
      </c>
      <c r="C179" s="1">
        <v>6839.8924999999999</v>
      </c>
      <c r="D179" s="2">
        <v>1</v>
      </c>
      <c r="E179" s="1">
        <v>0</v>
      </c>
      <c r="F179" s="13">
        <f t="shared" si="12"/>
        <v>5.4825423060377049E-2</v>
      </c>
      <c r="G179">
        <f t="shared" si="13"/>
        <v>5.4175721954984976E-2</v>
      </c>
      <c r="X179" s="1">
        <v>34.517800000000001</v>
      </c>
      <c r="Y179" s="1">
        <v>371</v>
      </c>
      <c r="Z179" s="1">
        <v>5882.4799000000003</v>
      </c>
      <c r="AA179" s="2">
        <v>1</v>
      </c>
      <c r="AB179" s="13">
        <f t="shared" si="14"/>
        <v>6.3068638789569004E-2</v>
      </c>
    </row>
    <row r="180" spans="1:28" x14ac:dyDescent="0.4">
      <c r="A180" s="1">
        <v>34.519599999999997</v>
      </c>
      <c r="B180" s="1">
        <v>397</v>
      </c>
      <c r="C180" s="1">
        <v>6837.5312999999996</v>
      </c>
      <c r="D180" s="2">
        <v>1</v>
      </c>
      <c r="E180" s="1">
        <v>0</v>
      </c>
      <c r="F180" s="13">
        <f t="shared" si="12"/>
        <v>5.8061891431487857E-2</v>
      </c>
      <c r="G180">
        <f t="shared" si="13"/>
        <v>5.7412190326095784E-2</v>
      </c>
      <c r="X180" s="1">
        <v>34.518799999999999</v>
      </c>
      <c r="Y180" s="1">
        <v>389</v>
      </c>
      <c r="Z180" s="1">
        <v>5882.8962000000001</v>
      </c>
      <c r="AA180" s="2">
        <v>1</v>
      </c>
      <c r="AB180" s="13">
        <f t="shared" si="14"/>
        <v>6.6123893193967956E-2</v>
      </c>
    </row>
    <row r="181" spans="1:28" x14ac:dyDescent="0.4">
      <c r="A181" s="1">
        <v>34.520600000000002</v>
      </c>
      <c r="B181" s="1">
        <v>396</v>
      </c>
      <c r="C181" s="1">
        <v>6830.2498999999998</v>
      </c>
      <c r="D181" s="2">
        <v>1</v>
      </c>
      <c r="E181" s="1">
        <v>0</v>
      </c>
      <c r="F181" s="13">
        <f t="shared" si="12"/>
        <v>5.7977380886166406E-2</v>
      </c>
      <c r="G181">
        <f t="shared" si="13"/>
        <v>5.7327679780774334E-2</v>
      </c>
      <c r="X181" s="1">
        <v>34.519799999999996</v>
      </c>
      <c r="Y181" s="1">
        <v>382</v>
      </c>
      <c r="Z181" s="1">
        <v>5880.9116999999997</v>
      </c>
      <c r="AA181" s="2">
        <v>1</v>
      </c>
      <c r="AB181" s="13">
        <f t="shared" si="14"/>
        <v>6.4955914913668922E-2</v>
      </c>
    </row>
    <row r="182" spans="1:28" x14ac:dyDescent="0.4">
      <c r="A182" s="1">
        <v>34.521599999999999</v>
      </c>
      <c r="B182" s="1">
        <v>399</v>
      </c>
      <c r="C182" s="1">
        <v>6832.6759000000002</v>
      </c>
      <c r="D182" s="2">
        <v>1</v>
      </c>
      <c r="E182" s="1">
        <v>0</v>
      </c>
      <c r="F182" s="13">
        <f t="shared" si="12"/>
        <v>5.8395862154093973E-2</v>
      </c>
      <c r="G182">
        <f t="shared" si="13"/>
        <v>5.7746161048701901E-2</v>
      </c>
      <c r="X182" s="1">
        <v>34.520800000000001</v>
      </c>
      <c r="Y182" s="1">
        <v>363</v>
      </c>
      <c r="Z182" s="1">
        <v>5883.7740000000003</v>
      </c>
      <c r="AA182" s="2">
        <v>1</v>
      </c>
      <c r="AB182" s="13">
        <f t="shared" si="14"/>
        <v>6.1695095698781087E-2</v>
      </c>
    </row>
    <row r="183" spans="1:28" x14ac:dyDescent="0.4">
      <c r="A183" s="1">
        <v>34.522599999999997</v>
      </c>
      <c r="B183" s="1">
        <v>367</v>
      </c>
      <c r="C183" s="1">
        <v>6833.0564999999997</v>
      </c>
      <c r="D183" s="2">
        <v>1</v>
      </c>
      <c r="E183" s="1">
        <v>0</v>
      </c>
      <c r="F183" s="13">
        <f t="shared" si="12"/>
        <v>5.3709492962629536E-2</v>
      </c>
      <c r="G183">
        <f t="shared" si="13"/>
        <v>5.3059791857237464E-2</v>
      </c>
      <c r="X183" s="1">
        <v>34.521799999999999</v>
      </c>
      <c r="Y183" s="1">
        <v>335</v>
      </c>
      <c r="Z183" s="1">
        <v>5883.2456000000002</v>
      </c>
      <c r="AA183" s="2">
        <v>1</v>
      </c>
      <c r="AB183" s="13">
        <f t="shared" si="14"/>
        <v>5.6941359034883739E-2</v>
      </c>
    </row>
    <row r="184" spans="1:28" x14ac:dyDescent="0.4">
      <c r="A184" s="1">
        <v>34.523600000000002</v>
      </c>
      <c r="B184" s="1">
        <v>378</v>
      </c>
      <c r="C184" s="1">
        <v>6830.7300999999998</v>
      </c>
      <c r="D184" s="2">
        <v>1</v>
      </c>
      <c r="E184" s="1">
        <v>0</v>
      </c>
      <c r="F184" s="13">
        <f t="shared" si="12"/>
        <v>5.5338154848191122E-2</v>
      </c>
      <c r="G184">
        <f t="shared" si="13"/>
        <v>5.4688453742799049E-2</v>
      </c>
      <c r="X184" s="1">
        <v>34.522799999999997</v>
      </c>
      <c r="Y184" s="1">
        <v>314</v>
      </c>
      <c r="Z184" s="1">
        <v>5881.9978000000001</v>
      </c>
      <c r="AA184" s="2">
        <v>1</v>
      </c>
      <c r="AB184" s="13">
        <f t="shared" si="14"/>
        <v>5.338322295870291E-2</v>
      </c>
    </row>
    <row r="185" spans="1:28" x14ac:dyDescent="0.4">
      <c r="A185" s="1">
        <v>34.5246</v>
      </c>
      <c r="B185" s="1">
        <v>329</v>
      </c>
      <c r="C185" s="1">
        <v>6834.4836999999998</v>
      </c>
      <c r="D185" s="2">
        <v>1</v>
      </c>
      <c r="E185" s="1">
        <v>0</v>
      </c>
      <c r="F185" s="13">
        <f t="shared" si="12"/>
        <v>4.8138237567235696E-2</v>
      </c>
      <c r="G185">
        <f t="shared" si="13"/>
        <v>4.7488536461843624E-2</v>
      </c>
      <c r="X185" s="1">
        <v>34.523800000000001</v>
      </c>
      <c r="Y185" s="1">
        <v>305</v>
      </c>
      <c r="Z185" s="1">
        <v>5879.5828000000001</v>
      </c>
      <c r="AA185" s="2">
        <v>1</v>
      </c>
      <c r="AB185" s="13">
        <f t="shared" si="14"/>
        <v>5.1874428913561692E-2</v>
      </c>
    </row>
    <row r="186" spans="1:28" x14ac:dyDescent="0.4">
      <c r="A186" s="1">
        <v>34.525599999999997</v>
      </c>
      <c r="B186" s="1">
        <v>368</v>
      </c>
      <c r="C186" s="1">
        <v>6835.9438</v>
      </c>
      <c r="D186" s="2">
        <v>1</v>
      </c>
      <c r="E186" s="1">
        <v>0</v>
      </c>
      <c r="F186" s="13">
        <f t="shared" si="12"/>
        <v>5.3833093244564124E-2</v>
      </c>
      <c r="G186">
        <f t="shared" si="13"/>
        <v>5.3183392139172052E-2</v>
      </c>
      <c r="X186" s="1">
        <v>34.524799999999999</v>
      </c>
      <c r="Y186" s="1">
        <v>327</v>
      </c>
      <c r="Z186" s="1">
        <v>5876.8091999999997</v>
      </c>
      <c r="AA186" s="2">
        <v>1</v>
      </c>
      <c r="AB186" s="13">
        <f t="shared" si="14"/>
        <v>5.5642439438054248E-2</v>
      </c>
    </row>
    <row r="187" spans="1:28" x14ac:dyDescent="0.4">
      <c r="A187" s="1">
        <v>34.526600000000002</v>
      </c>
      <c r="B187" s="1">
        <v>318</v>
      </c>
      <c r="C187" s="1">
        <v>6832.7184999999999</v>
      </c>
      <c r="D187" s="2">
        <v>1</v>
      </c>
      <c r="E187" s="1">
        <v>0</v>
      </c>
      <c r="F187" s="13">
        <f t="shared" si="12"/>
        <v>4.6540772900273884E-2</v>
      </c>
      <c r="G187">
        <f t="shared" si="13"/>
        <v>4.5891071794881812E-2</v>
      </c>
      <c r="X187" s="1">
        <v>34.525799999999997</v>
      </c>
      <c r="Y187" s="1">
        <v>313</v>
      </c>
      <c r="Z187" s="1">
        <v>5873.9306999999999</v>
      </c>
      <c r="AA187" s="2">
        <v>1</v>
      </c>
      <c r="AB187" s="13">
        <f t="shared" si="14"/>
        <v>5.3286294303744514E-2</v>
      </c>
    </row>
    <row r="188" spans="1:28" x14ac:dyDescent="0.4">
      <c r="A188" s="1">
        <v>34.5276</v>
      </c>
      <c r="B188" s="1">
        <v>309</v>
      </c>
      <c r="C188" s="1">
        <v>6832.1751999999997</v>
      </c>
      <c r="D188" s="2">
        <v>1</v>
      </c>
      <c r="E188" s="1">
        <v>0</v>
      </c>
      <c r="F188" s="13">
        <f t="shared" si="12"/>
        <v>4.5227177429524937E-2</v>
      </c>
      <c r="G188">
        <f t="shared" si="13"/>
        <v>4.4577476324132864E-2</v>
      </c>
      <c r="X188" s="1">
        <v>34.526800000000001</v>
      </c>
      <c r="Y188" s="1">
        <v>328</v>
      </c>
      <c r="Z188" s="1">
        <v>5873.0901999999996</v>
      </c>
      <c r="AA188" s="2">
        <v>1</v>
      </c>
      <c r="AB188" s="13">
        <f t="shared" si="14"/>
        <v>5.5847941855209381E-2</v>
      </c>
    </row>
    <row r="189" spans="1:28" x14ac:dyDescent="0.4">
      <c r="A189" s="1">
        <v>34.528599999999997</v>
      </c>
      <c r="B189" s="1">
        <v>336</v>
      </c>
      <c r="C189" s="1">
        <v>6831.0078999999996</v>
      </c>
      <c r="D189" s="2">
        <v>1</v>
      </c>
      <c r="E189" s="1">
        <v>0</v>
      </c>
      <c r="F189" s="13">
        <f t="shared" si="12"/>
        <v>4.9187470563458145E-2</v>
      </c>
      <c r="G189">
        <f t="shared" si="13"/>
        <v>4.8537769458066073E-2</v>
      </c>
      <c r="X189" s="1">
        <v>34.527799999999999</v>
      </c>
      <c r="Y189" s="1">
        <v>315</v>
      </c>
      <c r="Z189" s="1">
        <v>5872.0069999999996</v>
      </c>
      <c r="AA189" s="2">
        <v>1</v>
      </c>
      <c r="AB189" s="13">
        <f t="shared" si="14"/>
        <v>5.3644350219609754E-2</v>
      </c>
    </row>
    <row r="190" spans="1:28" x14ac:dyDescent="0.4">
      <c r="A190" s="1">
        <v>34.529600000000002</v>
      </c>
      <c r="B190" s="1">
        <v>302</v>
      </c>
      <c r="C190" s="1">
        <v>6827.7984999999999</v>
      </c>
      <c r="D190" s="2">
        <v>1</v>
      </c>
      <c r="E190" s="1">
        <v>0</v>
      </c>
      <c r="F190" s="13">
        <f t="shared" si="12"/>
        <v>4.4230947940247504E-2</v>
      </c>
      <c r="G190">
        <f t="shared" si="13"/>
        <v>4.3581246834855432E-2</v>
      </c>
      <c r="X190" s="1">
        <v>34.528799999999997</v>
      </c>
      <c r="Y190" s="1">
        <v>311</v>
      </c>
      <c r="Z190" s="1">
        <v>5872.2052999999996</v>
      </c>
      <c r="AA190" s="2">
        <v>1</v>
      </c>
      <c r="AB190" s="13">
        <f t="shared" si="14"/>
        <v>5.2961363595377023E-2</v>
      </c>
    </row>
    <row r="191" spans="1:28" x14ac:dyDescent="0.4">
      <c r="A191" s="1">
        <v>34.5306</v>
      </c>
      <c r="B191" s="1">
        <v>269</v>
      </c>
      <c r="C191" s="1">
        <v>6826.9585999999999</v>
      </c>
      <c r="D191" s="2">
        <v>1</v>
      </c>
      <c r="E191" s="1">
        <v>0</v>
      </c>
      <c r="F191" s="13">
        <f t="shared" si="12"/>
        <v>3.9402611874634778E-2</v>
      </c>
      <c r="G191">
        <f t="shared" si="13"/>
        <v>3.8752910769242706E-2</v>
      </c>
      <c r="X191" s="1">
        <v>34.529800000000002</v>
      </c>
      <c r="Y191" s="1">
        <v>266</v>
      </c>
      <c r="Z191" s="1">
        <v>5873.8715000000002</v>
      </c>
      <c r="AA191" s="2">
        <v>1</v>
      </c>
      <c r="AB191" s="13">
        <f t="shared" si="14"/>
        <v>4.5285294375268507E-2</v>
      </c>
    </row>
    <row r="192" spans="1:28" x14ac:dyDescent="0.4">
      <c r="A192" s="1">
        <v>34.531599999999997</v>
      </c>
      <c r="B192" s="1">
        <v>305</v>
      </c>
      <c r="C192" s="1">
        <v>6824.2991000000002</v>
      </c>
      <c r="D192" s="2">
        <v>1</v>
      </c>
      <c r="E192" s="1">
        <v>0</v>
      </c>
      <c r="F192" s="13">
        <f t="shared" si="12"/>
        <v>4.4693234503745592E-2</v>
      </c>
      <c r="G192">
        <f t="shared" si="13"/>
        <v>4.404353339835352E-2</v>
      </c>
      <c r="X192" s="1">
        <v>34.530799999999999</v>
      </c>
      <c r="Y192" s="1">
        <v>296</v>
      </c>
      <c r="Z192" s="1">
        <v>5873.0622000000003</v>
      </c>
      <c r="AA192" s="2">
        <v>1</v>
      </c>
      <c r="AB192" s="13">
        <f t="shared" si="14"/>
        <v>5.0399602442487326E-2</v>
      </c>
    </row>
    <row r="193" spans="1:28" x14ac:dyDescent="0.4">
      <c r="A193" s="1">
        <v>34.532600000000002</v>
      </c>
      <c r="B193" s="1">
        <v>280</v>
      </c>
      <c r="C193" s="1">
        <v>6824.4865</v>
      </c>
      <c r="D193" s="2">
        <v>1</v>
      </c>
      <c r="E193" s="1">
        <v>0</v>
      </c>
      <c r="F193" s="13">
        <f t="shared" si="12"/>
        <v>4.102872794898195E-2</v>
      </c>
      <c r="G193">
        <f t="shared" si="13"/>
        <v>4.0379026843589877E-2</v>
      </c>
      <c r="X193" s="1">
        <v>34.531799999999997</v>
      </c>
      <c r="Y193" s="1">
        <v>297</v>
      </c>
      <c r="Z193" s="1">
        <v>5874.2755999999999</v>
      </c>
      <c r="AA193" s="2">
        <v>1</v>
      </c>
      <c r="AB193" s="13">
        <f t="shared" si="14"/>
        <v>5.0559425574108238E-2</v>
      </c>
    </row>
    <row r="194" spans="1:28" x14ac:dyDescent="0.4">
      <c r="A194" s="1">
        <v>34.5336</v>
      </c>
      <c r="B194" s="1">
        <v>272</v>
      </c>
      <c r="C194" s="1">
        <v>6820.2178999999996</v>
      </c>
      <c r="D194" s="2">
        <v>1</v>
      </c>
      <c r="E194" s="1">
        <v>0</v>
      </c>
      <c r="F194" s="13">
        <f t="shared" si="12"/>
        <v>3.9881423729878192E-2</v>
      </c>
      <c r="G194">
        <f t="shared" si="13"/>
        <v>3.9231722624486119E-2</v>
      </c>
      <c r="X194" s="1">
        <v>34.532800000000002</v>
      </c>
      <c r="Y194" s="1">
        <v>234</v>
      </c>
      <c r="Z194" s="1">
        <v>5871.9862999999996</v>
      </c>
      <c r="AA194" s="2">
        <v>1</v>
      </c>
      <c r="AB194" s="13">
        <f t="shared" si="14"/>
        <v>3.9850229214601546E-2</v>
      </c>
    </row>
    <row r="195" spans="1:28" x14ac:dyDescent="0.4">
      <c r="A195" s="1">
        <v>34.534599999999998</v>
      </c>
      <c r="B195" s="1">
        <v>253</v>
      </c>
      <c r="C195" s="1">
        <v>6820.3006999999998</v>
      </c>
      <c r="D195" s="2">
        <v>1</v>
      </c>
      <c r="E195" s="1">
        <v>0</v>
      </c>
      <c r="F195" s="13">
        <f t="shared" si="12"/>
        <v>3.7095138635163109E-2</v>
      </c>
      <c r="G195">
        <f t="shared" si="13"/>
        <v>3.6445437529771037E-2</v>
      </c>
      <c r="X195" s="1">
        <v>34.533799999999999</v>
      </c>
      <c r="Y195" s="1">
        <v>229</v>
      </c>
      <c r="Z195" s="1">
        <v>5871.174</v>
      </c>
      <c r="AA195" s="2">
        <v>1</v>
      </c>
      <c r="AB195" s="13">
        <f t="shared" si="14"/>
        <v>3.9004124217745892E-2</v>
      </c>
    </row>
    <row r="196" spans="1:28" x14ac:dyDescent="0.4">
      <c r="A196" s="1">
        <v>34.535600000000002</v>
      </c>
      <c r="B196" s="1">
        <v>289</v>
      </c>
      <c r="C196" s="1">
        <v>6818.8604999999998</v>
      </c>
      <c r="D196" s="2">
        <v>1</v>
      </c>
      <c r="E196" s="1">
        <v>0</v>
      </c>
      <c r="F196" s="13">
        <f t="shared" si="12"/>
        <v>4.2382447917800929E-2</v>
      </c>
      <c r="G196">
        <f t="shared" si="13"/>
        <v>4.1732746812408857E-2</v>
      </c>
      <c r="X196" s="1">
        <v>34.534799999999997</v>
      </c>
      <c r="Y196" s="1">
        <v>224</v>
      </c>
      <c r="Z196" s="1">
        <v>5870.9096</v>
      </c>
      <c r="AA196" s="2">
        <v>1</v>
      </c>
      <c r="AB196" s="13">
        <f t="shared" si="14"/>
        <v>3.8154224006446975E-2</v>
      </c>
    </row>
    <row r="197" spans="1:28" x14ac:dyDescent="0.4">
      <c r="A197" s="1">
        <v>34.5366</v>
      </c>
      <c r="B197" s="1">
        <v>252</v>
      </c>
      <c r="C197" s="1">
        <v>6817.8477999999996</v>
      </c>
      <c r="D197" s="2">
        <v>1</v>
      </c>
      <c r="E197" s="1">
        <v>0</v>
      </c>
      <c r="F197" s="13">
        <f t="shared" si="12"/>
        <v>3.696181073446668E-2</v>
      </c>
      <c r="G197">
        <f t="shared" si="13"/>
        <v>3.6312109629074607E-2</v>
      </c>
      <c r="X197" s="1">
        <v>34.535800000000002</v>
      </c>
      <c r="Y197" s="1">
        <v>251</v>
      </c>
      <c r="Z197" s="1">
        <v>5871.0464000000002</v>
      </c>
      <c r="AA197" s="2">
        <v>1</v>
      </c>
      <c r="AB197" s="13">
        <f t="shared" si="14"/>
        <v>4.2752174467570209E-2</v>
      </c>
    </row>
    <row r="198" spans="1:28" x14ac:dyDescent="0.4">
      <c r="A198" s="1">
        <v>34.537599999999998</v>
      </c>
      <c r="B198" s="1">
        <v>274</v>
      </c>
      <c r="C198" s="1">
        <v>6816.2031999999999</v>
      </c>
      <c r="D198" s="2">
        <v>1</v>
      </c>
      <c r="E198" s="1">
        <v>0</v>
      </c>
      <c r="F198" s="13">
        <f t="shared" si="12"/>
        <v>4.019833211545102E-2</v>
      </c>
      <c r="G198">
        <f t="shared" si="13"/>
        <v>3.9548631010058947E-2</v>
      </c>
      <c r="X198" s="1">
        <v>34.536799999999999</v>
      </c>
      <c r="Y198" s="1">
        <v>242</v>
      </c>
      <c r="Z198" s="1">
        <v>5870.3522000000003</v>
      </c>
      <c r="AA198" s="2">
        <v>1</v>
      </c>
      <c r="AB198" s="13">
        <f t="shared" si="14"/>
        <v>4.1224102363057534E-2</v>
      </c>
    </row>
    <row r="199" spans="1:28" x14ac:dyDescent="0.4">
      <c r="A199" s="1">
        <v>34.538600000000002</v>
      </c>
      <c r="B199" s="1">
        <v>252</v>
      </c>
      <c r="C199" s="1">
        <v>6817.1722</v>
      </c>
      <c r="D199" s="2">
        <v>1</v>
      </c>
      <c r="E199" s="1">
        <v>0</v>
      </c>
      <c r="F199" s="13">
        <f t="shared" si="12"/>
        <v>3.6965473748778122E-2</v>
      </c>
      <c r="G199">
        <f t="shared" si="13"/>
        <v>3.6315772643386049E-2</v>
      </c>
      <c r="X199" s="1">
        <v>34.537799999999997</v>
      </c>
      <c r="Y199" s="1">
        <v>216</v>
      </c>
      <c r="Z199" s="1">
        <v>5869.0724</v>
      </c>
      <c r="AA199" s="2">
        <v>1</v>
      </c>
      <c r="AB199" s="13">
        <f t="shared" si="14"/>
        <v>3.680309004196302E-2</v>
      </c>
    </row>
    <row r="200" spans="1:28" x14ac:dyDescent="0.4">
      <c r="A200" s="1">
        <v>34.5396</v>
      </c>
      <c r="B200" s="1">
        <v>240</v>
      </c>
      <c r="C200" s="1">
        <v>6813.3401000000003</v>
      </c>
      <c r="D200" s="2">
        <v>1</v>
      </c>
      <c r="E200" s="1">
        <v>0</v>
      </c>
      <c r="F200" s="13">
        <f t="shared" si="12"/>
        <v>3.522501393993234E-2</v>
      </c>
      <c r="G200">
        <f t="shared" si="13"/>
        <v>3.4575312834540267E-2</v>
      </c>
      <c r="X200" s="1">
        <v>34.538800000000002</v>
      </c>
      <c r="Y200" s="1">
        <v>186</v>
      </c>
      <c r="Z200" s="1">
        <v>5871.2551000000003</v>
      </c>
      <c r="AA200" s="2">
        <v>1</v>
      </c>
      <c r="AB200" s="13">
        <f t="shared" si="14"/>
        <v>3.1679768095922115E-2</v>
      </c>
    </row>
    <row r="201" spans="1:28" x14ac:dyDescent="0.4">
      <c r="A201" s="1">
        <v>34.540599999999998</v>
      </c>
      <c r="B201" s="1">
        <v>233</v>
      </c>
      <c r="C201" s="1">
        <v>6814.5155000000004</v>
      </c>
      <c r="D201" s="2">
        <v>1</v>
      </c>
      <c r="E201" s="1">
        <v>0</v>
      </c>
      <c r="F201" s="13">
        <f t="shared" si="12"/>
        <v>3.4191719132490049E-2</v>
      </c>
      <c r="G201">
        <f t="shared" si="13"/>
        <v>3.3542018027097976E-2</v>
      </c>
      <c r="X201" s="1">
        <v>34.5398</v>
      </c>
      <c r="Y201" s="1">
        <v>204</v>
      </c>
      <c r="Z201" s="1">
        <v>5867.8912</v>
      </c>
      <c r="AA201" s="2">
        <v>1</v>
      </c>
      <c r="AB201" s="13">
        <f t="shared" si="14"/>
        <v>3.47654707708282E-2</v>
      </c>
    </row>
    <row r="202" spans="1:28" x14ac:dyDescent="0.4">
      <c r="A202" s="1">
        <v>34.541600000000003</v>
      </c>
      <c r="B202" s="1">
        <v>234</v>
      </c>
      <c r="C202" s="1">
        <v>6815.6737000000003</v>
      </c>
      <c r="D202" s="2">
        <v>1</v>
      </c>
      <c r="E202" s="1">
        <v>0</v>
      </c>
      <c r="F202" s="13">
        <f t="shared" si="12"/>
        <v>3.43326295095377E-2</v>
      </c>
      <c r="G202">
        <f t="shared" si="13"/>
        <v>3.3682928404145628E-2</v>
      </c>
      <c r="X202" s="1">
        <v>34.540799999999997</v>
      </c>
      <c r="Y202" s="1">
        <v>191</v>
      </c>
      <c r="Z202" s="1">
        <v>5869.8815999999997</v>
      </c>
      <c r="AA202" s="2">
        <v>1</v>
      </c>
      <c r="AB202" s="13">
        <f t="shared" si="14"/>
        <v>3.2538986817042446E-2</v>
      </c>
    </row>
    <row r="203" spans="1:28" x14ac:dyDescent="0.4">
      <c r="A203" s="1">
        <v>34.5426</v>
      </c>
      <c r="B203" s="1">
        <v>215</v>
      </c>
      <c r="C203" s="1">
        <v>6814.9057000000003</v>
      </c>
      <c r="D203" s="2">
        <v>1</v>
      </c>
      <c r="E203" s="1">
        <v>0</v>
      </c>
      <c r="F203" s="13">
        <f t="shared" si="12"/>
        <v>3.1548492299754052E-2</v>
      </c>
      <c r="G203">
        <f t="shared" si="13"/>
        <v>3.089879119436198E-2</v>
      </c>
      <c r="X203" s="1">
        <v>34.541800000000002</v>
      </c>
      <c r="Y203" s="1">
        <v>201</v>
      </c>
      <c r="Z203" s="1">
        <v>5868.0910000000003</v>
      </c>
      <c r="AA203" s="2">
        <v>1</v>
      </c>
      <c r="AB203" s="13">
        <f t="shared" si="14"/>
        <v>3.4253047541355441E-2</v>
      </c>
    </row>
    <row r="204" spans="1:28" x14ac:dyDescent="0.4">
      <c r="A204" s="1">
        <v>34.543599999999998</v>
      </c>
      <c r="B204" s="1">
        <v>212</v>
      </c>
      <c r="C204" s="1">
        <v>6811.7165000000005</v>
      </c>
      <c r="D204" s="2">
        <v>1</v>
      </c>
      <c r="E204" s="1">
        <v>0</v>
      </c>
      <c r="F204" s="13">
        <f t="shared" si="12"/>
        <v>3.112284546780536E-2</v>
      </c>
      <c r="G204">
        <f t="shared" si="13"/>
        <v>3.0473144362413288E-2</v>
      </c>
      <c r="X204" s="1">
        <v>34.5428</v>
      </c>
      <c r="Y204" s="1">
        <v>209</v>
      </c>
      <c r="Z204" s="1">
        <v>5867.3986999999997</v>
      </c>
      <c r="AA204" s="2">
        <v>1</v>
      </c>
      <c r="AB204" s="13">
        <f t="shared" si="14"/>
        <v>3.5620555323775768E-2</v>
      </c>
    </row>
    <row r="205" spans="1:28" x14ac:dyDescent="0.4">
      <c r="A205" s="1">
        <v>34.544600000000003</v>
      </c>
      <c r="B205" s="1">
        <v>216</v>
      </c>
      <c r="C205" s="1">
        <v>6811.2862999999998</v>
      </c>
      <c r="D205" s="2">
        <v>1</v>
      </c>
      <c r="E205" s="1">
        <v>0</v>
      </c>
      <c r="F205" s="13">
        <f t="shared" si="12"/>
        <v>3.1712071771230643E-2</v>
      </c>
      <c r="G205">
        <f t="shared" si="13"/>
        <v>3.1062370665838571E-2</v>
      </c>
      <c r="X205" s="1">
        <v>34.543799999999997</v>
      </c>
      <c r="Y205" s="1">
        <v>231</v>
      </c>
      <c r="Z205" s="1">
        <v>5864.0604000000003</v>
      </c>
      <c r="AA205" s="2">
        <v>1</v>
      </c>
      <c r="AB205" s="13">
        <f t="shared" si="14"/>
        <v>3.9392500118177499E-2</v>
      </c>
    </row>
    <row r="206" spans="1:28" x14ac:dyDescent="0.4">
      <c r="A206" s="1">
        <v>34.5456</v>
      </c>
      <c r="B206" s="1">
        <v>218</v>
      </c>
      <c r="C206" s="1">
        <v>6810.1000999999997</v>
      </c>
      <c r="D206" s="2">
        <v>1</v>
      </c>
      <c r="E206" s="1">
        <v>0</v>
      </c>
      <c r="F206" s="13">
        <f t="shared" si="12"/>
        <v>3.2011276897383638E-2</v>
      </c>
      <c r="G206">
        <f t="shared" si="13"/>
        <v>3.1361575791991565E-2</v>
      </c>
      <c r="X206" s="1">
        <v>34.544800000000002</v>
      </c>
      <c r="Y206" s="1">
        <v>154</v>
      </c>
      <c r="Z206" s="1">
        <v>5864.2654000000002</v>
      </c>
      <c r="AA206" s="2">
        <v>1</v>
      </c>
      <c r="AB206" s="13">
        <f t="shared" si="14"/>
        <v>2.6260748703494898E-2</v>
      </c>
    </row>
    <row r="207" spans="1:28" x14ac:dyDescent="0.4">
      <c r="A207" s="1">
        <v>34.546599999999998</v>
      </c>
      <c r="B207" s="1">
        <v>198</v>
      </c>
      <c r="C207" s="1">
        <v>6813.3306000000002</v>
      </c>
      <c r="D207" s="2">
        <v>1</v>
      </c>
      <c r="E207" s="1">
        <v>0</v>
      </c>
      <c r="F207" s="13">
        <f t="shared" si="12"/>
        <v>2.9060677020428159E-2</v>
      </c>
      <c r="G207">
        <f t="shared" si="13"/>
        <v>2.8410975915036087E-2</v>
      </c>
      <c r="X207" s="1">
        <v>34.5458</v>
      </c>
      <c r="Y207" s="1">
        <v>192</v>
      </c>
      <c r="Z207" s="1">
        <v>5864.2021999999997</v>
      </c>
      <c r="AA207" s="2">
        <v>1</v>
      </c>
      <c r="AB207" s="13">
        <f t="shared" si="14"/>
        <v>3.2741026562828957E-2</v>
      </c>
    </row>
    <row r="208" spans="1:28" x14ac:dyDescent="0.4">
      <c r="A208" s="1">
        <v>34.547600000000003</v>
      </c>
      <c r="B208" s="1">
        <v>217</v>
      </c>
      <c r="C208" s="1">
        <v>6814.4760999999999</v>
      </c>
      <c r="D208" s="2">
        <v>1</v>
      </c>
      <c r="E208" s="1">
        <v>0</v>
      </c>
      <c r="F208" s="13">
        <f t="shared" si="12"/>
        <v>3.1843974036389971E-2</v>
      </c>
      <c r="G208">
        <f t="shared" si="13"/>
        <v>3.1194272930997899E-2</v>
      </c>
      <c r="X208" s="1">
        <v>34.546799999999998</v>
      </c>
      <c r="Y208" s="1">
        <v>195</v>
      </c>
      <c r="Z208" s="1">
        <v>5862.8910999999998</v>
      </c>
      <c r="AA208" s="2">
        <v>1</v>
      </c>
      <c r="AB208" s="13">
        <f t="shared" si="14"/>
        <v>3.3260041278951949E-2</v>
      </c>
    </row>
    <row r="209" spans="1:28" x14ac:dyDescent="0.4">
      <c r="A209" s="1">
        <v>34.5486</v>
      </c>
      <c r="B209" s="1">
        <v>211</v>
      </c>
      <c r="C209" s="1">
        <v>6814.1589000000004</v>
      </c>
      <c r="D209" s="2">
        <v>1</v>
      </c>
      <c r="E209" s="1">
        <v>0</v>
      </c>
      <c r="F209" s="13">
        <f t="shared" si="12"/>
        <v>3.0964936846424287E-2</v>
      </c>
      <c r="G209">
        <f t="shared" si="13"/>
        <v>3.0315235741032214E-2</v>
      </c>
      <c r="X209" s="1">
        <v>34.547800000000002</v>
      </c>
      <c r="Y209" s="1">
        <v>161</v>
      </c>
      <c r="Z209" s="1">
        <v>5862.3936999999996</v>
      </c>
      <c r="AA209" s="2">
        <v>1</v>
      </c>
      <c r="AB209" s="13">
        <f t="shared" si="14"/>
        <v>2.7463184535013403E-2</v>
      </c>
    </row>
    <row r="210" spans="1:28" x14ac:dyDescent="0.4">
      <c r="A210" s="1">
        <v>34.549599999999998</v>
      </c>
      <c r="B210" s="1">
        <v>178</v>
      </c>
      <c r="C210" s="1">
        <v>6814.7240000000002</v>
      </c>
      <c r="D210" s="2">
        <v>1</v>
      </c>
      <c r="E210" s="1">
        <v>0</v>
      </c>
      <c r="F210" s="13">
        <f t="shared" si="12"/>
        <v>2.6119913293627152E-2</v>
      </c>
      <c r="G210">
        <f t="shared" si="13"/>
        <v>2.5470212188235079E-2</v>
      </c>
      <c r="X210" s="1">
        <v>34.5488</v>
      </c>
      <c r="Y210" s="1">
        <v>176</v>
      </c>
      <c r="Z210" s="1">
        <v>5863.0945000000002</v>
      </c>
      <c r="AA210" s="2">
        <v>1</v>
      </c>
      <c r="AB210" s="13">
        <f t="shared" si="14"/>
        <v>3.0018277890625847E-2</v>
      </c>
    </row>
    <row r="211" spans="1:28" x14ac:dyDescent="0.4">
      <c r="A211" s="1">
        <v>34.550600000000003</v>
      </c>
      <c r="B211" s="1">
        <v>168</v>
      </c>
      <c r="C211" s="1">
        <v>6814.5</v>
      </c>
      <c r="D211" s="2">
        <v>1</v>
      </c>
      <c r="E211" s="1">
        <v>0</v>
      </c>
      <c r="F211" s="13">
        <f t="shared" si="12"/>
        <v>2.465331278890601E-2</v>
      </c>
      <c r="G211">
        <f t="shared" si="13"/>
        <v>2.4003611683513938E-2</v>
      </c>
      <c r="X211" s="1">
        <v>34.549799999999998</v>
      </c>
      <c r="Y211" s="1">
        <v>172</v>
      </c>
      <c r="Z211" s="1">
        <v>5866.0695999999998</v>
      </c>
      <c r="AA211" s="2">
        <v>1</v>
      </c>
      <c r="AB211" s="13">
        <f t="shared" si="14"/>
        <v>2.9321165913203624E-2</v>
      </c>
    </row>
    <row r="212" spans="1:28" x14ac:dyDescent="0.4">
      <c r="A212" s="1">
        <v>34.551600000000001</v>
      </c>
      <c r="B212" s="1">
        <v>165</v>
      </c>
      <c r="C212" s="1">
        <v>6812.6</v>
      </c>
      <c r="D212" s="2">
        <v>1</v>
      </c>
      <c r="E212" s="1">
        <v>0</v>
      </c>
      <c r="F212" s="13">
        <f t="shared" si="12"/>
        <v>2.4219827965828025E-2</v>
      </c>
      <c r="G212">
        <f t="shared" si="13"/>
        <v>2.3570126860435952E-2</v>
      </c>
      <c r="X212" s="1">
        <v>34.550800000000002</v>
      </c>
      <c r="Y212" s="1">
        <v>171</v>
      </c>
      <c r="Z212" s="1">
        <v>5868.8175000000001</v>
      </c>
      <c r="AA212" s="2">
        <v>1</v>
      </c>
      <c r="AB212" s="13">
        <f t="shared" si="14"/>
        <v>2.9137045069130195E-2</v>
      </c>
    </row>
    <row r="213" spans="1:28" x14ac:dyDescent="0.4">
      <c r="A213" s="1">
        <v>34.552599999999998</v>
      </c>
      <c r="B213" s="1">
        <v>181</v>
      </c>
      <c r="C213" s="1">
        <v>6812.6486000000004</v>
      </c>
      <c r="D213" s="2">
        <v>1</v>
      </c>
      <c r="E213" s="1">
        <v>0</v>
      </c>
      <c r="F213" s="13">
        <f t="shared" ref="F213:F220" si="15">B213/C213*D213</f>
        <v>2.6568227810839971E-2</v>
      </c>
      <c r="G213">
        <f t="shared" ref="G213:G220" si="16">F213-$M$101</f>
        <v>2.5918526705447899E-2</v>
      </c>
      <c r="X213" s="1">
        <v>34.5518</v>
      </c>
      <c r="Y213" s="1">
        <v>161</v>
      </c>
      <c r="Z213" s="1">
        <v>5868.8869999999997</v>
      </c>
      <c r="AA213" s="2">
        <v>1</v>
      </c>
      <c r="AB213" s="13">
        <f t="shared" ref="AB213:AB220" si="17">Y213/Z213*AA213</f>
        <v>2.7432799438803303E-2</v>
      </c>
    </row>
    <row r="214" spans="1:28" x14ac:dyDescent="0.4">
      <c r="A214" s="1">
        <v>34.553600000000003</v>
      </c>
      <c r="B214" s="1">
        <v>176</v>
      </c>
      <c r="C214" s="1">
        <v>6815.0284000000001</v>
      </c>
      <c r="D214" s="2">
        <v>1</v>
      </c>
      <c r="E214" s="1">
        <v>0</v>
      </c>
      <c r="F214" s="13">
        <f t="shared" si="15"/>
        <v>2.5825277558637907E-2</v>
      </c>
      <c r="G214">
        <f t="shared" si="16"/>
        <v>2.5175576453245835E-2</v>
      </c>
      <c r="X214" s="1">
        <v>34.552799999999998</v>
      </c>
      <c r="Y214" s="1">
        <v>155</v>
      </c>
      <c r="Z214" s="1">
        <v>5869.5864000000001</v>
      </c>
      <c r="AA214" s="2">
        <v>1</v>
      </c>
      <c r="AB214" s="13">
        <f t="shared" si="17"/>
        <v>2.6407312106352162E-2</v>
      </c>
    </row>
    <row r="215" spans="1:28" x14ac:dyDescent="0.4">
      <c r="A215" s="1">
        <v>34.554600000000001</v>
      </c>
      <c r="B215" s="1">
        <v>176</v>
      </c>
      <c r="C215" s="1">
        <v>6814.9858000000004</v>
      </c>
      <c r="D215" s="2">
        <v>1</v>
      </c>
      <c r="E215" s="1">
        <v>0</v>
      </c>
      <c r="F215" s="13">
        <f t="shared" si="15"/>
        <v>2.5825438990643237E-2</v>
      </c>
      <c r="G215">
        <f t="shared" si="16"/>
        <v>2.5175737885251164E-2</v>
      </c>
      <c r="X215" s="1">
        <v>34.553800000000003</v>
      </c>
      <c r="Y215" s="1">
        <v>166</v>
      </c>
      <c r="Z215" s="1">
        <v>5869.3689000000004</v>
      </c>
      <c r="AA215" s="2">
        <v>1</v>
      </c>
      <c r="AB215" s="13">
        <f t="shared" si="17"/>
        <v>2.8282427434404404E-2</v>
      </c>
    </row>
    <row r="216" spans="1:28" x14ac:dyDescent="0.4">
      <c r="A216" s="1">
        <v>34.555599999999998</v>
      </c>
      <c r="B216" s="1">
        <v>149</v>
      </c>
      <c r="C216" s="1">
        <v>6813.6696000000002</v>
      </c>
      <c r="D216" s="2">
        <v>1</v>
      </c>
      <c r="E216" s="1">
        <v>0</v>
      </c>
      <c r="F216" s="13">
        <f t="shared" si="15"/>
        <v>2.1867805271919848E-2</v>
      </c>
      <c r="G216">
        <f t="shared" si="16"/>
        <v>2.1218104166527776E-2</v>
      </c>
      <c r="X216" s="1">
        <v>34.5548</v>
      </c>
      <c r="Y216" s="1">
        <v>152</v>
      </c>
      <c r="Z216" s="1">
        <v>5869.5941000000003</v>
      </c>
      <c r="AA216" s="2">
        <v>1</v>
      </c>
      <c r="AB216" s="13">
        <f t="shared" si="17"/>
        <v>2.5896168867963119E-2</v>
      </c>
    </row>
    <row r="217" spans="1:28" x14ac:dyDescent="0.4">
      <c r="A217" s="1">
        <v>34.556600000000003</v>
      </c>
      <c r="B217" s="1">
        <v>161</v>
      </c>
      <c r="C217" s="1">
        <v>6812.7690000000002</v>
      </c>
      <c r="D217" s="2">
        <v>1</v>
      </c>
      <c r="E217" s="1">
        <v>0</v>
      </c>
      <c r="F217" s="13">
        <f t="shared" si="15"/>
        <v>2.3632094380420059E-2</v>
      </c>
      <c r="G217">
        <f t="shared" si="16"/>
        <v>2.2982393275027987E-2</v>
      </c>
      <c r="X217" s="1">
        <v>34.555799999999998</v>
      </c>
      <c r="Y217" s="1">
        <v>134</v>
      </c>
      <c r="Z217" s="1">
        <v>5867.2773999999999</v>
      </c>
      <c r="AA217" s="2">
        <v>1</v>
      </c>
      <c r="AB217" s="13">
        <f t="shared" si="17"/>
        <v>2.2838531547869204E-2</v>
      </c>
    </row>
    <row r="218" spans="1:28" x14ac:dyDescent="0.4">
      <c r="A218" s="1">
        <v>34.557600000000001</v>
      </c>
      <c r="B218" s="1">
        <v>156</v>
      </c>
      <c r="C218" s="1">
        <v>6807.0662000000002</v>
      </c>
      <c r="D218" s="2">
        <v>1</v>
      </c>
      <c r="E218" s="1">
        <v>0</v>
      </c>
      <c r="F218" s="13">
        <f t="shared" si="15"/>
        <v>2.2917361961310143E-2</v>
      </c>
      <c r="G218">
        <f t="shared" si="16"/>
        <v>2.2267660855918071E-2</v>
      </c>
      <c r="X218" s="1">
        <v>34.556800000000003</v>
      </c>
      <c r="Y218" s="1">
        <v>134</v>
      </c>
      <c r="Z218" s="1">
        <v>5865.5749999999998</v>
      </c>
      <c r="AA218" s="2">
        <v>1</v>
      </c>
      <c r="AB218" s="13">
        <f t="shared" si="17"/>
        <v>2.284516010791781E-2</v>
      </c>
    </row>
    <row r="219" spans="1:28" x14ac:dyDescent="0.4">
      <c r="A219" s="1">
        <v>34.558599999999998</v>
      </c>
      <c r="B219" s="1">
        <v>147</v>
      </c>
      <c r="C219" s="1">
        <v>6805.9449999999997</v>
      </c>
      <c r="D219" s="2">
        <v>1</v>
      </c>
      <c r="E219" s="1">
        <v>0</v>
      </c>
      <c r="F219" s="13">
        <f t="shared" si="15"/>
        <v>2.1598764021748634E-2</v>
      </c>
      <c r="G219">
        <f t="shared" si="16"/>
        <v>2.0949062916356561E-2</v>
      </c>
      <c r="X219" s="1">
        <v>34.5578</v>
      </c>
      <c r="Y219" s="1">
        <v>175</v>
      </c>
      <c r="Z219" s="1">
        <v>5866.5989</v>
      </c>
      <c r="AA219" s="2">
        <v>1</v>
      </c>
      <c r="AB219" s="13">
        <f t="shared" si="17"/>
        <v>2.9829890023672829E-2</v>
      </c>
    </row>
    <row r="220" spans="1:28" x14ac:dyDescent="0.4">
      <c r="A220" s="1">
        <v>34.559600000000003</v>
      </c>
      <c r="B220" s="1">
        <v>145</v>
      </c>
      <c r="C220" s="1">
        <v>6803.6522999999997</v>
      </c>
      <c r="D220" s="2">
        <v>1</v>
      </c>
      <c r="E220" s="1">
        <v>0</v>
      </c>
      <c r="F220" s="13">
        <f t="shared" si="15"/>
        <v>2.1312082629501804E-2</v>
      </c>
      <c r="G220">
        <f t="shared" si="16"/>
        <v>2.0662381524109732E-2</v>
      </c>
      <c r="X220" s="1">
        <v>34.558799999999998</v>
      </c>
      <c r="Y220" s="1">
        <v>152</v>
      </c>
      <c r="Z220" s="1">
        <v>5865.1823000000004</v>
      </c>
      <c r="AA220" s="2">
        <v>1</v>
      </c>
      <c r="AB220" s="13">
        <f t="shared" si="17"/>
        <v>2.5915648009781383E-2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0F9C-B487-4062-84CE-6EE19A0623D2}">
  <dimension ref="A1:M220"/>
  <sheetViews>
    <sheetView tabSelected="1" workbookViewId="0">
      <selection activeCell="I3" sqref="I3"/>
    </sheetView>
  </sheetViews>
  <sheetFormatPr defaultRowHeight="13.9" x14ac:dyDescent="0.4"/>
  <cols>
    <col min="6" max="6" width="30.33203125" customWidth="1"/>
    <col min="12" max="12" width="19.86328125" customWidth="1"/>
    <col min="13" max="13" width="18.796875" customWidth="1"/>
  </cols>
  <sheetData>
    <row r="1" spans="1:13" x14ac:dyDescent="0.4">
      <c r="A1" s="14" t="s">
        <v>59</v>
      </c>
      <c r="B1" s="15"/>
      <c r="C1" s="15"/>
      <c r="D1" s="15"/>
      <c r="E1" s="16"/>
      <c r="F1" s="17"/>
      <c r="G1" s="1" t="s">
        <v>60</v>
      </c>
      <c r="H1" s="1"/>
      <c r="I1" s="1"/>
      <c r="J1" s="1"/>
      <c r="M1" s="1"/>
    </row>
    <row r="2" spans="1:13" x14ac:dyDescent="0.4">
      <c r="A2" s="18" t="s">
        <v>43</v>
      </c>
      <c r="B2" s="1"/>
      <c r="C2" s="1"/>
      <c r="D2" s="1"/>
      <c r="F2" s="19"/>
      <c r="G2" s="1" t="s">
        <v>50</v>
      </c>
      <c r="H2" s="1"/>
      <c r="I2" s="1"/>
      <c r="J2" s="1"/>
      <c r="M2" s="1"/>
    </row>
    <row r="3" spans="1:13" x14ac:dyDescent="0.4">
      <c r="A3" s="18" t="s">
        <v>44</v>
      </c>
      <c r="B3" s="1"/>
      <c r="C3" s="1"/>
      <c r="D3" s="1"/>
      <c r="F3" s="19"/>
      <c r="G3" s="1" t="s">
        <v>29</v>
      </c>
      <c r="H3" s="1"/>
      <c r="I3" s="1"/>
      <c r="J3" s="1"/>
      <c r="M3" s="1"/>
    </row>
    <row r="4" spans="1:13" x14ac:dyDescent="0.4">
      <c r="A4" s="18" t="s">
        <v>45</v>
      </c>
      <c r="B4" s="1"/>
      <c r="C4" s="1"/>
      <c r="D4" s="1"/>
      <c r="F4" s="19"/>
      <c r="G4" s="1" t="s">
        <v>30</v>
      </c>
      <c r="H4" s="1"/>
      <c r="I4" s="1"/>
      <c r="J4" s="1"/>
      <c r="M4" s="1"/>
    </row>
    <row r="5" spans="1:13" x14ac:dyDescent="0.4">
      <c r="A5" s="18" t="s">
        <v>11</v>
      </c>
      <c r="B5" s="1"/>
      <c r="C5" s="1"/>
      <c r="D5" s="1"/>
      <c r="F5" s="19"/>
      <c r="G5" s="1" t="s">
        <v>31</v>
      </c>
      <c r="H5" s="1"/>
      <c r="I5" s="1"/>
      <c r="J5" s="1"/>
      <c r="M5" s="1"/>
    </row>
    <row r="6" spans="1:13" x14ac:dyDescent="0.4">
      <c r="A6" s="18" t="s">
        <v>12</v>
      </c>
      <c r="B6" s="1"/>
      <c r="C6" s="1"/>
      <c r="D6" s="1"/>
      <c r="F6" s="19"/>
      <c r="G6" s="1" t="s">
        <v>12</v>
      </c>
      <c r="H6" s="1"/>
      <c r="I6" s="1"/>
      <c r="J6" s="1"/>
      <c r="M6" s="1"/>
    </row>
    <row r="7" spans="1:13" x14ac:dyDescent="0.4">
      <c r="A7" s="18" t="s">
        <v>7</v>
      </c>
      <c r="B7" s="1"/>
      <c r="C7" s="1"/>
      <c r="D7" s="1"/>
      <c r="F7" s="19"/>
      <c r="G7" s="1" t="s">
        <v>32</v>
      </c>
      <c r="H7" s="1"/>
      <c r="I7" s="1"/>
      <c r="J7" s="1"/>
      <c r="M7" s="1"/>
    </row>
    <row r="8" spans="1:13" x14ac:dyDescent="0.4">
      <c r="A8" s="18" t="s">
        <v>0</v>
      </c>
      <c r="B8" s="1"/>
      <c r="C8" s="1"/>
      <c r="D8" s="1"/>
      <c r="F8" s="19"/>
      <c r="G8" s="1" t="s">
        <v>0</v>
      </c>
      <c r="H8" s="1"/>
      <c r="I8" s="1"/>
      <c r="J8" s="1"/>
      <c r="M8" s="1"/>
    </row>
    <row r="9" spans="1:13" x14ac:dyDescent="0.4">
      <c r="A9" s="18" t="s">
        <v>8</v>
      </c>
      <c r="B9" s="1"/>
      <c r="C9" s="1"/>
      <c r="D9" s="1"/>
      <c r="F9" s="19"/>
      <c r="G9" s="1" t="s">
        <v>33</v>
      </c>
      <c r="H9" s="1"/>
      <c r="I9" s="1"/>
      <c r="J9" s="1"/>
      <c r="M9" s="1"/>
    </row>
    <row r="10" spans="1:13" x14ac:dyDescent="0.4">
      <c r="A10" s="18" t="s">
        <v>1</v>
      </c>
      <c r="B10" s="1"/>
      <c r="C10" s="1"/>
      <c r="D10" s="1"/>
      <c r="F10" s="19"/>
      <c r="G10" s="1" t="s">
        <v>1</v>
      </c>
      <c r="H10" s="1"/>
      <c r="I10" s="1"/>
      <c r="J10" s="1"/>
      <c r="M10" s="1"/>
    </row>
    <row r="11" spans="1:13" x14ac:dyDescent="0.4">
      <c r="A11" s="18" t="s">
        <v>2</v>
      </c>
      <c r="B11" s="1"/>
      <c r="C11" s="1"/>
      <c r="D11" s="1"/>
      <c r="F11" s="19"/>
      <c r="G11" s="1" t="s">
        <v>2</v>
      </c>
      <c r="H11" s="1"/>
      <c r="I11" s="1"/>
      <c r="J11" s="1"/>
      <c r="M11" s="1"/>
    </row>
    <row r="12" spans="1:13" x14ac:dyDescent="0.4">
      <c r="A12" s="18" t="s">
        <v>3</v>
      </c>
      <c r="B12" s="1"/>
      <c r="C12" s="1"/>
      <c r="D12" s="1"/>
      <c r="F12" s="19"/>
      <c r="G12" s="1" t="s">
        <v>3</v>
      </c>
      <c r="H12" s="1"/>
      <c r="I12" s="1"/>
      <c r="J12" s="1"/>
      <c r="M12" s="1"/>
    </row>
    <row r="13" spans="1:13" x14ac:dyDescent="0.4">
      <c r="A13" s="18" t="s">
        <v>4</v>
      </c>
      <c r="B13" s="1"/>
      <c r="C13" s="1"/>
      <c r="D13" s="1"/>
      <c r="F13" s="19"/>
      <c r="G13" s="1" t="s">
        <v>4</v>
      </c>
      <c r="H13" s="1"/>
      <c r="I13" s="1"/>
      <c r="J13" s="1"/>
      <c r="M13" s="1"/>
    </row>
    <row r="14" spans="1:13" x14ac:dyDescent="0.4">
      <c r="A14" s="18" t="s">
        <v>5</v>
      </c>
      <c r="B14" s="1"/>
      <c r="C14" s="1"/>
      <c r="D14" s="1"/>
      <c r="F14" s="19"/>
      <c r="G14" s="1" t="s">
        <v>5</v>
      </c>
      <c r="H14" s="1"/>
      <c r="I14" s="1"/>
      <c r="J14" s="1"/>
      <c r="M14" s="1"/>
    </row>
    <row r="15" spans="1:13" x14ac:dyDescent="0.4">
      <c r="A15" s="18" t="s">
        <v>6</v>
      </c>
      <c r="B15" s="1"/>
      <c r="C15" s="1"/>
      <c r="D15" s="1"/>
      <c r="F15" s="19"/>
      <c r="G15" s="1" t="s">
        <v>6</v>
      </c>
      <c r="H15" s="1"/>
      <c r="I15" s="1"/>
      <c r="J15" s="1"/>
      <c r="M15" s="1"/>
    </row>
    <row r="16" spans="1:13" x14ac:dyDescent="0.4">
      <c r="A16" s="18" t="s">
        <v>46</v>
      </c>
      <c r="B16" s="1"/>
      <c r="C16" s="1"/>
      <c r="D16" s="1"/>
      <c r="F16" s="19"/>
      <c r="G16" s="1" t="s">
        <v>46</v>
      </c>
      <c r="H16" s="1"/>
      <c r="I16" s="1"/>
      <c r="J16" s="1"/>
      <c r="M16" s="1"/>
    </row>
    <row r="17" spans="1:13" x14ac:dyDescent="0.4">
      <c r="A17" s="18" t="s">
        <v>47</v>
      </c>
      <c r="B17" s="1" t="s">
        <v>48</v>
      </c>
      <c r="C17" s="1"/>
      <c r="D17" s="1"/>
      <c r="F17" s="19"/>
      <c r="G17" s="1" t="s">
        <v>51</v>
      </c>
      <c r="H17" s="1" t="s">
        <v>52</v>
      </c>
      <c r="I17" s="1"/>
      <c r="J17" s="1"/>
      <c r="M17" s="1" t="s">
        <v>52</v>
      </c>
    </row>
    <row r="18" spans="1:13" x14ac:dyDescent="0.4">
      <c r="A18" s="18" t="s">
        <v>49</v>
      </c>
      <c r="B18" s="1" t="s">
        <v>21</v>
      </c>
      <c r="C18" s="1"/>
      <c r="D18" s="1"/>
      <c r="F18" s="19"/>
      <c r="G18" s="1" t="s">
        <v>49</v>
      </c>
      <c r="H18" s="1" t="s">
        <v>37</v>
      </c>
      <c r="I18" s="1"/>
      <c r="J18" s="1"/>
      <c r="M18" s="1" t="s">
        <v>37</v>
      </c>
    </row>
    <row r="19" spans="1:13" ht="17.649999999999999" x14ac:dyDescent="0.7">
      <c r="A19" s="18" t="s">
        <v>22</v>
      </c>
      <c r="B19" s="1" t="s">
        <v>23</v>
      </c>
      <c r="C19" s="1" t="s">
        <v>24</v>
      </c>
      <c r="D19" s="1" t="s">
        <v>25</v>
      </c>
      <c r="E19" s="1" t="s">
        <v>14</v>
      </c>
      <c r="F19" s="20" t="s">
        <v>58</v>
      </c>
      <c r="G19" s="1" t="s">
        <v>22</v>
      </c>
      <c r="H19" s="1" t="s">
        <v>23</v>
      </c>
      <c r="I19" s="1" t="s">
        <v>24</v>
      </c>
      <c r="J19" s="1" t="s">
        <v>25</v>
      </c>
      <c r="K19" s="1" t="s">
        <v>14</v>
      </c>
      <c r="M19" s="1" t="s">
        <v>23</v>
      </c>
    </row>
    <row r="20" spans="1:13" x14ac:dyDescent="0.4">
      <c r="A20" s="18">
        <v>68.588899999999995</v>
      </c>
      <c r="B20" s="1">
        <v>23</v>
      </c>
      <c r="C20" s="1">
        <v>6775.2691000000004</v>
      </c>
      <c r="D20" s="2">
        <v>1</v>
      </c>
      <c r="E20" s="13">
        <f>B20/C20*D20</f>
        <v>3.3946991123939268E-3</v>
      </c>
      <c r="F20" s="21">
        <v>23</v>
      </c>
      <c r="G20" s="1">
        <v>68.588999999999999</v>
      </c>
      <c r="H20" s="1">
        <v>73</v>
      </c>
      <c r="I20" s="1">
        <v>6094.1574000000001</v>
      </c>
      <c r="J20" s="2">
        <v>1</v>
      </c>
      <c r="K20" s="13">
        <f>H20/I20*J20</f>
        <v>1.1978686339804744E-2</v>
      </c>
      <c r="M20" s="1">
        <v>73</v>
      </c>
    </row>
    <row r="21" spans="1:13" x14ac:dyDescent="0.4">
      <c r="A21" s="18">
        <v>68.5989</v>
      </c>
      <c r="B21" s="1">
        <v>25</v>
      </c>
      <c r="C21" s="1">
        <v>6772.2003000000004</v>
      </c>
      <c r="D21" s="2">
        <v>1</v>
      </c>
      <c r="E21" s="13">
        <f t="shared" ref="E21:E84" si="0">B21/C21*D21</f>
        <v>3.691562401070742E-3</v>
      </c>
      <c r="F21" s="21">
        <v>25</v>
      </c>
      <c r="G21" s="1">
        <v>68.599000000000004</v>
      </c>
      <c r="H21" s="1">
        <v>61</v>
      </c>
      <c r="I21" s="1">
        <v>6094.6585999999998</v>
      </c>
      <c r="J21" s="2">
        <v>1</v>
      </c>
      <c r="K21" s="13">
        <f t="shared" ref="K21:K84" si="1">H21/I21*J21</f>
        <v>1.0008764067605034E-2</v>
      </c>
      <c r="M21" s="1">
        <v>61</v>
      </c>
    </row>
    <row r="22" spans="1:13" x14ac:dyDescent="0.4">
      <c r="A22" s="18">
        <v>68.608900000000006</v>
      </c>
      <c r="B22" s="1">
        <v>28</v>
      </c>
      <c r="C22" s="1">
        <v>6774.1292999999996</v>
      </c>
      <c r="D22" s="2">
        <v>1</v>
      </c>
      <c r="E22" s="13">
        <f t="shared" si="0"/>
        <v>4.1333725354194229E-3</v>
      </c>
      <c r="F22" s="21">
        <v>28</v>
      </c>
      <c r="G22" s="1">
        <v>68.608999999999995</v>
      </c>
      <c r="H22" s="1">
        <v>85</v>
      </c>
      <c r="I22" s="1">
        <v>6092.7295000000004</v>
      </c>
      <c r="J22" s="2">
        <v>1</v>
      </c>
      <c r="K22" s="13">
        <f t="shared" si="1"/>
        <v>1.3951054285275589E-2</v>
      </c>
      <c r="M22" s="1">
        <v>85</v>
      </c>
    </row>
    <row r="23" spans="1:13" x14ac:dyDescent="0.4">
      <c r="A23" s="18">
        <v>68.618899999999996</v>
      </c>
      <c r="B23" s="1">
        <v>20</v>
      </c>
      <c r="C23" s="1">
        <v>6770.4475000000002</v>
      </c>
      <c r="D23" s="2">
        <v>1</v>
      </c>
      <c r="E23" s="13">
        <f t="shared" si="0"/>
        <v>2.954014487225549E-3</v>
      </c>
      <c r="F23" s="21">
        <v>20</v>
      </c>
      <c r="G23" s="1">
        <v>68.619</v>
      </c>
      <c r="H23" s="1">
        <v>97</v>
      </c>
      <c r="I23" s="1">
        <v>6093.0115999999998</v>
      </c>
      <c r="J23" s="2">
        <v>1</v>
      </c>
      <c r="K23" s="13">
        <f t="shared" si="1"/>
        <v>1.5919877782605896E-2</v>
      </c>
      <c r="M23" s="1">
        <v>97</v>
      </c>
    </row>
    <row r="24" spans="1:13" x14ac:dyDescent="0.4">
      <c r="A24" s="18">
        <v>68.628900000000002</v>
      </c>
      <c r="B24" s="1">
        <v>39</v>
      </c>
      <c r="C24" s="1">
        <v>6770.6979000000001</v>
      </c>
      <c r="D24" s="2">
        <v>1</v>
      </c>
      <c r="E24" s="13">
        <f t="shared" si="0"/>
        <v>5.7601152164830751E-3</v>
      </c>
      <c r="F24" s="21">
        <v>39</v>
      </c>
      <c r="G24" s="1">
        <v>68.629000000000005</v>
      </c>
      <c r="H24" s="1">
        <v>98</v>
      </c>
      <c r="I24" s="1">
        <v>6091.2644</v>
      </c>
      <c r="J24" s="2">
        <v>1</v>
      </c>
      <c r="K24" s="13">
        <f t="shared" si="1"/>
        <v>1.608861372033038E-2</v>
      </c>
      <c r="M24" s="1">
        <v>98</v>
      </c>
    </row>
    <row r="25" spans="1:13" x14ac:dyDescent="0.4">
      <c r="A25" s="18">
        <v>68.638900000000007</v>
      </c>
      <c r="B25" s="1">
        <v>29</v>
      </c>
      <c r="C25" s="1">
        <v>6768.7584999999999</v>
      </c>
      <c r="D25" s="2">
        <v>1</v>
      </c>
      <c r="E25" s="13">
        <f t="shared" si="0"/>
        <v>4.2843898183101085E-3</v>
      </c>
      <c r="F25" s="21">
        <v>29</v>
      </c>
      <c r="G25" s="1">
        <v>68.638999999999996</v>
      </c>
      <c r="H25" s="1">
        <v>108</v>
      </c>
      <c r="I25" s="1">
        <v>6089.6418000000003</v>
      </c>
      <c r="J25" s="2">
        <v>1</v>
      </c>
      <c r="K25" s="13">
        <f t="shared" si="1"/>
        <v>1.7735033282253152E-2</v>
      </c>
      <c r="M25" s="1">
        <v>108</v>
      </c>
    </row>
    <row r="26" spans="1:13" x14ac:dyDescent="0.4">
      <c r="A26" s="18">
        <v>68.648899999999998</v>
      </c>
      <c r="B26" s="1">
        <v>32</v>
      </c>
      <c r="C26" s="1">
        <v>6766.7755999999999</v>
      </c>
      <c r="D26" s="2">
        <v>1</v>
      </c>
      <c r="E26" s="13">
        <f t="shared" si="0"/>
        <v>4.7289879096921728E-3</v>
      </c>
      <c r="F26" s="21">
        <v>32</v>
      </c>
      <c r="G26" s="1">
        <v>68.649000000000001</v>
      </c>
      <c r="H26" s="1">
        <v>120</v>
      </c>
      <c r="I26" s="1">
        <v>6088.3094000000001</v>
      </c>
      <c r="J26" s="2">
        <v>1</v>
      </c>
      <c r="K26" s="13">
        <f t="shared" si="1"/>
        <v>1.970990501895321E-2</v>
      </c>
      <c r="M26" s="1">
        <v>120</v>
      </c>
    </row>
    <row r="27" spans="1:13" x14ac:dyDescent="0.4">
      <c r="A27" s="18">
        <v>68.658900000000003</v>
      </c>
      <c r="B27" s="1">
        <v>35</v>
      </c>
      <c r="C27" s="1">
        <v>6760.7655000000004</v>
      </c>
      <c r="D27" s="2">
        <v>1</v>
      </c>
      <c r="E27" s="13">
        <f t="shared" si="0"/>
        <v>5.1769285593473106E-3</v>
      </c>
      <c r="F27" s="21">
        <v>35</v>
      </c>
      <c r="G27" s="1">
        <v>68.659000000000006</v>
      </c>
      <c r="H27" s="1">
        <v>110</v>
      </c>
      <c r="I27" s="1">
        <v>6088.5501999999997</v>
      </c>
      <c r="J27" s="2">
        <v>1</v>
      </c>
      <c r="K27" s="13">
        <f t="shared" si="1"/>
        <v>1.8066698374269791E-2</v>
      </c>
      <c r="M27" s="1">
        <v>110</v>
      </c>
    </row>
    <row r="28" spans="1:13" x14ac:dyDescent="0.4">
      <c r="A28" s="18">
        <v>68.668899999999994</v>
      </c>
      <c r="B28" s="1">
        <v>39</v>
      </c>
      <c r="C28" s="1">
        <v>6760.0956999999999</v>
      </c>
      <c r="D28" s="2">
        <v>1</v>
      </c>
      <c r="E28" s="13">
        <f t="shared" si="0"/>
        <v>5.7691490965135301E-3</v>
      </c>
      <c r="F28" s="21">
        <v>39</v>
      </c>
      <c r="G28" s="1">
        <v>68.668999999999997</v>
      </c>
      <c r="H28" s="1">
        <v>109</v>
      </c>
      <c r="I28" s="1">
        <v>6087.1126999999997</v>
      </c>
      <c r="J28" s="2">
        <v>1</v>
      </c>
      <c r="K28" s="13">
        <f t="shared" si="1"/>
        <v>1.7906683410018023E-2</v>
      </c>
      <c r="M28" s="1">
        <v>109</v>
      </c>
    </row>
    <row r="29" spans="1:13" x14ac:dyDescent="0.4">
      <c r="A29" s="18">
        <v>68.678899999999999</v>
      </c>
      <c r="B29" s="1">
        <v>38</v>
      </c>
      <c r="C29" s="1">
        <v>6760.8927999999996</v>
      </c>
      <c r="D29" s="2">
        <v>1</v>
      </c>
      <c r="E29" s="13">
        <f t="shared" si="0"/>
        <v>5.6205594622059383E-3</v>
      </c>
      <c r="F29" s="21">
        <v>38</v>
      </c>
      <c r="G29" s="1">
        <v>68.679000000000002</v>
      </c>
      <c r="H29" s="1">
        <v>115</v>
      </c>
      <c r="I29" s="1">
        <v>6086.8087999999998</v>
      </c>
      <c r="J29" s="2">
        <v>1</v>
      </c>
      <c r="K29" s="13">
        <f t="shared" si="1"/>
        <v>1.8893315656637679E-2</v>
      </c>
      <c r="M29" s="1">
        <v>115</v>
      </c>
    </row>
    <row r="30" spans="1:13" x14ac:dyDescent="0.4">
      <c r="A30" s="18">
        <v>68.688900000000004</v>
      </c>
      <c r="B30" s="1">
        <v>58</v>
      </c>
      <c r="C30" s="1">
        <v>6755.4867000000004</v>
      </c>
      <c r="D30" s="2">
        <v>1</v>
      </c>
      <c r="E30" s="13">
        <f t="shared" si="0"/>
        <v>8.5856138240935319E-3</v>
      </c>
      <c r="F30" s="21">
        <v>58</v>
      </c>
      <c r="G30" s="1">
        <v>68.688999999999993</v>
      </c>
      <c r="H30" s="1">
        <v>101</v>
      </c>
      <c r="I30" s="1">
        <v>6086.3245999999999</v>
      </c>
      <c r="J30" s="2">
        <v>1</v>
      </c>
      <c r="K30" s="13">
        <f t="shared" si="1"/>
        <v>1.6594579921024914E-2</v>
      </c>
      <c r="M30" s="1">
        <v>101</v>
      </c>
    </row>
    <row r="31" spans="1:13" x14ac:dyDescent="0.4">
      <c r="A31" s="18">
        <v>68.698899999999995</v>
      </c>
      <c r="B31" s="1">
        <v>60</v>
      </c>
      <c r="C31" s="1">
        <v>6751.9170000000004</v>
      </c>
      <c r="D31" s="2">
        <v>1</v>
      </c>
      <c r="E31" s="13">
        <f t="shared" si="0"/>
        <v>8.8863651611831122E-3</v>
      </c>
      <c r="F31" s="21">
        <v>60</v>
      </c>
      <c r="G31" s="1">
        <v>68.698999999999998</v>
      </c>
      <c r="H31" s="1">
        <v>125</v>
      </c>
      <c r="I31" s="1">
        <v>6083.4391999999998</v>
      </c>
      <c r="J31" s="2">
        <v>1</v>
      </c>
      <c r="K31" s="13">
        <f t="shared" si="1"/>
        <v>2.0547587621160084E-2</v>
      </c>
      <c r="M31" s="1">
        <v>125</v>
      </c>
    </row>
    <row r="32" spans="1:13" x14ac:dyDescent="0.4">
      <c r="A32" s="18">
        <v>68.7089</v>
      </c>
      <c r="B32" s="1">
        <v>40</v>
      </c>
      <c r="C32" s="1">
        <v>6749.5855000000001</v>
      </c>
      <c r="D32" s="2">
        <v>1</v>
      </c>
      <c r="E32" s="13">
        <f t="shared" si="0"/>
        <v>5.926289844020792E-3</v>
      </c>
      <c r="F32" s="21">
        <v>40</v>
      </c>
      <c r="G32" s="1">
        <v>68.709000000000003</v>
      </c>
      <c r="H32" s="1">
        <v>132</v>
      </c>
      <c r="I32" s="1">
        <v>6084.8059000000003</v>
      </c>
      <c r="J32" s="2">
        <v>1</v>
      </c>
      <c r="K32" s="13">
        <f t="shared" si="1"/>
        <v>2.1693378912875427E-2</v>
      </c>
      <c r="M32" s="1">
        <v>132</v>
      </c>
    </row>
    <row r="33" spans="1:13" x14ac:dyDescent="0.4">
      <c r="A33" s="18">
        <v>68.718900000000005</v>
      </c>
      <c r="B33" s="1">
        <v>58</v>
      </c>
      <c r="C33" s="1">
        <v>6750.02</v>
      </c>
      <c r="D33" s="2">
        <v>1</v>
      </c>
      <c r="E33" s="13">
        <f t="shared" si="0"/>
        <v>8.592567133134419E-3</v>
      </c>
      <c r="F33" s="21">
        <v>58</v>
      </c>
      <c r="G33" s="1">
        <v>68.718999999999994</v>
      </c>
      <c r="H33" s="1">
        <v>117</v>
      </c>
      <c r="I33" s="1">
        <v>6082.0632999999998</v>
      </c>
      <c r="J33" s="2">
        <v>1</v>
      </c>
      <c r="K33" s="13">
        <f t="shared" si="1"/>
        <v>1.9236892848517376E-2</v>
      </c>
      <c r="M33" s="1">
        <v>117</v>
      </c>
    </row>
    <row r="34" spans="1:13" x14ac:dyDescent="0.4">
      <c r="A34" s="18">
        <v>68.728899999999996</v>
      </c>
      <c r="B34" s="1">
        <v>51</v>
      </c>
      <c r="C34" s="1">
        <v>6749.8266999999996</v>
      </c>
      <c r="D34" s="2">
        <v>1</v>
      </c>
      <c r="E34" s="13">
        <f t="shared" si="0"/>
        <v>7.5557495424289937E-3</v>
      </c>
      <c r="F34" s="21">
        <v>51</v>
      </c>
      <c r="G34" s="1">
        <v>68.728999999999999</v>
      </c>
      <c r="H34" s="1">
        <v>141</v>
      </c>
      <c r="I34" s="1">
        <v>6082.7097000000003</v>
      </c>
      <c r="J34" s="2">
        <v>1</v>
      </c>
      <c r="K34" s="13">
        <f t="shared" si="1"/>
        <v>2.3180458538075554E-2</v>
      </c>
      <c r="M34" s="1">
        <v>141</v>
      </c>
    </row>
    <row r="35" spans="1:13" x14ac:dyDescent="0.4">
      <c r="A35" s="18">
        <v>68.738900000000001</v>
      </c>
      <c r="B35" s="1">
        <v>54</v>
      </c>
      <c r="C35" s="1">
        <v>6753.2942000000003</v>
      </c>
      <c r="D35" s="2">
        <v>1</v>
      </c>
      <c r="E35" s="13">
        <f t="shared" si="0"/>
        <v>7.996097667416888E-3</v>
      </c>
      <c r="F35" s="21">
        <v>54</v>
      </c>
      <c r="G35" s="1">
        <v>68.739000000000004</v>
      </c>
      <c r="H35" s="1">
        <v>136</v>
      </c>
      <c r="I35" s="1">
        <v>6081.1131999999998</v>
      </c>
      <c r="J35" s="2">
        <v>1</v>
      </c>
      <c r="K35" s="13">
        <f t="shared" si="1"/>
        <v>2.2364326321042668E-2</v>
      </c>
      <c r="M35" s="1">
        <v>136</v>
      </c>
    </row>
    <row r="36" spans="1:13" x14ac:dyDescent="0.4">
      <c r="A36" s="18">
        <v>68.748900000000006</v>
      </c>
      <c r="B36" s="1">
        <v>45</v>
      </c>
      <c r="C36" s="1">
        <v>6755.9669000000004</v>
      </c>
      <c r="D36" s="2">
        <v>1</v>
      </c>
      <c r="E36" s="13">
        <f t="shared" si="0"/>
        <v>6.6607786370297337E-3</v>
      </c>
      <c r="F36" s="21">
        <v>45</v>
      </c>
      <c r="G36" s="1">
        <v>68.748999999999995</v>
      </c>
      <c r="H36" s="1">
        <v>148</v>
      </c>
      <c r="I36" s="1">
        <v>6080.5245999999997</v>
      </c>
      <c r="J36" s="2">
        <v>1</v>
      </c>
      <c r="K36" s="13">
        <f t="shared" si="1"/>
        <v>2.434000513705676E-2</v>
      </c>
      <c r="M36" s="1">
        <v>148</v>
      </c>
    </row>
    <row r="37" spans="1:13" x14ac:dyDescent="0.4">
      <c r="A37" s="18">
        <v>68.758899999999997</v>
      </c>
      <c r="B37" s="1">
        <v>54</v>
      </c>
      <c r="C37" s="1">
        <v>6754.1772000000001</v>
      </c>
      <c r="D37" s="2">
        <v>1</v>
      </c>
      <c r="E37" s="13">
        <f t="shared" si="0"/>
        <v>7.9950523062972054E-3</v>
      </c>
      <c r="F37" s="21">
        <v>54</v>
      </c>
      <c r="G37" s="1">
        <v>68.759</v>
      </c>
      <c r="H37" s="1">
        <v>144</v>
      </c>
      <c r="I37" s="1">
        <v>6079.0856999999996</v>
      </c>
      <c r="J37" s="2">
        <v>1</v>
      </c>
      <c r="K37" s="13">
        <f t="shared" si="1"/>
        <v>2.3687772653048798E-2</v>
      </c>
      <c r="M37" s="1">
        <v>144</v>
      </c>
    </row>
    <row r="38" spans="1:13" x14ac:dyDescent="0.4">
      <c r="A38" s="18">
        <v>68.768900000000002</v>
      </c>
      <c r="B38" s="1">
        <v>69</v>
      </c>
      <c r="C38" s="1">
        <v>6753.17</v>
      </c>
      <c r="D38" s="2">
        <v>1</v>
      </c>
      <c r="E38" s="13">
        <f t="shared" si="0"/>
        <v>1.0217423817259154E-2</v>
      </c>
      <c r="F38" s="21">
        <v>69</v>
      </c>
      <c r="G38" s="1">
        <v>68.769000000000005</v>
      </c>
      <c r="H38" s="1">
        <v>159</v>
      </c>
      <c r="I38" s="1">
        <v>6077.3608999999997</v>
      </c>
      <c r="J38" s="2">
        <v>1</v>
      </c>
      <c r="K38" s="13">
        <f t="shared" si="1"/>
        <v>2.6162672024299234E-2</v>
      </c>
      <c r="M38" s="1">
        <v>159</v>
      </c>
    </row>
    <row r="39" spans="1:13" x14ac:dyDescent="0.4">
      <c r="A39" s="18">
        <v>68.778899999999993</v>
      </c>
      <c r="B39" s="1">
        <v>81</v>
      </c>
      <c r="C39" s="1">
        <v>6753.9866000000002</v>
      </c>
      <c r="D39" s="2">
        <v>1</v>
      </c>
      <c r="E39" s="13">
        <f t="shared" si="0"/>
        <v>1.1992916894445718E-2</v>
      </c>
      <c r="F39" s="21">
        <v>81</v>
      </c>
      <c r="G39" s="1">
        <v>68.778999999999996</v>
      </c>
      <c r="H39" s="1">
        <v>159</v>
      </c>
      <c r="I39" s="1">
        <v>6077.3576999999996</v>
      </c>
      <c r="J39" s="2">
        <v>1</v>
      </c>
      <c r="K39" s="13">
        <f t="shared" si="1"/>
        <v>2.6162685800113428E-2</v>
      </c>
      <c r="M39" s="1">
        <v>159</v>
      </c>
    </row>
    <row r="40" spans="1:13" x14ac:dyDescent="0.4">
      <c r="A40" s="18">
        <v>68.788899999999998</v>
      </c>
      <c r="B40" s="1">
        <v>79</v>
      </c>
      <c r="C40" s="1">
        <v>6750.6496999999999</v>
      </c>
      <c r="D40" s="2">
        <v>1</v>
      </c>
      <c r="E40" s="13">
        <f t="shared" si="0"/>
        <v>1.1702577308966277E-2</v>
      </c>
      <c r="F40" s="21">
        <v>79</v>
      </c>
      <c r="G40" s="1">
        <v>68.789000000000001</v>
      </c>
      <c r="H40" s="1">
        <v>176</v>
      </c>
      <c r="I40" s="1">
        <v>6076.4670999999998</v>
      </c>
      <c r="J40" s="2">
        <v>1</v>
      </c>
      <c r="K40" s="13">
        <f t="shared" si="1"/>
        <v>2.896419862126794E-2</v>
      </c>
      <c r="M40" s="1">
        <v>176</v>
      </c>
    </row>
    <row r="41" spans="1:13" x14ac:dyDescent="0.4">
      <c r="A41" s="18">
        <v>68.798900000000003</v>
      </c>
      <c r="B41" s="1">
        <v>74</v>
      </c>
      <c r="C41" s="1">
        <v>6748.7956999999997</v>
      </c>
      <c r="D41" s="2">
        <v>1</v>
      </c>
      <c r="E41" s="13">
        <f t="shared" si="0"/>
        <v>1.0964919267003445E-2</v>
      </c>
      <c r="F41" s="21">
        <v>74</v>
      </c>
      <c r="G41" s="1">
        <v>68.799000000000007</v>
      </c>
      <c r="H41" s="1">
        <v>165</v>
      </c>
      <c r="I41" s="1">
        <v>6076.5519999999997</v>
      </c>
      <c r="J41" s="2">
        <v>1</v>
      </c>
      <c r="K41" s="13">
        <f t="shared" si="1"/>
        <v>2.7153556819722764E-2</v>
      </c>
      <c r="M41" s="1">
        <v>165</v>
      </c>
    </row>
    <row r="42" spans="1:13" x14ac:dyDescent="0.4">
      <c r="A42" s="18">
        <v>68.808899999999994</v>
      </c>
      <c r="B42" s="1">
        <v>92</v>
      </c>
      <c r="C42" s="1">
        <v>6746.6130999999996</v>
      </c>
      <c r="D42" s="2">
        <v>1</v>
      </c>
      <c r="E42" s="13">
        <f t="shared" si="0"/>
        <v>1.3636471906177635E-2</v>
      </c>
      <c r="F42" s="21">
        <v>92</v>
      </c>
      <c r="G42" s="1">
        <v>68.808999999999997</v>
      </c>
      <c r="H42" s="1">
        <v>179</v>
      </c>
      <c r="I42" s="1">
        <v>6076.9780000000001</v>
      </c>
      <c r="J42" s="2">
        <v>1</v>
      </c>
      <c r="K42" s="13">
        <f t="shared" si="1"/>
        <v>2.9455429985101148E-2</v>
      </c>
      <c r="M42" s="1">
        <v>179</v>
      </c>
    </row>
    <row r="43" spans="1:13" x14ac:dyDescent="0.4">
      <c r="A43" s="18">
        <v>68.818899999999999</v>
      </c>
      <c r="B43" s="1">
        <v>83</v>
      </c>
      <c r="C43" s="1">
        <v>6746.0384999999997</v>
      </c>
      <c r="D43" s="2">
        <v>1</v>
      </c>
      <c r="E43" s="13">
        <f t="shared" si="0"/>
        <v>1.2303517093772887E-2</v>
      </c>
      <c r="F43" s="21">
        <v>83</v>
      </c>
      <c r="G43" s="1">
        <v>68.819000000000003</v>
      </c>
      <c r="H43" s="1">
        <v>187</v>
      </c>
      <c r="I43" s="1">
        <v>6075.7183999999997</v>
      </c>
      <c r="J43" s="2">
        <v>1</v>
      </c>
      <c r="K43" s="13">
        <f t="shared" si="1"/>
        <v>3.0778253317336104E-2</v>
      </c>
      <c r="M43" s="1">
        <v>187</v>
      </c>
    </row>
    <row r="44" spans="1:13" x14ac:dyDescent="0.4">
      <c r="A44" s="18">
        <v>68.828900000000004</v>
      </c>
      <c r="B44" s="1">
        <v>78</v>
      </c>
      <c r="C44" s="1">
        <v>6743.6184000000003</v>
      </c>
      <c r="D44" s="2">
        <v>1</v>
      </c>
      <c r="E44" s="13">
        <f t="shared" si="0"/>
        <v>1.1566490772965446E-2</v>
      </c>
      <c r="F44" s="21">
        <v>78</v>
      </c>
      <c r="G44" s="1">
        <v>68.828999999999994</v>
      </c>
      <c r="H44" s="1">
        <v>169</v>
      </c>
      <c r="I44" s="1">
        <v>6073.9059999999999</v>
      </c>
      <c r="J44" s="2">
        <v>1</v>
      </c>
      <c r="K44" s="13">
        <f t="shared" si="1"/>
        <v>2.7823940640503822E-2</v>
      </c>
      <c r="M44" s="1">
        <v>169</v>
      </c>
    </row>
    <row r="45" spans="1:13" x14ac:dyDescent="0.4">
      <c r="A45" s="18">
        <v>68.838899999999995</v>
      </c>
      <c r="B45" s="1">
        <v>86</v>
      </c>
      <c r="C45" s="1">
        <v>6739.7847000000002</v>
      </c>
      <c r="D45" s="2">
        <v>1</v>
      </c>
      <c r="E45" s="13">
        <f t="shared" si="0"/>
        <v>1.2760051519153126E-2</v>
      </c>
      <c r="F45" s="21">
        <v>86</v>
      </c>
      <c r="G45" s="1">
        <v>68.838999999999999</v>
      </c>
      <c r="H45" s="1">
        <v>209</v>
      </c>
      <c r="I45" s="1">
        <v>6073.6544000000004</v>
      </c>
      <c r="J45" s="2">
        <v>1</v>
      </c>
      <c r="K45" s="13">
        <f t="shared" si="1"/>
        <v>3.4410914127744906E-2</v>
      </c>
      <c r="M45" s="1">
        <v>209</v>
      </c>
    </row>
    <row r="46" spans="1:13" x14ac:dyDescent="0.4">
      <c r="A46" s="18">
        <v>68.8489</v>
      </c>
      <c r="B46" s="1">
        <v>102</v>
      </c>
      <c r="C46" s="1">
        <v>6742.3891999999996</v>
      </c>
      <c r="D46" s="2">
        <v>1</v>
      </c>
      <c r="E46" s="13">
        <f t="shared" si="0"/>
        <v>1.5128168513321659E-2</v>
      </c>
      <c r="F46" s="21">
        <v>102</v>
      </c>
      <c r="G46" s="1">
        <v>68.849000000000004</v>
      </c>
      <c r="H46" s="1">
        <v>188</v>
      </c>
      <c r="I46" s="1">
        <v>6072.4589999999998</v>
      </c>
      <c r="J46" s="2">
        <v>1</v>
      </c>
      <c r="K46" s="13">
        <f t="shared" si="1"/>
        <v>3.095945151708723E-2</v>
      </c>
      <c r="M46" s="1">
        <v>188</v>
      </c>
    </row>
    <row r="47" spans="1:13" x14ac:dyDescent="0.4">
      <c r="A47" s="18">
        <v>68.858900000000006</v>
      </c>
      <c r="B47" s="1">
        <v>105</v>
      </c>
      <c r="C47" s="1">
        <v>6746.1280999999999</v>
      </c>
      <c r="D47" s="2">
        <v>1</v>
      </c>
      <c r="E47" s="13">
        <f t="shared" si="0"/>
        <v>1.5564483573918497E-2</v>
      </c>
      <c r="F47" s="21">
        <v>105</v>
      </c>
      <c r="G47" s="1">
        <v>68.858999999999995</v>
      </c>
      <c r="H47" s="1">
        <v>215</v>
      </c>
      <c r="I47" s="1">
        <v>6072.7295999999997</v>
      </c>
      <c r="J47" s="2">
        <v>1</v>
      </c>
      <c r="K47" s="13">
        <f t="shared" si="1"/>
        <v>3.5404178048698234E-2</v>
      </c>
      <c r="M47" s="1">
        <v>215</v>
      </c>
    </row>
    <row r="48" spans="1:13" x14ac:dyDescent="0.4">
      <c r="A48" s="18">
        <v>68.868899999999996</v>
      </c>
      <c r="B48" s="1">
        <v>106</v>
      </c>
      <c r="C48" s="1">
        <v>6746.8958000000002</v>
      </c>
      <c r="D48" s="2">
        <v>1</v>
      </c>
      <c r="E48" s="13">
        <f t="shared" si="0"/>
        <v>1.5710928868947406E-2</v>
      </c>
      <c r="F48" s="21">
        <v>106</v>
      </c>
      <c r="G48" s="1">
        <v>68.869</v>
      </c>
      <c r="H48" s="1">
        <v>210</v>
      </c>
      <c r="I48" s="1">
        <v>6073.5990000000002</v>
      </c>
      <c r="J48" s="2">
        <v>1</v>
      </c>
      <c r="K48" s="13">
        <f t="shared" si="1"/>
        <v>3.4575875028957294E-2</v>
      </c>
      <c r="M48" s="1">
        <v>210</v>
      </c>
    </row>
    <row r="49" spans="1:13" x14ac:dyDescent="0.4">
      <c r="A49" s="18">
        <v>68.878900000000002</v>
      </c>
      <c r="B49" s="1">
        <v>123</v>
      </c>
      <c r="C49" s="1">
        <v>6747.3063000000002</v>
      </c>
      <c r="D49" s="2">
        <v>1</v>
      </c>
      <c r="E49" s="13">
        <f t="shared" si="0"/>
        <v>1.8229497006827747E-2</v>
      </c>
      <c r="F49" s="21">
        <v>123</v>
      </c>
      <c r="G49" s="1">
        <v>68.879000000000005</v>
      </c>
      <c r="H49" s="1">
        <v>256</v>
      </c>
      <c r="I49" s="1">
        <v>6072.2741999999998</v>
      </c>
      <c r="J49" s="2">
        <v>1</v>
      </c>
      <c r="K49" s="13">
        <f t="shared" si="1"/>
        <v>4.2158833999953425E-2</v>
      </c>
      <c r="M49" s="1">
        <v>256</v>
      </c>
    </row>
    <row r="50" spans="1:13" x14ac:dyDescent="0.4">
      <c r="A50" s="18">
        <v>68.888900000000007</v>
      </c>
      <c r="B50" s="1">
        <v>131</v>
      </c>
      <c r="C50" s="1">
        <v>6748.8910999999998</v>
      </c>
      <c r="D50" s="2">
        <v>1</v>
      </c>
      <c r="E50" s="13">
        <f t="shared" si="0"/>
        <v>1.9410596208909045E-2</v>
      </c>
      <c r="F50" s="21">
        <v>131</v>
      </c>
      <c r="G50" s="1">
        <v>68.888999999999996</v>
      </c>
      <c r="H50" s="1">
        <v>261</v>
      </c>
      <c r="I50" s="1">
        <v>6071.0856000000003</v>
      </c>
      <c r="J50" s="2">
        <v>1</v>
      </c>
      <c r="K50" s="13">
        <f t="shared" si="1"/>
        <v>4.2990663811427729E-2</v>
      </c>
      <c r="M50" s="1">
        <v>261</v>
      </c>
    </row>
    <row r="51" spans="1:13" x14ac:dyDescent="0.4">
      <c r="A51" s="18">
        <v>68.898899999999998</v>
      </c>
      <c r="B51" s="1">
        <v>138</v>
      </c>
      <c r="C51" s="1">
        <v>6745.5887000000002</v>
      </c>
      <c r="D51" s="2">
        <v>1</v>
      </c>
      <c r="E51" s="13">
        <f t="shared" si="0"/>
        <v>2.0457814156383414E-2</v>
      </c>
      <c r="F51" s="21">
        <v>138</v>
      </c>
      <c r="G51" s="1">
        <v>68.899000000000001</v>
      </c>
      <c r="H51" s="1">
        <v>233</v>
      </c>
      <c r="I51" s="1">
        <v>6069.1563999999998</v>
      </c>
      <c r="J51" s="2">
        <v>1</v>
      </c>
      <c r="K51" s="13">
        <f t="shared" si="1"/>
        <v>3.8390837975439226E-2</v>
      </c>
      <c r="M51" s="1">
        <v>233</v>
      </c>
    </row>
    <row r="52" spans="1:13" x14ac:dyDescent="0.4">
      <c r="A52" s="18">
        <v>68.908900000000003</v>
      </c>
      <c r="B52" s="1">
        <v>121</v>
      </c>
      <c r="C52" s="1">
        <v>6743.4043000000001</v>
      </c>
      <c r="D52" s="2">
        <v>1</v>
      </c>
      <c r="E52" s="13">
        <f t="shared" si="0"/>
        <v>1.7943459210950766E-2</v>
      </c>
      <c r="F52" s="21">
        <v>121</v>
      </c>
      <c r="G52" s="1">
        <v>68.909000000000006</v>
      </c>
      <c r="H52" s="1">
        <v>272</v>
      </c>
      <c r="I52" s="1">
        <v>6070.5550999999996</v>
      </c>
      <c r="J52" s="2">
        <v>1</v>
      </c>
      <c r="K52" s="13">
        <f t="shared" si="1"/>
        <v>4.4806446118905996E-2</v>
      </c>
      <c r="M52" s="1">
        <v>272</v>
      </c>
    </row>
    <row r="53" spans="1:13" x14ac:dyDescent="0.4">
      <c r="A53" s="18">
        <v>68.918899999999994</v>
      </c>
      <c r="B53" s="1">
        <v>155</v>
      </c>
      <c r="C53" s="1">
        <v>6742.8793999999998</v>
      </c>
      <c r="D53" s="2">
        <v>1</v>
      </c>
      <c r="E53" s="13">
        <f t="shared" si="0"/>
        <v>2.298721225831208E-2</v>
      </c>
      <c r="F53" s="21">
        <v>155</v>
      </c>
      <c r="G53" s="1">
        <v>68.918999999999997</v>
      </c>
      <c r="H53" s="1">
        <v>255</v>
      </c>
      <c r="I53" s="1">
        <v>6068.6207999999997</v>
      </c>
      <c r="J53" s="2">
        <v>1</v>
      </c>
      <c r="K53" s="13">
        <f t="shared" si="1"/>
        <v>4.2019432158292049E-2</v>
      </c>
      <c r="M53" s="1">
        <v>255</v>
      </c>
    </row>
    <row r="54" spans="1:13" x14ac:dyDescent="0.4">
      <c r="A54" s="18">
        <v>68.928899999999999</v>
      </c>
      <c r="B54" s="1">
        <v>163</v>
      </c>
      <c r="C54" s="1">
        <v>6743.6756999999998</v>
      </c>
      <c r="D54" s="2">
        <v>1</v>
      </c>
      <c r="E54" s="13">
        <f t="shared" si="0"/>
        <v>2.417079457127513E-2</v>
      </c>
      <c r="F54" s="21">
        <v>163</v>
      </c>
      <c r="G54" s="1">
        <v>68.929000000000002</v>
      </c>
      <c r="H54" s="1">
        <v>259</v>
      </c>
      <c r="I54" s="1">
        <v>6069.1149999999998</v>
      </c>
      <c r="J54" s="2">
        <v>1</v>
      </c>
      <c r="K54" s="13">
        <f t="shared" si="1"/>
        <v>4.2675085247190075E-2</v>
      </c>
      <c r="M54" s="1">
        <v>259</v>
      </c>
    </row>
    <row r="55" spans="1:13" x14ac:dyDescent="0.4">
      <c r="A55" s="18">
        <v>68.938900000000004</v>
      </c>
      <c r="B55" s="1">
        <v>191</v>
      </c>
      <c r="C55" s="1">
        <v>6744.2345999999998</v>
      </c>
      <c r="D55" s="2">
        <v>1</v>
      </c>
      <c r="E55" s="13">
        <f t="shared" si="0"/>
        <v>2.832048576720626E-2</v>
      </c>
      <c r="F55" s="21">
        <v>191</v>
      </c>
      <c r="G55" s="1">
        <v>68.938999999999993</v>
      </c>
      <c r="H55" s="1">
        <v>309</v>
      </c>
      <c r="I55" s="1">
        <v>6066.3267999999998</v>
      </c>
      <c r="J55" s="2">
        <v>1</v>
      </c>
      <c r="K55" s="13">
        <f t="shared" si="1"/>
        <v>5.0936919521051852E-2</v>
      </c>
      <c r="M55" s="1">
        <v>309</v>
      </c>
    </row>
    <row r="56" spans="1:13" x14ac:dyDescent="0.4">
      <c r="A56" s="18">
        <v>68.948899999999995</v>
      </c>
      <c r="B56" s="1">
        <v>177</v>
      </c>
      <c r="C56" s="1">
        <v>6740.1693999999998</v>
      </c>
      <c r="D56" s="2">
        <v>1</v>
      </c>
      <c r="E56" s="13">
        <f t="shared" si="0"/>
        <v>2.6260467578159089E-2</v>
      </c>
      <c r="F56" s="21">
        <v>177</v>
      </c>
      <c r="G56" s="1">
        <v>68.948999999999998</v>
      </c>
      <c r="H56" s="1">
        <v>285</v>
      </c>
      <c r="I56" s="1">
        <v>6065.3676999999998</v>
      </c>
      <c r="J56" s="2">
        <v>1</v>
      </c>
      <c r="K56" s="13">
        <f t="shared" si="1"/>
        <v>4.6988082849453633E-2</v>
      </c>
      <c r="M56" s="1">
        <v>285</v>
      </c>
    </row>
    <row r="57" spans="1:13" x14ac:dyDescent="0.4">
      <c r="A57" s="18">
        <v>68.9589</v>
      </c>
      <c r="B57" s="1">
        <v>191</v>
      </c>
      <c r="C57" s="1">
        <v>6739.6040000000003</v>
      </c>
      <c r="D57" s="2">
        <v>1</v>
      </c>
      <c r="E57" s="13">
        <f t="shared" si="0"/>
        <v>2.8339944008579733E-2</v>
      </c>
      <c r="F57" s="21">
        <v>191</v>
      </c>
      <c r="G57" s="1">
        <v>68.959000000000003</v>
      </c>
      <c r="H57" s="1">
        <v>296</v>
      </c>
      <c r="I57" s="1">
        <v>6065.0057999999999</v>
      </c>
      <c r="J57" s="2">
        <v>1</v>
      </c>
      <c r="K57" s="13">
        <f t="shared" si="1"/>
        <v>4.8804569980790455E-2</v>
      </c>
      <c r="M57" s="1">
        <v>296</v>
      </c>
    </row>
    <row r="58" spans="1:13" x14ac:dyDescent="0.4">
      <c r="A58" s="18">
        <v>68.968900000000005</v>
      </c>
      <c r="B58" s="1">
        <v>205</v>
      </c>
      <c r="C58" s="1">
        <v>6737.4184999999998</v>
      </c>
      <c r="D58" s="2">
        <v>1</v>
      </c>
      <c r="E58" s="13">
        <f t="shared" si="0"/>
        <v>3.0427084201463811E-2</v>
      </c>
      <c r="F58" s="21">
        <v>205</v>
      </c>
      <c r="G58" s="1">
        <v>68.968999999999994</v>
      </c>
      <c r="H58" s="1">
        <v>383</v>
      </c>
      <c r="I58" s="1">
        <v>6064.2025000000003</v>
      </c>
      <c r="J58" s="2">
        <v>1</v>
      </c>
      <c r="K58" s="13">
        <f t="shared" si="1"/>
        <v>6.3157521537250766E-2</v>
      </c>
      <c r="M58" s="1">
        <v>383</v>
      </c>
    </row>
    <row r="59" spans="1:13" x14ac:dyDescent="0.4">
      <c r="A59" s="18">
        <v>68.978899999999996</v>
      </c>
      <c r="B59" s="1">
        <v>245</v>
      </c>
      <c r="C59" s="1">
        <v>6731.9728999999998</v>
      </c>
      <c r="D59" s="2">
        <v>1</v>
      </c>
      <c r="E59" s="13">
        <f t="shared" si="0"/>
        <v>3.6393491720681168E-2</v>
      </c>
      <c r="F59" s="21">
        <v>245</v>
      </c>
      <c r="G59" s="1">
        <v>68.978999999999999</v>
      </c>
      <c r="H59" s="1">
        <v>339</v>
      </c>
      <c r="I59" s="1">
        <v>6064.5362999999998</v>
      </c>
      <c r="J59" s="2">
        <v>1</v>
      </c>
      <c r="K59" s="13">
        <f t="shared" si="1"/>
        <v>5.5898750247401437E-2</v>
      </c>
      <c r="M59" s="1">
        <v>339</v>
      </c>
    </row>
    <row r="60" spans="1:13" x14ac:dyDescent="0.4">
      <c r="A60" s="18">
        <v>68.988900000000001</v>
      </c>
      <c r="B60" s="1">
        <v>268</v>
      </c>
      <c r="C60" s="1">
        <v>6730.3738000000003</v>
      </c>
      <c r="D60" s="2">
        <v>1</v>
      </c>
      <c r="E60" s="13">
        <f t="shared" si="0"/>
        <v>3.9819482240347481E-2</v>
      </c>
      <c r="F60" s="21">
        <v>268</v>
      </c>
      <c r="G60" s="1">
        <v>68.989000000000004</v>
      </c>
      <c r="H60" s="1">
        <v>354</v>
      </c>
      <c r="I60" s="1">
        <v>6064.0092999999997</v>
      </c>
      <c r="J60" s="2">
        <v>1</v>
      </c>
      <c r="K60" s="13">
        <f t="shared" si="1"/>
        <v>5.8377219177417825E-2</v>
      </c>
      <c r="M60" s="1">
        <v>354</v>
      </c>
    </row>
    <row r="61" spans="1:13" x14ac:dyDescent="0.4">
      <c r="A61" s="18">
        <v>68.998900000000006</v>
      </c>
      <c r="B61" s="1">
        <v>264</v>
      </c>
      <c r="C61" s="1">
        <v>6729.6234000000004</v>
      </c>
      <c r="D61" s="2">
        <v>1</v>
      </c>
      <c r="E61" s="13">
        <f t="shared" si="0"/>
        <v>3.922953548931133E-2</v>
      </c>
      <c r="F61" s="21">
        <v>264</v>
      </c>
      <c r="G61" s="1">
        <v>68.998999999999995</v>
      </c>
      <c r="H61" s="1">
        <v>342</v>
      </c>
      <c r="I61" s="1">
        <v>6065.4201000000003</v>
      </c>
      <c r="J61" s="2">
        <v>1</v>
      </c>
      <c r="K61" s="13">
        <f t="shared" si="1"/>
        <v>5.6385212295517663E-2</v>
      </c>
      <c r="M61" s="1">
        <v>342</v>
      </c>
    </row>
    <row r="62" spans="1:13" x14ac:dyDescent="0.4">
      <c r="A62" s="18">
        <v>69.008899999999997</v>
      </c>
      <c r="B62" s="1">
        <v>265</v>
      </c>
      <c r="C62" s="1">
        <v>6726.723</v>
      </c>
      <c r="D62" s="2">
        <v>1</v>
      </c>
      <c r="E62" s="13">
        <f t="shared" si="0"/>
        <v>3.9395111111309326E-2</v>
      </c>
      <c r="F62" s="21">
        <v>265</v>
      </c>
      <c r="G62" s="1">
        <v>69.009</v>
      </c>
      <c r="H62" s="1">
        <v>388</v>
      </c>
      <c r="I62" s="1">
        <v>6064.9467000000004</v>
      </c>
      <c r="J62" s="2">
        <v>1</v>
      </c>
      <c r="K62" s="13">
        <f t="shared" si="1"/>
        <v>6.3974181339466668E-2</v>
      </c>
      <c r="M62" s="1">
        <v>388</v>
      </c>
    </row>
    <row r="63" spans="1:13" x14ac:dyDescent="0.4">
      <c r="A63" s="18">
        <v>69.018900000000002</v>
      </c>
      <c r="B63" s="1">
        <v>315</v>
      </c>
      <c r="C63" s="1">
        <v>6725.3600999999999</v>
      </c>
      <c r="D63" s="2">
        <v>1</v>
      </c>
      <c r="E63" s="13">
        <f t="shared" si="0"/>
        <v>4.6837640708636552E-2</v>
      </c>
      <c r="F63" s="21">
        <v>315</v>
      </c>
      <c r="G63" s="1">
        <v>69.019000000000005</v>
      </c>
      <c r="H63" s="1">
        <v>404</v>
      </c>
      <c r="I63" s="1">
        <v>6065.0608000000002</v>
      </c>
      <c r="J63" s="2">
        <v>1</v>
      </c>
      <c r="K63" s="13">
        <f t="shared" si="1"/>
        <v>6.6611038754961854E-2</v>
      </c>
      <c r="M63" s="1">
        <v>404</v>
      </c>
    </row>
    <row r="64" spans="1:13" x14ac:dyDescent="0.4">
      <c r="A64" s="18">
        <v>69.028899999999993</v>
      </c>
      <c r="B64" s="1">
        <v>328</v>
      </c>
      <c r="C64" s="1">
        <v>6725.0361999999996</v>
      </c>
      <c r="D64" s="2">
        <v>1</v>
      </c>
      <c r="E64" s="13">
        <f t="shared" si="0"/>
        <v>4.8772971660732474E-2</v>
      </c>
      <c r="F64" s="21">
        <v>328</v>
      </c>
      <c r="G64" s="1">
        <v>69.028999999999996</v>
      </c>
      <c r="H64" s="1">
        <v>394</v>
      </c>
      <c r="I64" s="1">
        <v>6064.6255000000001</v>
      </c>
      <c r="J64" s="2">
        <v>1</v>
      </c>
      <c r="K64" s="13">
        <f t="shared" si="1"/>
        <v>6.4966913455744305E-2</v>
      </c>
      <c r="M64" s="1">
        <v>394</v>
      </c>
    </row>
    <row r="65" spans="1:13" x14ac:dyDescent="0.4">
      <c r="A65" s="18">
        <v>69.038899999999998</v>
      </c>
      <c r="B65" s="1">
        <v>340</v>
      </c>
      <c r="C65" s="1">
        <v>6721.2255999999998</v>
      </c>
      <c r="D65" s="2">
        <v>1</v>
      </c>
      <c r="E65" s="13">
        <f t="shared" si="0"/>
        <v>5.058601217016135E-2</v>
      </c>
      <c r="F65" s="21">
        <v>340</v>
      </c>
      <c r="G65" s="1">
        <v>69.039000000000001</v>
      </c>
      <c r="H65" s="1">
        <v>432</v>
      </c>
      <c r="I65" s="1">
        <v>6062.5982999999997</v>
      </c>
      <c r="J65" s="2">
        <v>1</v>
      </c>
      <c r="K65" s="13">
        <f t="shared" si="1"/>
        <v>7.1256576573776959E-2</v>
      </c>
      <c r="M65" s="1">
        <v>432</v>
      </c>
    </row>
    <row r="66" spans="1:13" x14ac:dyDescent="0.4">
      <c r="A66" s="18">
        <v>69.048900000000003</v>
      </c>
      <c r="B66" s="1">
        <v>343</v>
      </c>
      <c r="C66" s="1">
        <v>6716.7882</v>
      </c>
      <c r="D66" s="2">
        <v>1</v>
      </c>
      <c r="E66" s="13">
        <f t="shared" si="0"/>
        <v>5.1066073514123907E-2</v>
      </c>
      <c r="F66" s="21">
        <v>343</v>
      </c>
      <c r="G66" s="1">
        <v>69.049000000000007</v>
      </c>
      <c r="H66" s="1">
        <v>458</v>
      </c>
      <c r="I66" s="1">
        <v>6062.4493000000002</v>
      </c>
      <c r="J66" s="2">
        <v>1</v>
      </c>
      <c r="K66" s="13">
        <f t="shared" si="1"/>
        <v>7.5547023543768022E-2</v>
      </c>
      <c r="M66" s="1">
        <v>458</v>
      </c>
    </row>
    <row r="67" spans="1:13" x14ac:dyDescent="0.4">
      <c r="A67" s="18">
        <v>69.058899999999994</v>
      </c>
      <c r="B67" s="1">
        <v>383</v>
      </c>
      <c r="C67" s="1">
        <v>6716.0190000000002</v>
      </c>
      <c r="D67" s="2">
        <v>1</v>
      </c>
      <c r="E67" s="13">
        <f t="shared" si="0"/>
        <v>5.7027831517451034E-2</v>
      </c>
      <c r="F67" s="21">
        <v>383</v>
      </c>
      <c r="G67" s="1">
        <v>69.058999999999997</v>
      </c>
      <c r="H67" s="1">
        <v>454</v>
      </c>
      <c r="I67" s="1">
        <v>6062.6487999999999</v>
      </c>
      <c r="J67" s="2">
        <v>1</v>
      </c>
      <c r="K67" s="13">
        <f t="shared" si="1"/>
        <v>7.488475994189206E-2</v>
      </c>
      <c r="M67" s="1">
        <v>454</v>
      </c>
    </row>
    <row r="68" spans="1:13" x14ac:dyDescent="0.4">
      <c r="A68" s="18">
        <v>69.068899999999999</v>
      </c>
      <c r="B68" s="1">
        <v>406</v>
      </c>
      <c r="C68" s="1">
        <v>6713.8444</v>
      </c>
      <c r="D68" s="2">
        <v>1</v>
      </c>
      <c r="E68" s="13">
        <f t="shared" si="0"/>
        <v>6.0472059793342844E-2</v>
      </c>
      <c r="F68" s="21">
        <v>406</v>
      </c>
      <c r="G68" s="1">
        <v>69.069000000000003</v>
      </c>
      <c r="H68" s="1">
        <v>521</v>
      </c>
      <c r="I68" s="1">
        <v>6057.9475000000002</v>
      </c>
      <c r="J68" s="2">
        <v>1</v>
      </c>
      <c r="K68" s="13">
        <f t="shared" si="1"/>
        <v>8.6002726170868932E-2</v>
      </c>
      <c r="M68" s="1">
        <v>521</v>
      </c>
    </row>
    <row r="69" spans="1:13" x14ac:dyDescent="0.4">
      <c r="A69" s="18">
        <v>69.078900000000004</v>
      </c>
      <c r="B69" s="1">
        <v>435</v>
      </c>
      <c r="C69" s="1">
        <v>6715.8567999999996</v>
      </c>
      <c r="D69" s="2">
        <v>1</v>
      </c>
      <c r="E69" s="13">
        <f t="shared" si="0"/>
        <v>6.4772077927569865E-2</v>
      </c>
      <c r="F69" s="21">
        <v>435</v>
      </c>
      <c r="G69" s="1">
        <v>69.078999999999994</v>
      </c>
      <c r="H69" s="1">
        <v>526</v>
      </c>
      <c r="I69" s="1">
        <v>6054.8806000000004</v>
      </c>
      <c r="J69" s="2">
        <v>1</v>
      </c>
      <c r="K69" s="13">
        <f t="shared" si="1"/>
        <v>8.6872068129634133E-2</v>
      </c>
      <c r="M69" s="1">
        <v>526</v>
      </c>
    </row>
    <row r="70" spans="1:13" x14ac:dyDescent="0.4">
      <c r="A70" s="18">
        <v>69.088899999999995</v>
      </c>
      <c r="B70" s="1">
        <v>425</v>
      </c>
      <c r="C70" s="1">
        <v>6715.0973999999997</v>
      </c>
      <c r="D70" s="2">
        <v>1</v>
      </c>
      <c r="E70" s="13">
        <f t="shared" si="0"/>
        <v>6.3290221225979534E-2</v>
      </c>
      <c r="F70" s="21">
        <v>425</v>
      </c>
      <c r="G70" s="1">
        <v>69.088999999999999</v>
      </c>
      <c r="H70" s="1">
        <v>562</v>
      </c>
      <c r="I70" s="1">
        <v>6054.3869999999997</v>
      </c>
      <c r="J70" s="2">
        <v>1</v>
      </c>
      <c r="K70" s="13">
        <f t="shared" si="1"/>
        <v>9.282525216838633E-2</v>
      </c>
      <c r="M70" s="1">
        <v>562</v>
      </c>
    </row>
    <row r="71" spans="1:13" x14ac:dyDescent="0.4">
      <c r="A71" s="18">
        <v>69.0989</v>
      </c>
      <c r="B71" s="1">
        <v>446</v>
      </c>
      <c r="C71" s="1">
        <v>6713.6777000000002</v>
      </c>
      <c r="D71" s="2">
        <v>1</v>
      </c>
      <c r="E71" s="13">
        <f t="shared" si="0"/>
        <v>6.6431547644892161E-2</v>
      </c>
      <c r="F71" s="21">
        <v>446</v>
      </c>
      <c r="G71" s="1">
        <v>69.099000000000004</v>
      </c>
      <c r="H71" s="1">
        <v>584</v>
      </c>
      <c r="I71" s="1">
        <v>6049.4737999999998</v>
      </c>
      <c r="J71" s="2">
        <v>1</v>
      </c>
      <c r="K71" s="13">
        <f t="shared" si="1"/>
        <v>9.6537321973359069E-2</v>
      </c>
      <c r="M71" s="1">
        <v>584</v>
      </c>
    </row>
    <row r="72" spans="1:13" x14ac:dyDescent="0.4">
      <c r="A72" s="18">
        <v>69.108900000000006</v>
      </c>
      <c r="B72" s="1">
        <v>492</v>
      </c>
      <c r="C72" s="1">
        <v>6717.8613999999998</v>
      </c>
      <c r="D72" s="2">
        <v>1</v>
      </c>
      <c r="E72" s="13">
        <f t="shared" si="0"/>
        <v>7.323759314236522E-2</v>
      </c>
      <c r="F72" s="21">
        <v>492</v>
      </c>
      <c r="G72" s="1">
        <v>69.108999999999995</v>
      </c>
      <c r="H72" s="1">
        <v>549</v>
      </c>
      <c r="I72" s="1">
        <v>6048.8779999999997</v>
      </c>
      <c r="J72" s="2">
        <v>1</v>
      </c>
      <c r="K72" s="13">
        <f t="shared" si="1"/>
        <v>9.0760633624946643E-2</v>
      </c>
      <c r="M72" s="1">
        <v>549</v>
      </c>
    </row>
    <row r="73" spans="1:13" x14ac:dyDescent="0.4">
      <c r="A73" s="18">
        <v>69.118899999999996</v>
      </c>
      <c r="B73" s="1">
        <v>547</v>
      </c>
      <c r="C73" s="1">
        <v>6719.7843000000003</v>
      </c>
      <c r="D73" s="2">
        <v>1</v>
      </c>
      <c r="E73" s="13">
        <f t="shared" si="0"/>
        <v>8.1401422364107731E-2</v>
      </c>
      <c r="F73" s="21">
        <v>547</v>
      </c>
      <c r="G73" s="1">
        <v>69.119</v>
      </c>
      <c r="H73" s="1">
        <v>573</v>
      </c>
      <c r="I73" s="1">
        <v>6043.9575999999997</v>
      </c>
      <c r="J73" s="2">
        <v>1</v>
      </c>
      <c r="K73" s="13">
        <f t="shared" si="1"/>
        <v>9.4805430137365629E-2</v>
      </c>
      <c r="M73" s="1">
        <v>573</v>
      </c>
    </row>
    <row r="74" spans="1:13" x14ac:dyDescent="0.4">
      <c r="A74" s="18">
        <v>69.128900000000002</v>
      </c>
      <c r="B74" s="1">
        <v>518</v>
      </c>
      <c r="C74" s="1">
        <v>6720.2397000000001</v>
      </c>
      <c r="D74" s="2">
        <v>1</v>
      </c>
      <c r="E74" s="13">
        <f t="shared" si="0"/>
        <v>7.7080583896434532E-2</v>
      </c>
      <c r="F74" s="21">
        <v>518</v>
      </c>
      <c r="G74" s="1">
        <v>69.129000000000005</v>
      </c>
      <c r="H74" s="1">
        <v>613</v>
      </c>
      <c r="I74" s="1">
        <v>6041.5812999999998</v>
      </c>
      <c r="J74" s="2">
        <v>1</v>
      </c>
      <c r="K74" s="13">
        <f t="shared" si="1"/>
        <v>0.1014635026098217</v>
      </c>
      <c r="M74" s="1">
        <v>613</v>
      </c>
    </row>
    <row r="75" spans="1:13" x14ac:dyDescent="0.4">
      <c r="A75" s="18">
        <v>69.138900000000007</v>
      </c>
      <c r="B75" s="1">
        <v>552</v>
      </c>
      <c r="C75" s="1">
        <v>6720.4273000000003</v>
      </c>
      <c r="D75" s="2">
        <v>1</v>
      </c>
      <c r="E75" s="13">
        <f t="shared" si="0"/>
        <v>8.2137634313818111E-2</v>
      </c>
      <c r="F75" s="21">
        <v>552</v>
      </c>
      <c r="G75" s="1">
        <v>69.138999999999996</v>
      </c>
      <c r="H75" s="1">
        <v>659</v>
      </c>
      <c r="I75" s="1">
        <v>6038.7313999999997</v>
      </c>
      <c r="J75" s="2">
        <v>1</v>
      </c>
      <c r="K75" s="13">
        <f t="shared" si="1"/>
        <v>0.10912888094343789</v>
      </c>
      <c r="M75" s="1">
        <v>659</v>
      </c>
    </row>
    <row r="76" spans="1:13" x14ac:dyDescent="0.4">
      <c r="A76" s="18">
        <v>69.148899999999998</v>
      </c>
      <c r="B76" s="1">
        <v>545</v>
      </c>
      <c r="C76" s="1">
        <v>6723.6939000000002</v>
      </c>
      <c r="D76" s="2">
        <v>1</v>
      </c>
      <c r="E76" s="13">
        <f t="shared" si="0"/>
        <v>8.1056634657327278E-2</v>
      </c>
      <c r="F76" s="21">
        <v>545</v>
      </c>
      <c r="G76" s="1">
        <v>69.149000000000001</v>
      </c>
      <c r="H76" s="1">
        <v>681</v>
      </c>
      <c r="I76" s="1">
        <v>6038.8190000000004</v>
      </c>
      <c r="J76" s="2">
        <v>1</v>
      </c>
      <c r="K76" s="13">
        <f t="shared" si="1"/>
        <v>0.11277039434366222</v>
      </c>
      <c r="M76" s="1">
        <v>681</v>
      </c>
    </row>
    <row r="77" spans="1:13" x14ac:dyDescent="0.4">
      <c r="A77" s="18">
        <v>69.158900000000003</v>
      </c>
      <c r="B77" s="1">
        <v>637</v>
      </c>
      <c r="C77" s="1">
        <v>6719.6076000000003</v>
      </c>
      <c r="D77" s="2">
        <v>1</v>
      </c>
      <c r="E77" s="13">
        <f t="shared" si="0"/>
        <v>9.4797202146149132E-2</v>
      </c>
      <c r="F77" s="21">
        <v>637</v>
      </c>
      <c r="G77" s="1">
        <v>69.159000000000006</v>
      </c>
      <c r="H77" s="1">
        <v>698</v>
      </c>
      <c r="I77" s="1">
        <v>6039.9319999999998</v>
      </c>
      <c r="J77" s="2">
        <v>1</v>
      </c>
      <c r="K77" s="13">
        <f t="shared" si="1"/>
        <v>0.11556421496136049</v>
      </c>
      <c r="M77" s="1">
        <v>698</v>
      </c>
    </row>
    <row r="78" spans="1:13" x14ac:dyDescent="0.4">
      <c r="A78" s="18">
        <v>69.168899999999994</v>
      </c>
      <c r="B78" s="1">
        <v>667</v>
      </c>
      <c r="C78" s="1">
        <v>6721.6562000000004</v>
      </c>
      <c r="D78" s="2">
        <v>1</v>
      </c>
      <c r="E78" s="13">
        <f t="shared" si="0"/>
        <v>9.9231495951845911E-2</v>
      </c>
      <c r="F78" s="21">
        <v>667</v>
      </c>
      <c r="G78" s="1">
        <v>69.168999999999997</v>
      </c>
      <c r="H78" s="1">
        <v>748</v>
      </c>
      <c r="I78" s="1">
        <v>6041.0533999999998</v>
      </c>
      <c r="J78" s="2">
        <v>1</v>
      </c>
      <c r="K78" s="13">
        <f t="shared" si="1"/>
        <v>0.12381946499595584</v>
      </c>
      <c r="M78" s="1">
        <v>748</v>
      </c>
    </row>
    <row r="79" spans="1:13" x14ac:dyDescent="0.4">
      <c r="A79" s="18">
        <v>69.178899999999999</v>
      </c>
      <c r="B79" s="1">
        <v>664</v>
      </c>
      <c r="C79" s="1">
        <v>6719.741</v>
      </c>
      <c r="D79" s="2">
        <v>1</v>
      </c>
      <c r="E79" s="13">
        <f t="shared" si="0"/>
        <v>9.881333224003723E-2</v>
      </c>
      <c r="F79" s="21">
        <v>664</v>
      </c>
      <c r="G79" s="1">
        <v>69.179000000000002</v>
      </c>
      <c r="H79" s="1">
        <v>750</v>
      </c>
      <c r="I79" s="1">
        <v>6043.1166000000003</v>
      </c>
      <c r="J79" s="2">
        <v>1</v>
      </c>
      <c r="K79" s="13">
        <f t="shared" si="1"/>
        <v>0.12410814644880425</v>
      </c>
      <c r="M79" s="1">
        <v>750</v>
      </c>
    </row>
    <row r="80" spans="1:13" x14ac:dyDescent="0.4">
      <c r="A80" s="18">
        <v>69.188900000000004</v>
      </c>
      <c r="B80" s="1">
        <v>736</v>
      </c>
      <c r="C80" s="1">
        <v>6719.3423000000003</v>
      </c>
      <c r="D80" s="2">
        <v>1</v>
      </c>
      <c r="E80" s="13">
        <f t="shared" si="0"/>
        <v>0.10953452988992687</v>
      </c>
      <c r="F80" s="21">
        <v>736</v>
      </c>
      <c r="G80" s="1">
        <v>69.188999999999993</v>
      </c>
      <c r="H80" s="1">
        <v>869</v>
      </c>
      <c r="I80" s="1">
        <v>6041.1117999999997</v>
      </c>
      <c r="J80" s="2">
        <v>1</v>
      </c>
      <c r="K80" s="13">
        <f t="shared" si="1"/>
        <v>0.14384769373081294</v>
      </c>
      <c r="M80" s="1">
        <v>869</v>
      </c>
    </row>
    <row r="81" spans="1:13" x14ac:dyDescent="0.4">
      <c r="A81" s="18">
        <v>69.198899999999995</v>
      </c>
      <c r="B81" s="1">
        <v>744</v>
      </c>
      <c r="C81" s="1">
        <v>6717.7024000000001</v>
      </c>
      <c r="D81" s="2">
        <v>1</v>
      </c>
      <c r="E81" s="13">
        <f t="shared" si="0"/>
        <v>0.11075215240258336</v>
      </c>
      <c r="F81" s="21">
        <v>744</v>
      </c>
      <c r="G81" s="1">
        <v>69.198999999999998</v>
      </c>
      <c r="H81" s="1">
        <v>927</v>
      </c>
      <c r="I81" s="1">
        <v>6042.8594999999996</v>
      </c>
      <c r="J81" s="2">
        <v>1</v>
      </c>
      <c r="K81" s="13">
        <f t="shared" si="1"/>
        <v>0.15340419548063297</v>
      </c>
      <c r="M81" s="1">
        <v>927</v>
      </c>
    </row>
    <row r="82" spans="1:13" x14ac:dyDescent="0.4">
      <c r="A82" s="18">
        <v>69.2089</v>
      </c>
      <c r="B82" s="1">
        <v>834</v>
      </c>
      <c r="C82" s="1">
        <v>6710.4786999999997</v>
      </c>
      <c r="D82" s="2">
        <v>1</v>
      </c>
      <c r="E82" s="13">
        <f t="shared" si="0"/>
        <v>0.12428323481601991</v>
      </c>
      <c r="F82" s="21">
        <v>834</v>
      </c>
      <c r="G82" s="1">
        <v>69.209000000000003</v>
      </c>
      <c r="H82" s="1">
        <v>904</v>
      </c>
      <c r="I82" s="1">
        <v>6044.0069999999996</v>
      </c>
      <c r="J82" s="2">
        <v>1</v>
      </c>
      <c r="K82" s="13">
        <f t="shared" si="1"/>
        <v>0.14956964808280335</v>
      </c>
      <c r="M82" s="1">
        <v>904</v>
      </c>
    </row>
    <row r="83" spans="1:13" x14ac:dyDescent="0.4">
      <c r="A83" s="18">
        <v>69.218900000000005</v>
      </c>
      <c r="B83" s="1">
        <v>871</v>
      </c>
      <c r="C83" s="1">
        <v>6708.6189000000004</v>
      </c>
      <c r="D83" s="2">
        <v>1</v>
      </c>
      <c r="E83" s="13">
        <f t="shared" si="0"/>
        <v>0.12983298246379743</v>
      </c>
      <c r="F83" s="21">
        <v>871</v>
      </c>
      <c r="G83" s="1">
        <v>69.218999999999994</v>
      </c>
      <c r="H83" s="1">
        <v>947</v>
      </c>
      <c r="I83" s="1">
        <v>6043.4526999999998</v>
      </c>
      <c r="J83" s="2">
        <v>1</v>
      </c>
      <c r="K83" s="13">
        <f t="shared" si="1"/>
        <v>0.15669850448237976</v>
      </c>
      <c r="M83" s="1">
        <v>947</v>
      </c>
    </row>
    <row r="84" spans="1:13" x14ac:dyDescent="0.4">
      <c r="A84" s="18">
        <v>69.228899999999996</v>
      </c>
      <c r="B84" s="1">
        <v>897</v>
      </c>
      <c r="C84" s="1">
        <v>6711.1122999999998</v>
      </c>
      <c r="D84" s="2">
        <v>1</v>
      </c>
      <c r="E84" s="13">
        <f t="shared" si="0"/>
        <v>0.13365891671936408</v>
      </c>
      <c r="F84" s="21">
        <v>897</v>
      </c>
      <c r="G84" s="1">
        <v>69.228999999999999</v>
      </c>
      <c r="H84" s="1">
        <v>1072</v>
      </c>
      <c r="I84" s="1">
        <v>6044.4174999999996</v>
      </c>
      <c r="J84" s="2">
        <v>1</v>
      </c>
      <c r="K84" s="13">
        <f t="shared" si="1"/>
        <v>0.17735373176985211</v>
      </c>
      <c r="M84" s="1">
        <v>1072</v>
      </c>
    </row>
    <row r="85" spans="1:13" x14ac:dyDescent="0.4">
      <c r="A85" s="18">
        <v>69.238900000000001</v>
      </c>
      <c r="B85" s="1">
        <v>1028</v>
      </c>
      <c r="C85" s="1">
        <v>6706.884</v>
      </c>
      <c r="D85" s="2">
        <v>1</v>
      </c>
      <c r="E85" s="13">
        <f t="shared" ref="E85:E148" si="2">B85/C85*D85</f>
        <v>0.15327535111685248</v>
      </c>
      <c r="F85" s="21">
        <v>1028</v>
      </c>
      <c r="G85" s="1">
        <v>69.239000000000004</v>
      </c>
      <c r="H85" s="1">
        <v>1101</v>
      </c>
      <c r="I85" s="1">
        <v>6041.8294999999998</v>
      </c>
      <c r="J85" s="2">
        <v>1</v>
      </c>
      <c r="K85" s="13">
        <f t="shared" ref="K85:K148" si="3">H85/I85*J85</f>
        <v>0.18222957135748369</v>
      </c>
      <c r="M85" s="1">
        <v>1101</v>
      </c>
    </row>
    <row r="86" spans="1:13" x14ac:dyDescent="0.4">
      <c r="A86" s="18">
        <v>69.248900000000006</v>
      </c>
      <c r="B86" s="1">
        <v>1104</v>
      </c>
      <c r="C86" s="1">
        <v>6701.5837000000001</v>
      </c>
      <c r="D86" s="2">
        <v>1</v>
      </c>
      <c r="E86" s="13">
        <f t="shared" si="2"/>
        <v>0.16473717995941764</v>
      </c>
      <c r="F86" s="21">
        <v>1104</v>
      </c>
      <c r="G86" s="1">
        <v>69.248999999999995</v>
      </c>
      <c r="H86" s="1">
        <v>1167</v>
      </c>
      <c r="I86" s="1">
        <v>6041.6328999999996</v>
      </c>
      <c r="J86" s="2">
        <v>1</v>
      </c>
      <c r="K86" s="13">
        <f t="shared" si="3"/>
        <v>0.19315970025255921</v>
      </c>
      <c r="M86" s="1">
        <v>1167</v>
      </c>
    </row>
    <row r="87" spans="1:13" x14ac:dyDescent="0.4">
      <c r="A87" s="18">
        <v>69.258899999999997</v>
      </c>
      <c r="B87" s="1">
        <v>1167</v>
      </c>
      <c r="C87" s="1">
        <v>6699.9004000000004</v>
      </c>
      <c r="D87" s="2">
        <v>1</v>
      </c>
      <c r="E87" s="13">
        <f t="shared" si="2"/>
        <v>0.17418169380547804</v>
      </c>
      <c r="F87" s="21">
        <v>1167</v>
      </c>
      <c r="G87" s="1">
        <v>69.259</v>
      </c>
      <c r="H87" s="1">
        <v>1193</v>
      </c>
      <c r="I87" s="1">
        <v>6040.9988999999996</v>
      </c>
      <c r="J87" s="2">
        <v>1</v>
      </c>
      <c r="K87" s="13">
        <f t="shared" si="3"/>
        <v>0.19748389624768845</v>
      </c>
      <c r="M87" s="1">
        <v>1193</v>
      </c>
    </row>
    <row r="88" spans="1:13" x14ac:dyDescent="0.4">
      <c r="A88" s="18">
        <v>69.268900000000002</v>
      </c>
      <c r="B88" s="1">
        <v>1299</v>
      </c>
      <c r="C88" s="1">
        <v>6697.2353999999996</v>
      </c>
      <c r="D88" s="2">
        <v>1</v>
      </c>
      <c r="E88" s="13">
        <f t="shared" si="2"/>
        <v>0.19396063038190356</v>
      </c>
      <c r="F88" s="21">
        <v>1299</v>
      </c>
      <c r="G88" s="1">
        <v>69.269000000000005</v>
      </c>
      <c r="H88" s="1">
        <v>1350</v>
      </c>
      <c r="I88" s="1">
        <v>6040.5</v>
      </c>
      <c r="J88" s="2">
        <v>1</v>
      </c>
      <c r="K88" s="13">
        <f t="shared" si="3"/>
        <v>0.22349143282840825</v>
      </c>
      <c r="M88" s="1">
        <v>1350</v>
      </c>
    </row>
    <row r="89" spans="1:13" x14ac:dyDescent="0.4">
      <c r="A89" s="18">
        <v>69.278899999999993</v>
      </c>
      <c r="B89" s="1">
        <v>1376</v>
      </c>
      <c r="C89" s="1">
        <v>6694.7745999999997</v>
      </c>
      <c r="D89" s="2">
        <v>1</v>
      </c>
      <c r="E89" s="13">
        <f t="shared" si="2"/>
        <v>0.20553343199933871</v>
      </c>
      <c r="F89" s="21">
        <v>1376</v>
      </c>
      <c r="G89" s="1">
        <v>69.278999999999996</v>
      </c>
      <c r="H89" s="1">
        <v>1368</v>
      </c>
      <c r="I89" s="1">
        <v>6040.6226999999999</v>
      </c>
      <c r="J89" s="2">
        <v>1</v>
      </c>
      <c r="K89" s="13">
        <f t="shared" si="3"/>
        <v>0.22646671840636562</v>
      </c>
      <c r="M89" s="1">
        <v>1368</v>
      </c>
    </row>
    <row r="90" spans="1:13" x14ac:dyDescent="0.4">
      <c r="A90" s="18">
        <v>69.288899999999998</v>
      </c>
      <c r="B90" s="1">
        <v>1522</v>
      </c>
      <c r="C90" s="1">
        <v>6693.7064</v>
      </c>
      <c r="D90" s="2">
        <v>1</v>
      </c>
      <c r="E90" s="13">
        <f t="shared" si="2"/>
        <v>0.22737776488075426</v>
      </c>
      <c r="F90" s="21">
        <v>1522</v>
      </c>
      <c r="G90" s="1">
        <v>69.289000000000001</v>
      </c>
      <c r="H90" s="1">
        <v>1443</v>
      </c>
      <c r="I90" s="1">
        <v>6040.5841</v>
      </c>
      <c r="J90" s="2">
        <v>1</v>
      </c>
      <c r="K90" s="13">
        <f t="shared" si="3"/>
        <v>0.23888418340206538</v>
      </c>
      <c r="M90" s="1">
        <v>1443</v>
      </c>
    </row>
    <row r="91" spans="1:13" x14ac:dyDescent="0.4">
      <c r="A91" s="18">
        <v>69.298900000000003</v>
      </c>
      <c r="B91" s="1">
        <v>1568</v>
      </c>
      <c r="C91" s="1">
        <v>6692.4670999999998</v>
      </c>
      <c r="D91" s="2">
        <v>1</v>
      </c>
      <c r="E91" s="13">
        <f t="shared" si="2"/>
        <v>0.23429326981674667</v>
      </c>
      <c r="F91" s="21">
        <v>1568</v>
      </c>
      <c r="G91" s="1">
        <v>69.299000000000007</v>
      </c>
      <c r="H91" s="1">
        <v>1534</v>
      </c>
      <c r="I91" s="1">
        <v>6039.9745000000003</v>
      </c>
      <c r="J91" s="2">
        <v>1</v>
      </c>
      <c r="K91" s="13">
        <f t="shared" si="3"/>
        <v>0.25397458217745783</v>
      </c>
      <c r="M91" s="1">
        <v>1534</v>
      </c>
    </row>
    <row r="92" spans="1:13" x14ac:dyDescent="0.4">
      <c r="A92" s="18">
        <v>69.308899999999994</v>
      </c>
      <c r="B92" s="1">
        <v>1767</v>
      </c>
      <c r="C92" s="1">
        <v>6691.7013999999999</v>
      </c>
      <c r="D92" s="2">
        <v>1</v>
      </c>
      <c r="E92" s="13">
        <f t="shared" si="2"/>
        <v>0.26405840523607343</v>
      </c>
      <c r="F92" s="21">
        <v>1767</v>
      </c>
      <c r="G92" s="1">
        <v>69.308999999999997</v>
      </c>
      <c r="H92" s="1">
        <v>1749</v>
      </c>
      <c r="I92" s="1">
        <v>6039.1378000000004</v>
      </c>
      <c r="J92" s="2">
        <v>1</v>
      </c>
      <c r="K92" s="13">
        <f t="shared" si="3"/>
        <v>0.28961087789717266</v>
      </c>
      <c r="M92" s="1">
        <v>1749</v>
      </c>
    </row>
    <row r="93" spans="1:13" x14ac:dyDescent="0.4">
      <c r="A93" s="18">
        <v>69.318899999999999</v>
      </c>
      <c r="B93" s="1">
        <v>1871</v>
      </c>
      <c r="C93" s="1">
        <v>6689.4223000000002</v>
      </c>
      <c r="D93" s="2">
        <v>1</v>
      </c>
      <c r="E93" s="13">
        <f t="shared" si="2"/>
        <v>0.27969530343449839</v>
      </c>
      <c r="F93" s="21">
        <v>1871</v>
      </c>
      <c r="G93" s="1">
        <v>69.319000000000003</v>
      </c>
      <c r="H93" s="1">
        <v>1802</v>
      </c>
      <c r="I93" s="1">
        <v>6040.2007999999996</v>
      </c>
      <c r="J93" s="2">
        <v>1</v>
      </c>
      <c r="K93" s="13">
        <f t="shared" si="3"/>
        <v>0.2983344527221678</v>
      </c>
      <c r="M93" s="1">
        <v>1802</v>
      </c>
    </row>
    <row r="94" spans="1:13" x14ac:dyDescent="0.4">
      <c r="A94" s="18">
        <v>69.328900000000004</v>
      </c>
      <c r="B94" s="1">
        <v>2028</v>
      </c>
      <c r="C94" s="1">
        <v>6692.0685999999996</v>
      </c>
      <c r="D94" s="2">
        <v>1</v>
      </c>
      <c r="E94" s="13">
        <f t="shared" si="2"/>
        <v>0.30304530948771208</v>
      </c>
      <c r="F94" s="21">
        <v>2028</v>
      </c>
      <c r="G94" s="1">
        <v>69.328999999999994</v>
      </c>
      <c r="H94" s="1">
        <v>2067</v>
      </c>
      <c r="I94" s="1">
        <v>6040.5769</v>
      </c>
      <c r="J94" s="2">
        <v>1</v>
      </c>
      <c r="K94" s="13">
        <f t="shared" si="3"/>
        <v>0.34218585976448707</v>
      </c>
      <c r="M94" s="1">
        <v>2067</v>
      </c>
    </row>
    <row r="95" spans="1:13" x14ac:dyDescent="0.4">
      <c r="A95" s="18">
        <v>69.338899999999995</v>
      </c>
      <c r="B95" s="1">
        <v>2191</v>
      </c>
      <c r="C95" s="1">
        <v>6692.5438999999997</v>
      </c>
      <c r="D95" s="2">
        <v>1</v>
      </c>
      <c r="E95" s="13">
        <f t="shared" si="2"/>
        <v>0.32737924961538167</v>
      </c>
      <c r="F95" s="21">
        <v>2191</v>
      </c>
      <c r="G95" s="1">
        <v>69.338999999999999</v>
      </c>
      <c r="H95" s="1">
        <v>2050</v>
      </c>
      <c r="I95" s="1">
        <v>6040.3734000000004</v>
      </c>
      <c r="J95" s="2">
        <v>1</v>
      </c>
      <c r="K95" s="13">
        <f t="shared" si="3"/>
        <v>0.33938299244877806</v>
      </c>
      <c r="M95" s="1">
        <v>2050</v>
      </c>
    </row>
    <row r="96" spans="1:13" x14ac:dyDescent="0.4">
      <c r="A96" s="18">
        <v>69.3489</v>
      </c>
      <c r="B96" s="1">
        <v>2484</v>
      </c>
      <c r="C96" s="1">
        <v>6690.3441000000003</v>
      </c>
      <c r="D96" s="2">
        <v>1</v>
      </c>
      <c r="E96" s="13">
        <f t="shared" si="2"/>
        <v>0.37128135158249931</v>
      </c>
      <c r="F96" s="21">
        <v>2484</v>
      </c>
      <c r="G96" s="1">
        <v>69.349000000000004</v>
      </c>
      <c r="H96" s="1">
        <v>2360</v>
      </c>
      <c r="I96" s="1">
        <v>6040.0423000000001</v>
      </c>
      <c r="J96" s="2">
        <v>1</v>
      </c>
      <c r="K96" s="13">
        <f t="shared" si="3"/>
        <v>0.39072574044721509</v>
      </c>
      <c r="M96" s="1">
        <v>2360</v>
      </c>
    </row>
    <row r="97" spans="1:13" x14ac:dyDescent="0.4">
      <c r="A97" s="18">
        <v>69.358900000000006</v>
      </c>
      <c r="B97" s="1">
        <v>2698</v>
      </c>
      <c r="C97" s="1">
        <v>6687.7024000000001</v>
      </c>
      <c r="D97" s="2">
        <v>1</v>
      </c>
      <c r="E97" s="13">
        <f t="shared" si="2"/>
        <v>0.40342704244734334</v>
      </c>
      <c r="F97" s="21">
        <v>2698</v>
      </c>
      <c r="G97" s="1">
        <v>69.358999999999995</v>
      </c>
      <c r="H97" s="1">
        <v>2545</v>
      </c>
      <c r="I97" s="1">
        <v>6038.5102999999999</v>
      </c>
      <c r="J97" s="2">
        <v>1</v>
      </c>
      <c r="K97" s="13">
        <f t="shared" si="3"/>
        <v>0.4214615647836189</v>
      </c>
      <c r="M97" s="1">
        <v>2545</v>
      </c>
    </row>
    <row r="98" spans="1:13" x14ac:dyDescent="0.4">
      <c r="A98" s="18">
        <v>69.368899999999996</v>
      </c>
      <c r="B98" s="1">
        <v>2890</v>
      </c>
      <c r="C98" s="1">
        <v>6688.0025999999998</v>
      </c>
      <c r="D98" s="2">
        <v>1</v>
      </c>
      <c r="E98" s="13">
        <f t="shared" si="2"/>
        <v>0.43211705689229246</v>
      </c>
      <c r="F98" s="21">
        <v>2890</v>
      </c>
      <c r="G98" s="1">
        <v>69.369</v>
      </c>
      <c r="H98" s="1">
        <v>2667</v>
      </c>
      <c r="I98" s="1">
        <v>6037.8567999999996</v>
      </c>
      <c r="J98" s="2">
        <v>1</v>
      </c>
      <c r="K98" s="13">
        <f t="shared" si="3"/>
        <v>0.441713026383799</v>
      </c>
      <c r="M98" s="1">
        <v>2667</v>
      </c>
    </row>
    <row r="99" spans="1:13" x14ac:dyDescent="0.4">
      <c r="A99" s="18">
        <v>69.378900000000002</v>
      </c>
      <c r="B99" s="1">
        <v>3384</v>
      </c>
      <c r="C99" s="1">
        <v>6689.6625000000004</v>
      </c>
      <c r="D99" s="2">
        <v>1</v>
      </c>
      <c r="E99" s="13">
        <f t="shared" si="2"/>
        <v>0.50585511600921573</v>
      </c>
      <c r="F99" s="21">
        <v>3384</v>
      </c>
      <c r="G99" s="1">
        <v>69.379000000000005</v>
      </c>
      <c r="H99" s="1">
        <v>2919</v>
      </c>
      <c r="I99" s="1">
        <v>6035.6711999999998</v>
      </c>
      <c r="J99" s="2">
        <v>1</v>
      </c>
      <c r="K99" s="13">
        <f t="shared" si="3"/>
        <v>0.48362475411185424</v>
      </c>
      <c r="M99" s="1">
        <v>2919</v>
      </c>
    </row>
    <row r="100" spans="1:13" x14ac:dyDescent="0.4">
      <c r="A100" s="18">
        <v>69.388900000000007</v>
      </c>
      <c r="B100" s="1">
        <v>3609</v>
      </c>
      <c r="C100" s="1">
        <v>6690.1660000000002</v>
      </c>
      <c r="D100" s="2">
        <v>1</v>
      </c>
      <c r="E100" s="13">
        <f t="shared" si="2"/>
        <v>0.53944849798943706</v>
      </c>
      <c r="F100" s="21">
        <v>3609</v>
      </c>
      <c r="G100" s="1">
        <v>69.388999999999996</v>
      </c>
      <c r="H100" s="1">
        <v>3256</v>
      </c>
      <c r="I100" s="1">
        <v>6035.5297</v>
      </c>
      <c r="J100" s="2">
        <v>1</v>
      </c>
      <c r="K100" s="13">
        <f t="shared" si="3"/>
        <v>0.53947211957220587</v>
      </c>
      <c r="M100" s="1">
        <v>3256</v>
      </c>
    </row>
    <row r="101" spans="1:13" x14ac:dyDescent="0.4">
      <c r="A101" s="18">
        <v>69.398899999999998</v>
      </c>
      <c r="B101" s="1">
        <v>3887</v>
      </c>
      <c r="C101" s="1">
        <v>6686.4363000000003</v>
      </c>
      <c r="D101" s="2">
        <v>1</v>
      </c>
      <c r="E101" s="13">
        <f t="shared" si="2"/>
        <v>0.58132610939552354</v>
      </c>
      <c r="F101" s="21">
        <v>3887</v>
      </c>
      <c r="G101" s="1">
        <v>69.399000000000001</v>
      </c>
      <c r="H101" s="1">
        <v>3540</v>
      </c>
      <c r="I101" s="1">
        <v>6036.33</v>
      </c>
      <c r="J101" s="2">
        <v>1</v>
      </c>
      <c r="K101" s="13">
        <f t="shared" si="3"/>
        <v>0.58644905099621791</v>
      </c>
      <c r="M101" s="1">
        <v>3540</v>
      </c>
    </row>
    <row r="102" spans="1:13" x14ac:dyDescent="0.4">
      <c r="A102" s="18">
        <v>69.408900000000003</v>
      </c>
      <c r="B102" s="1">
        <v>4510</v>
      </c>
      <c r="C102" s="1">
        <v>6688.9171999999999</v>
      </c>
      <c r="D102" s="2">
        <v>1</v>
      </c>
      <c r="E102" s="13">
        <f t="shared" si="2"/>
        <v>0.67424963789355918</v>
      </c>
      <c r="F102" s="21">
        <v>4510</v>
      </c>
      <c r="G102" s="1">
        <v>69.409000000000006</v>
      </c>
      <c r="H102" s="1">
        <v>4030</v>
      </c>
      <c r="I102" s="1">
        <v>6033.0123999999996</v>
      </c>
      <c r="J102" s="2">
        <v>1</v>
      </c>
      <c r="K102" s="13">
        <f t="shared" si="3"/>
        <v>0.66799133381525955</v>
      </c>
      <c r="M102" s="1">
        <v>4030</v>
      </c>
    </row>
    <row r="103" spans="1:13" x14ac:dyDescent="0.4">
      <c r="A103" s="18">
        <v>69.418899999999994</v>
      </c>
      <c r="B103" s="1">
        <v>5104</v>
      </c>
      <c r="C103" s="1">
        <v>6685.4943000000003</v>
      </c>
      <c r="D103" s="2">
        <v>1</v>
      </c>
      <c r="E103" s="13">
        <f t="shared" si="2"/>
        <v>0.76344392366021463</v>
      </c>
      <c r="F103" s="21">
        <v>5104</v>
      </c>
      <c r="G103" s="1">
        <v>69.418999999999997</v>
      </c>
      <c r="H103" s="1">
        <v>4489</v>
      </c>
      <c r="I103" s="1">
        <v>6036.0766999999996</v>
      </c>
      <c r="J103" s="2">
        <v>1</v>
      </c>
      <c r="K103" s="13">
        <f t="shared" si="3"/>
        <v>0.74369498982675286</v>
      </c>
      <c r="M103" s="1">
        <v>4489</v>
      </c>
    </row>
    <row r="104" spans="1:13" x14ac:dyDescent="0.4">
      <c r="A104" s="18">
        <v>69.428899999999999</v>
      </c>
      <c r="B104" s="1">
        <v>5771</v>
      </c>
      <c r="C104" s="1">
        <v>6685.9982</v>
      </c>
      <c r="D104" s="2">
        <v>1</v>
      </c>
      <c r="E104" s="13">
        <f t="shared" si="2"/>
        <v>0.86314710644103976</v>
      </c>
      <c r="F104" s="21">
        <v>5771</v>
      </c>
      <c r="G104" s="1">
        <v>69.429000000000002</v>
      </c>
      <c r="H104" s="1">
        <v>4987</v>
      </c>
      <c r="I104" s="1">
        <v>6033.8209999999999</v>
      </c>
      <c r="J104" s="2">
        <v>1</v>
      </c>
      <c r="K104" s="13">
        <f t="shared" si="3"/>
        <v>0.82650778006175529</v>
      </c>
      <c r="M104" s="1">
        <v>4987</v>
      </c>
    </row>
    <row r="105" spans="1:13" x14ac:dyDescent="0.4">
      <c r="A105" s="18">
        <v>69.438900000000004</v>
      </c>
      <c r="B105" s="1">
        <v>6544</v>
      </c>
      <c r="C105" s="1">
        <v>6686.4390000000003</v>
      </c>
      <c r="D105" s="2">
        <v>1</v>
      </c>
      <c r="E105" s="13">
        <f t="shared" si="2"/>
        <v>0.97869733052227048</v>
      </c>
      <c r="F105" s="21">
        <v>6544</v>
      </c>
      <c r="G105" s="1">
        <v>69.438999999999993</v>
      </c>
      <c r="H105" s="1">
        <v>5490</v>
      </c>
      <c r="I105" s="1">
        <v>6032.9606999999996</v>
      </c>
      <c r="J105" s="2">
        <v>1</v>
      </c>
      <c r="K105" s="13">
        <f t="shared" si="3"/>
        <v>0.9100009552523689</v>
      </c>
      <c r="M105" s="1">
        <v>5490</v>
      </c>
    </row>
    <row r="106" spans="1:13" x14ac:dyDescent="0.4">
      <c r="A106" s="18">
        <v>69.448899999999995</v>
      </c>
      <c r="B106" s="1">
        <v>7555</v>
      </c>
      <c r="C106" s="1">
        <v>6685.5434999999998</v>
      </c>
      <c r="D106" s="2">
        <v>1</v>
      </c>
      <c r="E106" s="13">
        <f t="shared" si="2"/>
        <v>1.1300502345097299</v>
      </c>
      <c r="F106" s="21">
        <v>7555</v>
      </c>
      <c r="G106" s="1">
        <v>69.448999999999998</v>
      </c>
      <c r="H106" s="1">
        <v>6308</v>
      </c>
      <c r="I106" s="1">
        <v>6031.2129000000004</v>
      </c>
      <c r="J106" s="2">
        <v>1</v>
      </c>
      <c r="K106" s="13">
        <f t="shared" si="3"/>
        <v>1.0458924439560076</v>
      </c>
      <c r="M106" s="1">
        <v>6308</v>
      </c>
    </row>
    <row r="107" spans="1:13" x14ac:dyDescent="0.4">
      <c r="A107" s="18">
        <v>69.4589</v>
      </c>
      <c r="B107" s="1">
        <v>8827</v>
      </c>
      <c r="C107" s="1">
        <v>6685.1686</v>
      </c>
      <c r="D107" s="2">
        <v>1</v>
      </c>
      <c r="E107" s="13">
        <f t="shared" si="2"/>
        <v>1.3203855471947259</v>
      </c>
      <c r="F107" s="21">
        <v>8827</v>
      </c>
      <c r="G107" s="1">
        <v>69.459000000000003</v>
      </c>
      <c r="H107" s="1">
        <v>7263</v>
      </c>
      <c r="I107" s="1">
        <v>6028.2745000000004</v>
      </c>
      <c r="J107" s="2">
        <v>1</v>
      </c>
      <c r="K107" s="13">
        <f t="shared" si="3"/>
        <v>1.2048223749598661</v>
      </c>
      <c r="M107" s="1">
        <v>7263</v>
      </c>
    </row>
    <row r="108" spans="1:13" x14ac:dyDescent="0.4">
      <c r="A108" s="18">
        <v>69.468900000000005</v>
      </c>
      <c r="B108" s="1">
        <v>10584</v>
      </c>
      <c r="C108" s="1">
        <v>6684.2837</v>
      </c>
      <c r="D108" s="2">
        <v>1</v>
      </c>
      <c r="E108" s="13">
        <f t="shared" si="2"/>
        <v>1.5834157368275676</v>
      </c>
      <c r="F108" s="21">
        <v>10584</v>
      </c>
      <c r="G108" s="1">
        <v>69.468999999999994</v>
      </c>
      <c r="H108" s="1">
        <v>8347</v>
      </c>
      <c r="I108" s="1">
        <v>6027.5203000000001</v>
      </c>
      <c r="J108" s="2">
        <v>1</v>
      </c>
      <c r="K108" s="13">
        <f t="shared" si="3"/>
        <v>1.384814913024847</v>
      </c>
      <c r="M108" s="1">
        <v>8347</v>
      </c>
    </row>
    <row r="109" spans="1:13" x14ac:dyDescent="0.4">
      <c r="A109" s="18">
        <v>69.478899999999996</v>
      </c>
      <c r="B109" s="1">
        <v>12781</v>
      </c>
      <c r="C109" s="1">
        <v>6680.5388000000003</v>
      </c>
      <c r="D109" s="2">
        <v>1</v>
      </c>
      <c r="E109" s="13">
        <f t="shared" si="2"/>
        <v>1.9131690395990215</v>
      </c>
      <c r="F109" s="21">
        <v>12781</v>
      </c>
      <c r="G109" s="1">
        <v>69.478999999999999</v>
      </c>
      <c r="H109" s="1">
        <v>9421</v>
      </c>
      <c r="I109" s="1">
        <v>6027.625</v>
      </c>
      <c r="J109" s="2">
        <v>1</v>
      </c>
      <c r="K109" s="13">
        <f t="shared" si="3"/>
        <v>1.5629704900354617</v>
      </c>
      <c r="M109" s="1">
        <v>9421</v>
      </c>
    </row>
    <row r="110" spans="1:13" x14ac:dyDescent="0.4">
      <c r="A110" s="18">
        <v>69.488900000000001</v>
      </c>
      <c r="B110" s="1">
        <v>15307</v>
      </c>
      <c r="C110" s="1">
        <v>6682.3725000000004</v>
      </c>
      <c r="D110" s="2">
        <v>1</v>
      </c>
      <c r="E110" s="13">
        <f t="shared" si="2"/>
        <v>2.2906535066699738</v>
      </c>
      <c r="F110" s="21">
        <v>15307</v>
      </c>
      <c r="G110" s="1">
        <v>69.489000000000004</v>
      </c>
      <c r="H110" s="1">
        <v>11440</v>
      </c>
      <c r="I110" s="1">
        <v>6027.6118999999999</v>
      </c>
      <c r="J110" s="2">
        <v>1</v>
      </c>
      <c r="K110" s="13">
        <f t="shared" si="3"/>
        <v>1.8979324133327165</v>
      </c>
      <c r="M110" s="1">
        <v>11440</v>
      </c>
    </row>
    <row r="111" spans="1:13" x14ac:dyDescent="0.4">
      <c r="A111" s="18">
        <v>69.498900000000006</v>
      </c>
      <c r="B111" s="1">
        <v>19246</v>
      </c>
      <c r="C111" s="1">
        <v>6682.1342999999997</v>
      </c>
      <c r="D111" s="2">
        <v>1</v>
      </c>
      <c r="E111" s="13">
        <f t="shared" si="2"/>
        <v>2.8802174778199237</v>
      </c>
      <c r="F111" s="21">
        <v>19246</v>
      </c>
      <c r="G111" s="1">
        <v>69.498999999999995</v>
      </c>
      <c r="H111" s="1">
        <v>14305</v>
      </c>
      <c r="I111" s="1">
        <v>6026.7496000000001</v>
      </c>
      <c r="J111" s="2">
        <v>1</v>
      </c>
      <c r="K111" s="13">
        <f t="shared" si="3"/>
        <v>2.3735845935925393</v>
      </c>
      <c r="M111" s="1">
        <v>14305</v>
      </c>
    </row>
    <row r="112" spans="1:13" x14ac:dyDescent="0.4">
      <c r="A112" s="18">
        <v>69.508899999999997</v>
      </c>
      <c r="B112" s="1">
        <v>24825</v>
      </c>
      <c r="C112" s="1">
        <v>6682.9327000000003</v>
      </c>
      <c r="D112" s="2">
        <v>1</v>
      </c>
      <c r="E112" s="13">
        <f t="shared" si="2"/>
        <v>3.7146865177918071</v>
      </c>
      <c r="F112" s="21">
        <v>24825</v>
      </c>
      <c r="G112" s="1">
        <v>69.509</v>
      </c>
      <c r="H112" s="1">
        <v>18103</v>
      </c>
      <c r="I112" s="1">
        <v>6029.4763000000003</v>
      </c>
      <c r="J112" s="2">
        <v>1</v>
      </c>
      <c r="K112" s="13">
        <f t="shared" si="3"/>
        <v>3.0024166443775555</v>
      </c>
      <c r="M112" s="1">
        <v>18103</v>
      </c>
    </row>
    <row r="113" spans="1:13" x14ac:dyDescent="0.4">
      <c r="A113" s="18">
        <v>69.518900000000002</v>
      </c>
      <c r="B113" s="1">
        <v>33268</v>
      </c>
      <c r="C113" s="1">
        <v>6685.1692999999996</v>
      </c>
      <c r="D113" s="2">
        <v>1</v>
      </c>
      <c r="E113" s="13">
        <f t="shared" si="2"/>
        <v>4.9763885560833891</v>
      </c>
      <c r="F113" s="21">
        <v>33268</v>
      </c>
      <c r="G113" s="1">
        <v>69.519000000000005</v>
      </c>
      <c r="H113" s="1">
        <v>22880</v>
      </c>
      <c r="I113" s="1">
        <v>6027.9841999999999</v>
      </c>
      <c r="J113" s="2">
        <v>1</v>
      </c>
      <c r="K113" s="13">
        <f t="shared" si="3"/>
        <v>3.7956303866888041</v>
      </c>
      <c r="M113" s="1">
        <v>22880</v>
      </c>
    </row>
    <row r="114" spans="1:13" x14ac:dyDescent="0.4">
      <c r="A114" s="18">
        <v>69.528899999999993</v>
      </c>
      <c r="B114" s="1">
        <v>46746</v>
      </c>
      <c r="C114" s="1">
        <v>6681.7314999999999</v>
      </c>
      <c r="D114" s="2">
        <v>1</v>
      </c>
      <c r="E114" s="13">
        <f t="shared" si="2"/>
        <v>6.9960907588100483</v>
      </c>
      <c r="F114" s="21">
        <v>46746</v>
      </c>
      <c r="G114" s="1">
        <v>69.528999999999996</v>
      </c>
      <c r="H114" s="1">
        <v>30680</v>
      </c>
      <c r="I114" s="1">
        <v>6029.1009999999997</v>
      </c>
      <c r="J114" s="2">
        <v>1</v>
      </c>
      <c r="K114" s="13">
        <f t="shared" si="3"/>
        <v>5.0886525205001547</v>
      </c>
      <c r="M114" s="1">
        <v>30680</v>
      </c>
    </row>
    <row r="115" spans="1:13" x14ac:dyDescent="0.4">
      <c r="A115" s="18">
        <v>69.538899999999998</v>
      </c>
      <c r="B115" s="1">
        <v>70446</v>
      </c>
      <c r="C115" s="1">
        <v>6680.3487999999998</v>
      </c>
      <c r="D115" s="2">
        <v>1</v>
      </c>
      <c r="E115" s="13">
        <f t="shared" si="2"/>
        <v>10.545257756600973</v>
      </c>
      <c r="F115" s="21">
        <v>70446</v>
      </c>
      <c r="G115" s="1">
        <v>69.539000000000001</v>
      </c>
      <c r="H115" s="1">
        <v>42935</v>
      </c>
      <c r="I115" s="1">
        <v>6030.3593000000001</v>
      </c>
      <c r="J115" s="2">
        <v>1</v>
      </c>
      <c r="K115" s="13">
        <f t="shared" si="3"/>
        <v>7.1198079358223314</v>
      </c>
      <c r="M115" s="1">
        <v>42935</v>
      </c>
    </row>
    <row r="116" spans="1:13" x14ac:dyDescent="0.4">
      <c r="A116" s="18">
        <v>69.548900000000003</v>
      </c>
      <c r="B116" s="1">
        <v>118833</v>
      </c>
      <c r="C116" s="1">
        <v>6679.4853999999996</v>
      </c>
      <c r="D116" s="2">
        <v>1</v>
      </c>
      <c r="E116" s="13">
        <f t="shared" si="2"/>
        <v>17.790741783790711</v>
      </c>
      <c r="F116" s="21">
        <v>118833</v>
      </c>
      <c r="G116" s="1">
        <v>69.549000000000007</v>
      </c>
      <c r="H116" s="1">
        <v>66655</v>
      </c>
      <c r="I116" s="1">
        <v>6031.5227999999997</v>
      </c>
      <c r="J116" s="2">
        <v>1</v>
      </c>
      <c r="K116" s="13">
        <f t="shared" si="3"/>
        <v>11.051106364051215</v>
      </c>
      <c r="M116" s="1">
        <v>66655</v>
      </c>
    </row>
    <row r="117" spans="1:13" x14ac:dyDescent="0.4">
      <c r="A117" s="18">
        <v>69.558899999999994</v>
      </c>
      <c r="B117" s="1">
        <v>244939</v>
      </c>
      <c r="C117" s="1">
        <v>6679.0999000000002</v>
      </c>
      <c r="D117" s="2">
        <v>1</v>
      </c>
      <c r="E117" s="13">
        <f t="shared" si="2"/>
        <v>36.672456418865664</v>
      </c>
      <c r="F117" s="21">
        <v>244939</v>
      </c>
      <c r="G117" s="1">
        <v>69.558999999999997</v>
      </c>
      <c r="H117" s="1">
        <v>113021</v>
      </c>
      <c r="I117" s="1">
        <v>6031.8468000000003</v>
      </c>
      <c r="J117" s="2">
        <v>1</v>
      </c>
      <c r="K117" s="13">
        <f t="shared" si="3"/>
        <v>18.737379072691301</v>
      </c>
      <c r="M117" s="1">
        <v>113021</v>
      </c>
    </row>
    <row r="118" spans="1:13" x14ac:dyDescent="0.4">
      <c r="A118" s="18">
        <v>69.568899999999999</v>
      </c>
      <c r="B118" s="1">
        <v>851508</v>
      </c>
      <c r="C118" s="1">
        <v>6677.2293</v>
      </c>
      <c r="D118" s="2">
        <v>1</v>
      </c>
      <c r="E118" s="13">
        <f t="shared" si="2"/>
        <v>127.52415137218667</v>
      </c>
      <c r="F118" s="21">
        <v>851508</v>
      </c>
      <c r="G118" s="1">
        <v>69.569000000000003</v>
      </c>
      <c r="H118" s="1">
        <v>240981</v>
      </c>
      <c r="I118" s="1">
        <v>6031.7237999999998</v>
      </c>
      <c r="J118" s="2">
        <v>1</v>
      </c>
      <c r="K118" s="13">
        <f t="shared" si="3"/>
        <v>39.952260413515617</v>
      </c>
      <c r="M118" s="1">
        <v>240981</v>
      </c>
    </row>
    <row r="119" spans="1:13" x14ac:dyDescent="0.4">
      <c r="A119" s="18">
        <v>69.578900000000004</v>
      </c>
      <c r="B119" s="1">
        <v>1019241</v>
      </c>
      <c r="C119" s="1">
        <v>6674.2304999999997</v>
      </c>
      <c r="D119" s="2">
        <v>54</v>
      </c>
      <c r="E119" s="13">
        <f t="shared" si="2"/>
        <v>8246.4958319914203</v>
      </c>
      <c r="F119" s="27">
        <f>B119*D119</f>
        <v>55039014</v>
      </c>
      <c r="G119" s="1">
        <v>69.578999999999994</v>
      </c>
      <c r="H119" s="1">
        <v>20947</v>
      </c>
      <c r="I119" s="1">
        <v>6030.8543</v>
      </c>
      <c r="J119" s="2">
        <v>53.984200000000001</v>
      </c>
      <c r="K119" s="13">
        <f t="shared" si="3"/>
        <v>187.50362405538468</v>
      </c>
      <c r="L119">
        <f t="shared" ref="L119:L120" si="4">H119*54</f>
        <v>1131138</v>
      </c>
      <c r="M119" s="1">
        <f>L119</f>
        <v>1131138</v>
      </c>
    </row>
    <row r="120" spans="1:13" x14ac:dyDescent="0.4">
      <c r="A120" s="18">
        <v>69.588899999999995</v>
      </c>
      <c r="B120" s="1">
        <v>1905465</v>
      </c>
      <c r="C120" s="1">
        <v>6672.3208999999997</v>
      </c>
      <c r="D120" s="2">
        <v>54</v>
      </c>
      <c r="E120" s="13">
        <f t="shared" si="2"/>
        <v>15421.187251350579</v>
      </c>
      <c r="F120" s="27">
        <f t="shared" ref="F120:F121" si="5">B120*D120</f>
        <v>102895110</v>
      </c>
      <c r="G120" s="1">
        <v>69.588999999999999</v>
      </c>
      <c r="H120" s="1">
        <v>1312654</v>
      </c>
      <c r="I120" s="1">
        <v>6032.2112999999999</v>
      </c>
      <c r="J120" s="2">
        <v>53.984200000000001</v>
      </c>
      <c r="K120" s="13">
        <f t="shared" si="3"/>
        <v>11747.363038625652</v>
      </c>
      <c r="L120">
        <f t="shared" si="4"/>
        <v>70883316</v>
      </c>
      <c r="M120" s="1">
        <f t="shared" ref="M120:M121" si="6">L120</f>
        <v>70883316</v>
      </c>
    </row>
    <row r="121" spans="1:13" x14ac:dyDescent="0.4">
      <c r="A121" s="18">
        <v>69.5989</v>
      </c>
      <c r="B121" s="1">
        <v>23759</v>
      </c>
      <c r="C121" s="1">
        <v>6667.6477999999997</v>
      </c>
      <c r="D121" s="2">
        <v>54</v>
      </c>
      <c r="E121" s="13">
        <f t="shared" si="2"/>
        <v>192.41958161017442</v>
      </c>
      <c r="F121" s="27">
        <f t="shared" si="5"/>
        <v>1282986</v>
      </c>
      <c r="G121" s="1">
        <v>69.599000000000004</v>
      </c>
      <c r="H121" s="1">
        <v>650357</v>
      </c>
      <c r="I121" s="1">
        <v>6032.7192999999997</v>
      </c>
      <c r="J121" s="2">
        <v>53.984200000000001</v>
      </c>
      <c r="K121" s="13">
        <f t="shared" si="3"/>
        <v>5819.7639594137927</v>
      </c>
      <c r="L121">
        <f>H121*54</f>
        <v>35119278</v>
      </c>
      <c r="M121" s="1">
        <f t="shared" si="6"/>
        <v>35119278</v>
      </c>
    </row>
    <row r="122" spans="1:13" x14ac:dyDescent="0.4">
      <c r="A122" s="18">
        <v>69.608900000000006</v>
      </c>
      <c r="B122" s="1">
        <v>290326</v>
      </c>
      <c r="C122" s="1">
        <v>6666.7644</v>
      </c>
      <c r="D122" s="2">
        <v>1</v>
      </c>
      <c r="E122" s="13">
        <f t="shared" si="2"/>
        <v>43.548261582485203</v>
      </c>
      <c r="F122" s="21">
        <v>290326</v>
      </c>
      <c r="G122" s="1">
        <v>69.608999999999995</v>
      </c>
      <c r="H122" s="1">
        <v>628306</v>
      </c>
      <c r="I122" s="1">
        <v>6030.5290000000005</v>
      </c>
      <c r="J122" s="2">
        <v>1</v>
      </c>
      <c r="K122" s="13">
        <f t="shared" si="3"/>
        <v>104.1875430828705</v>
      </c>
      <c r="M122" s="1">
        <v>628306</v>
      </c>
    </row>
    <row r="123" spans="1:13" x14ac:dyDescent="0.4">
      <c r="A123" s="18">
        <v>69.618899999999996</v>
      </c>
      <c r="B123" s="1">
        <v>132317</v>
      </c>
      <c r="C123" s="1">
        <v>6671.2694000000001</v>
      </c>
      <c r="D123" s="2">
        <v>1</v>
      </c>
      <c r="E123" s="13">
        <f t="shared" si="2"/>
        <v>19.833856507128914</v>
      </c>
      <c r="F123" s="21">
        <v>132317</v>
      </c>
      <c r="G123" s="1">
        <v>69.619</v>
      </c>
      <c r="H123" s="1">
        <v>187279</v>
      </c>
      <c r="I123" s="1">
        <v>6029.7746999999999</v>
      </c>
      <c r="J123" s="2">
        <v>1</v>
      </c>
      <c r="K123" s="13">
        <f t="shared" si="3"/>
        <v>31.059037744809935</v>
      </c>
      <c r="M123" s="1">
        <v>187279</v>
      </c>
    </row>
    <row r="124" spans="1:13" x14ac:dyDescent="0.4">
      <c r="A124" s="18">
        <v>69.628900000000002</v>
      </c>
      <c r="B124" s="1">
        <v>76808</v>
      </c>
      <c r="C124" s="1">
        <v>6670.7214000000004</v>
      </c>
      <c r="D124" s="2">
        <v>1</v>
      </c>
      <c r="E124" s="13">
        <f t="shared" si="2"/>
        <v>11.514196950272874</v>
      </c>
      <c r="F124" s="21">
        <v>76808</v>
      </c>
      <c r="G124" s="1">
        <v>69.629000000000005</v>
      </c>
      <c r="H124" s="1">
        <v>88169</v>
      </c>
      <c r="I124" s="1">
        <v>6026.6728999999996</v>
      </c>
      <c r="J124" s="2">
        <v>1</v>
      </c>
      <c r="K124" s="13">
        <f t="shared" si="3"/>
        <v>14.629796815420331</v>
      </c>
      <c r="M124" s="1">
        <v>88169</v>
      </c>
    </row>
    <row r="125" spans="1:13" x14ac:dyDescent="0.4">
      <c r="A125" s="18">
        <v>69.638900000000007</v>
      </c>
      <c r="B125" s="1">
        <v>50601</v>
      </c>
      <c r="C125" s="1">
        <v>6669.9432999999999</v>
      </c>
      <c r="D125" s="2">
        <v>1</v>
      </c>
      <c r="E125" s="13">
        <f t="shared" si="2"/>
        <v>7.5864213118573289</v>
      </c>
      <c r="F125" s="21">
        <v>50601</v>
      </c>
      <c r="G125" s="1">
        <v>69.638999999999996</v>
      </c>
      <c r="H125" s="1">
        <v>51278</v>
      </c>
      <c r="I125" s="1">
        <v>6024.7298000000001</v>
      </c>
      <c r="J125" s="2">
        <v>1</v>
      </c>
      <c r="K125" s="13">
        <f t="shared" si="3"/>
        <v>8.5112530689758064</v>
      </c>
      <c r="M125" s="1">
        <v>51278</v>
      </c>
    </row>
    <row r="126" spans="1:13" x14ac:dyDescent="0.4">
      <c r="A126" s="18">
        <v>69.648899999999998</v>
      </c>
      <c r="B126" s="1">
        <v>35621</v>
      </c>
      <c r="C126" s="1">
        <v>6670.4096</v>
      </c>
      <c r="D126" s="2">
        <v>1</v>
      </c>
      <c r="E126" s="13">
        <f t="shared" si="2"/>
        <v>5.3401518251592828</v>
      </c>
      <c r="F126" s="21">
        <v>35621</v>
      </c>
      <c r="G126" s="1">
        <v>69.649000000000001</v>
      </c>
      <c r="H126" s="1">
        <v>34482</v>
      </c>
      <c r="I126" s="1">
        <v>6022.7804999999998</v>
      </c>
      <c r="J126" s="2">
        <v>1</v>
      </c>
      <c r="K126" s="13">
        <f t="shared" si="3"/>
        <v>5.7252626091885634</v>
      </c>
      <c r="M126" s="1">
        <v>34482</v>
      </c>
    </row>
    <row r="127" spans="1:13" x14ac:dyDescent="0.4">
      <c r="A127" s="18">
        <v>69.658900000000003</v>
      </c>
      <c r="B127" s="1">
        <v>26968</v>
      </c>
      <c r="C127" s="1">
        <v>6666.4520000000002</v>
      </c>
      <c r="D127" s="2">
        <v>1</v>
      </c>
      <c r="E127" s="13">
        <f t="shared" si="2"/>
        <v>4.0453302596343601</v>
      </c>
      <c r="F127" s="21">
        <v>26968</v>
      </c>
      <c r="G127" s="1">
        <v>69.659000000000006</v>
      </c>
      <c r="H127" s="1">
        <v>24232</v>
      </c>
      <c r="I127" s="1">
        <v>6020.7912999999999</v>
      </c>
      <c r="J127" s="2">
        <v>1</v>
      </c>
      <c r="K127" s="13">
        <f t="shared" si="3"/>
        <v>4.0247201393610839</v>
      </c>
      <c r="M127" s="1">
        <v>24232</v>
      </c>
    </row>
    <row r="128" spans="1:13" x14ac:dyDescent="0.4">
      <c r="A128" s="18">
        <v>69.668899999999994</v>
      </c>
      <c r="B128" s="1">
        <v>20757</v>
      </c>
      <c r="C128" s="1">
        <v>6666.5865000000003</v>
      </c>
      <c r="D128" s="2">
        <v>1</v>
      </c>
      <c r="E128" s="13">
        <f t="shared" si="2"/>
        <v>3.1135874408889763</v>
      </c>
      <c r="F128" s="21">
        <v>20757</v>
      </c>
      <c r="G128" s="1">
        <v>69.668999999999997</v>
      </c>
      <c r="H128" s="1">
        <v>17354</v>
      </c>
      <c r="I128" s="1">
        <v>6020.2608</v>
      </c>
      <c r="J128" s="2">
        <v>1</v>
      </c>
      <c r="K128" s="13">
        <f t="shared" si="3"/>
        <v>2.8825993717747243</v>
      </c>
      <c r="M128" s="1">
        <v>17354</v>
      </c>
    </row>
    <row r="129" spans="1:13" x14ac:dyDescent="0.4">
      <c r="A129" s="18">
        <v>69.678899999999999</v>
      </c>
      <c r="B129" s="1">
        <v>16552</v>
      </c>
      <c r="C129" s="1">
        <v>6664.6463000000003</v>
      </c>
      <c r="D129" s="2">
        <v>1</v>
      </c>
      <c r="E129" s="13">
        <f t="shared" si="2"/>
        <v>2.4835526530492698</v>
      </c>
      <c r="F129" s="21">
        <v>16552</v>
      </c>
      <c r="G129" s="1">
        <v>69.679000000000002</v>
      </c>
      <c r="H129" s="1">
        <v>12968</v>
      </c>
      <c r="I129" s="1">
        <v>6020.2440999999999</v>
      </c>
      <c r="J129" s="2">
        <v>1</v>
      </c>
      <c r="K129" s="13">
        <f t="shared" si="3"/>
        <v>2.1540654805010315</v>
      </c>
      <c r="M129" s="1">
        <v>12968</v>
      </c>
    </row>
    <row r="130" spans="1:13" x14ac:dyDescent="0.4">
      <c r="A130" s="18">
        <v>69.688900000000004</v>
      </c>
      <c r="B130" s="1">
        <v>13609</v>
      </c>
      <c r="C130" s="1">
        <v>6662.2713999999996</v>
      </c>
      <c r="D130" s="2">
        <v>1</v>
      </c>
      <c r="E130" s="13">
        <f t="shared" si="2"/>
        <v>2.0426967295268099</v>
      </c>
      <c r="F130" s="21">
        <v>13609</v>
      </c>
      <c r="G130" s="1">
        <v>69.688999999999993</v>
      </c>
      <c r="H130" s="1">
        <v>10417</v>
      </c>
      <c r="I130" s="1">
        <v>6020.6779999999999</v>
      </c>
      <c r="J130" s="2">
        <v>1</v>
      </c>
      <c r="K130" s="13">
        <f t="shared" si="3"/>
        <v>1.7302038076110364</v>
      </c>
      <c r="M130" s="1">
        <v>10417</v>
      </c>
    </row>
    <row r="131" spans="1:13" x14ac:dyDescent="0.4">
      <c r="A131" s="18">
        <v>69.698899999999995</v>
      </c>
      <c r="B131" s="1">
        <v>11100</v>
      </c>
      <c r="C131" s="1">
        <v>6659.4094999999998</v>
      </c>
      <c r="D131" s="2">
        <v>1</v>
      </c>
      <c r="E131" s="13">
        <f t="shared" si="2"/>
        <v>1.6668144525426767</v>
      </c>
      <c r="F131" s="21">
        <v>11100</v>
      </c>
      <c r="G131" s="1">
        <v>69.698999999999998</v>
      </c>
      <c r="H131" s="1">
        <v>8882</v>
      </c>
      <c r="I131" s="1">
        <v>6018.7007000000003</v>
      </c>
      <c r="J131" s="2">
        <v>1</v>
      </c>
      <c r="K131" s="13">
        <f t="shared" si="3"/>
        <v>1.4757337908495765</v>
      </c>
      <c r="M131" s="1">
        <v>8882</v>
      </c>
    </row>
    <row r="132" spans="1:13" x14ac:dyDescent="0.4">
      <c r="A132" s="18">
        <v>69.7089</v>
      </c>
      <c r="B132" s="1">
        <v>9389</v>
      </c>
      <c r="C132" s="1">
        <v>6658.7709999999997</v>
      </c>
      <c r="D132" s="2">
        <v>1</v>
      </c>
      <c r="E132" s="13">
        <f t="shared" si="2"/>
        <v>1.4100199571362344</v>
      </c>
      <c r="F132" s="21">
        <v>9389</v>
      </c>
      <c r="G132" s="1">
        <v>69.709000000000003</v>
      </c>
      <c r="H132" s="1">
        <v>7502</v>
      </c>
      <c r="I132" s="1">
        <v>6019.7849999999999</v>
      </c>
      <c r="J132" s="2">
        <v>1</v>
      </c>
      <c r="K132" s="13">
        <f t="shared" si="3"/>
        <v>1.2462239099901409</v>
      </c>
      <c r="M132" s="1">
        <v>7502</v>
      </c>
    </row>
    <row r="133" spans="1:13" x14ac:dyDescent="0.4">
      <c r="A133" s="18">
        <v>69.718900000000005</v>
      </c>
      <c r="B133" s="1">
        <v>7961</v>
      </c>
      <c r="C133" s="1">
        <v>6656.518</v>
      </c>
      <c r="D133" s="2">
        <v>1</v>
      </c>
      <c r="E133" s="13">
        <f t="shared" si="2"/>
        <v>1.1959706260840879</v>
      </c>
      <c r="F133" s="21">
        <v>7961</v>
      </c>
      <c r="G133" s="1">
        <v>69.718999999999994</v>
      </c>
      <c r="H133" s="1">
        <v>6241</v>
      </c>
      <c r="I133" s="1">
        <v>6019.0843000000004</v>
      </c>
      <c r="J133" s="2">
        <v>1</v>
      </c>
      <c r="K133" s="13">
        <f t="shared" si="3"/>
        <v>1.0368686811713204</v>
      </c>
      <c r="M133" s="1">
        <v>6241</v>
      </c>
    </row>
    <row r="134" spans="1:13" x14ac:dyDescent="0.4">
      <c r="A134" s="18">
        <v>69.728899999999996</v>
      </c>
      <c r="B134" s="1">
        <v>6731</v>
      </c>
      <c r="C134" s="1">
        <v>6649.3523999999998</v>
      </c>
      <c r="D134" s="2">
        <v>1</v>
      </c>
      <c r="E134" s="13">
        <f t="shared" si="2"/>
        <v>1.0122790303609115</v>
      </c>
      <c r="F134" s="21">
        <v>6731</v>
      </c>
      <c r="G134" s="1">
        <v>69.728999999999999</v>
      </c>
      <c r="H134" s="1">
        <v>5381</v>
      </c>
      <c r="I134" s="1">
        <v>6019.3334999999997</v>
      </c>
      <c r="J134" s="2">
        <v>1</v>
      </c>
      <c r="K134" s="13">
        <f t="shared" si="3"/>
        <v>0.89395279394305038</v>
      </c>
      <c r="M134" s="1">
        <v>5381</v>
      </c>
    </row>
    <row r="135" spans="1:13" x14ac:dyDescent="0.4">
      <c r="A135" s="18">
        <v>69.738900000000001</v>
      </c>
      <c r="B135" s="1">
        <v>6138</v>
      </c>
      <c r="C135" s="1">
        <v>6649.3720999999996</v>
      </c>
      <c r="D135" s="2">
        <v>1</v>
      </c>
      <c r="E135" s="13">
        <f t="shared" si="2"/>
        <v>0.92309467836820269</v>
      </c>
      <c r="F135" s="21">
        <v>6138</v>
      </c>
      <c r="G135" s="1">
        <v>69.739000000000004</v>
      </c>
      <c r="H135" s="1">
        <v>4626</v>
      </c>
      <c r="I135" s="1">
        <v>6022.8033999999998</v>
      </c>
      <c r="J135" s="2">
        <v>1</v>
      </c>
      <c r="K135" s="13">
        <f t="shared" si="3"/>
        <v>0.7680808574956971</v>
      </c>
      <c r="M135" s="1">
        <v>4626</v>
      </c>
    </row>
    <row r="136" spans="1:13" x14ac:dyDescent="0.4">
      <c r="A136" s="18">
        <v>69.748900000000006</v>
      </c>
      <c r="B136" s="1">
        <v>5388</v>
      </c>
      <c r="C136" s="1">
        <v>6645.9713000000002</v>
      </c>
      <c r="D136" s="2">
        <v>1</v>
      </c>
      <c r="E136" s="13">
        <f t="shared" si="2"/>
        <v>0.81071671194246653</v>
      </c>
      <c r="F136" s="21">
        <v>5388</v>
      </c>
      <c r="G136" s="1">
        <v>69.748999999999995</v>
      </c>
      <c r="H136" s="1">
        <v>3994</v>
      </c>
      <c r="I136" s="1">
        <v>6022.817</v>
      </c>
      <c r="J136" s="2">
        <v>1</v>
      </c>
      <c r="K136" s="13">
        <f t="shared" si="3"/>
        <v>0.66314483737427188</v>
      </c>
      <c r="M136" s="1">
        <v>3994</v>
      </c>
    </row>
    <row r="137" spans="1:13" x14ac:dyDescent="0.4">
      <c r="A137" s="18">
        <v>69.758899999999997</v>
      </c>
      <c r="B137" s="1">
        <v>4780</v>
      </c>
      <c r="C137" s="1">
        <v>6645.7596999999996</v>
      </c>
      <c r="D137" s="2">
        <v>1</v>
      </c>
      <c r="E137" s="13">
        <f t="shared" si="2"/>
        <v>0.71925561798450222</v>
      </c>
      <c r="F137" s="21">
        <v>4780</v>
      </c>
      <c r="G137" s="1">
        <v>69.759</v>
      </c>
      <c r="H137" s="1">
        <v>3596</v>
      </c>
      <c r="I137" s="1">
        <v>6023.9372000000003</v>
      </c>
      <c r="J137" s="2">
        <v>1</v>
      </c>
      <c r="K137" s="13">
        <f t="shared" si="3"/>
        <v>0.59695177433124635</v>
      </c>
      <c r="M137" s="1">
        <v>3596</v>
      </c>
    </row>
    <row r="138" spans="1:13" x14ac:dyDescent="0.4">
      <c r="A138" s="18">
        <v>69.768900000000002</v>
      </c>
      <c r="B138" s="1">
        <v>4265</v>
      </c>
      <c r="C138" s="1">
        <v>6641.8346000000001</v>
      </c>
      <c r="D138" s="2">
        <v>1</v>
      </c>
      <c r="E138" s="13">
        <f t="shared" si="2"/>
        <v>0.64214185640816768</v>
      </c>
      <c r="F138" s="21">
        <v>4265</v>
      </c>
      <c r="G138" s="1">
        <v>69.769000000000005</v>
      </c>
      <c r="H138" s="1">
        <v>3017</v>
      </c>
      <c r="I138" s="1">
        <v>6023.9583000000002</v>
      </c>
      <c r="J138" s="2">
        <v>1</v>
      </c>
      <c r="K138" s="13">
        <f t="shared" si="3"/>
        <v>0.50083348020519991</v>
      </c>
      <c r="M138" s="1">
        <v>3017</v>
      </c>
    </row>
    <row r="139" spans="1:13" x14ac:dyDescent="0.4">
      <c r="A139" s="18">
        <v>69.778899999999993</v>
      </c>
      <c r="B139" s="1">
        <v>3889</v>
      </c>
      <c r="C139" s="1">
        <v>6640.5852000000004</v>
      </c>
      <c r="D139" s="2">
        <v>1</v>
      </c>
      <c r="E139" s="13">
        <f t="shared" si="2"/>
        <v>0.58564115704742403</v>
      </c>
      <c r="F139" s="21">
        <v>3889</v>
      </c>
      <c r="G139" s="1">
        <v>69.778999999999996</v>
      </c>
      <c r="H139" s="1">
        <v>2618</v>
      </c>
      <c r="I139" s="1">
        <v>6022.4822999999997</v>
      </c>
      <c r="J139" s="2">
        <v>1</v>
      </c>
      <c r="K139" s="13">
        <f t="shared" si="3"/>
        <v>0.43470447393427791</v>
      </c>
      <c r="M139" s="1">
        <v>2618</v>
      </c>
    </row>
    <row r="140" spans="1:13" x14ac:dyDescent="0.4">
      <c r="A140" s="18">
        <v>69.788899999999998</v>
      </c>
      <c r="B140" s="1">
        <v>3419</v>
      </c>
      <c r="C140" s="1">
        <v>6642.2186000000002</v>
      </c>
      <c r="D140" s="2">
        <v>1</v>
      </c>
      <c r="E140" s="13">
        <f t="shared" si="2"/>
        <v>0.51473765106134872</v>
      </c>
      <c r="F140" s="21">
        <v>3419</v>
      </c>
      <c r="G140" s="1">
        <v>69.789000000000001</v>
      </c>
      <c r="H140" s="1">
        <v>2383</v>
      </c>
      <c r="I140" s="1">
        <v>6022.2125999999998</v>
      </c>
      <c r="J140" s="2">
        <v>1</v>
      </c>
      <c r="K140" s="13">
        <f t="shared" si="3"/>
        <v>0.39570173925776053</v>
      </c>
      <c r="M140" s="1">
        <v>2383</v>
      </c>
    </row>
    <row r="141" spans="1:13" x14ac:dyDescent="0.4">
      <c r="A141" s="18">
        <v>69.798900000000003</v>
      </c>
      <c r="B141" s="1">
        <v>3074</v>
      </c>
      <c r="C141" s="1">
        <v>6644.9867999999997</v>
      </c>
      <c r="D141" s="2">
        <v>1</v>
      </c>
      <c r="E141" s="13">
        <f t="shared" si="2"/>
        <v>0.46260438019229777</v>
      </c>
      <c r="F141" s="21">
        <v>3074</v>
      </c>
      <c r="G141" s="1">
        <v>69.799000000000007</v>
      </c>
      <c r="H141" s="1">
        <v>2238</v>
      </c>
      <c r="I141" s="1">
        <v>6023.7651999999998</v>
      </c>
      <c r="J141" s="2">
        <v>1</v>
      </c>
      <c r="K141" s="13">
        <f t="shared" si="3"/>
        <v>0.37152842544393994</v>
      </c>
      <c r="M141" s="1">
        <v>2238</v>
      </c>
    </row>
    <row r="142" spans="1:13" x14ac:dyDescent="0.4">
      <c r="A142" s="18">
        <v>69.808899999999994</v>
      </c>
      <c r="B142" s="1">
        <v>2801</v>
      </c>
      <c r="C142" s="1">
        <v>6644.3373000000001</v>
      </c>
      <c r="D142" s="2">
        <v>1</v>
      </c>
      <c r="E142" s="13">
        <f t="shared" si="2"/>
        <v>0.42156198180968324</v>
      </c>
      <c r="F142" s="21">
        <v>2801</v>
      </c>
      <c r="G142" s="1">
        <v>69.808999999999997</v>
      </c>
      <c r="H142" s="1">
        <v>2000</v>
      </c>
      <c r="I142" s="1">
        <v>6019.8639999999996</v>
      </c>
      <c r="J142" s="2">
        <v>1</v>
      </c>
      <c r="K142" s="13">
        <f t="shared" si="3"/>
        <v>0.33223341922674665</v>
      </c>
      <c r="M142" s="1">
        <v>2000</v>
      </c>
    </row>
    <row r="143" spans="1:13" x14ac:dyDescent="0.4">
      <c r="A143" s="18">
        <v>69.818899999999999</v>
      </c>
      <c r="B143" s="1">
        <v>2638</v>
      </c>
      <c r="C143" s="1">
        <v>6646.3339999999998</v>
      </c>
      <c r="D143" s="2">
        <v>1</v>
      </c>
      <c r="E143" s="13">
        <f t="shared" si="2"/>
        <v>0.39691053744816318</v>
      </c>
      <c r="F143" s="21">
        <v>2638</v>
      </c>
      <c r="G143" s="1">
        <v>69.819000000000003</v>
      </c>
      <c r="H143" s="1">
        <v>1753</v>
      </c>
      <c r="I143" s="1">
        <v>6019.0048999999999</v>
      </c>
      <c r="J143" s="2">
        <v>1</v>
      </c>
      <c r="K143" s="13">
        <f t="shared" si="3"/>
        <v>0.29124415565769018</v>
      </c>
      <c r="M143" s="1">
        <v>1753</v>
      </c>
    </row>
    <row r="144" spans="1:13" x14ac:dyDescent="0.4">
      <c r="A144" s="18">
        <v>69.828900000000004</v>
      </c>
      <c r="B144" s="1">
        <v>2388</v>
      </c>
      <c r="C144" s="1">
        <v>6651.2564000000002</v>
      </c>
      <c r="D144" s="2">
        <v>1</v>
      </c>
      <c r="E144" s="13">
        <f t="shared" si="2"/>
        <v>0.35902991200279094</v>
      </c>
      <c r="F144" s="21">
        <v>2388</v>
      </c>
      <c r="G144" s="1">
        <v>69.828999999999994</v>
      </c>
      <c r="H144" s="1">
        <v>1520</v>
      </c>
      <c r="I144" s="1">
        <v>6017.5337</v>
      </c>
      <c r="J144" s="2">
        <v>1</v>
      </c>
      <c r="K144" s="13">
        <f t="shared" si="3"/>
        <v>0.25259517865267628</v>
      </c>
      <c r="M144" s="1">
        <v>1520</v>
      </c>
    </row>
    <row r="145" spans="1:13" x14ac:dyDescent="0.4">
      <c r="A145" s="18">
        <v>69.838899999999995</v>
      </c>
      <c r="B145" s="1">
        <v>2151</v>
      </c>
      <c r="C145" s="1">
        <v>6647.8220000000001</v>
      </c>
      <c r="D145" s="2">
        <v>1</v>
      </c>
      <c r="E145" s="13">
        <f t="shared" si="2"/>
        <v>0.32356462011166964</v>
      </c>
      <c r="F145" s="21">
        <v>2151</v>
      </c>
      <c r="G145" s="1">
        <v>69.838999999999999</v>
      </c>
      <c r="H145" s="1">
        <v>1396</v>
      </c>
      <c r="I145" s="1">
        <v>6015.9282000000003</v>
      </c>
      <c r="J145" s="2">
        <v>1</v>
      </c>
      <c r="K145" s="13">
        <f t="shared" si="3"/>
        <v>0.23205064182780638</v>
      </c>
      <c r="M145" s="1">
        <v>1396</v>
      </c>
    </row>
    <row r="146" spans="1:13" x14ac:dyDescent="0.4">
      <c r="A146" s="18">
        <v>69.8489</v>
      </c>
      <c r="B146" s="1">
        <v>2009</v>
      </c>
      <c r="C146" s="1">
        <v>6645.8783000000003</v>
      </c>
      <c r="D146" s="2">
        <v>1</v>
      </c>
      <c r="E146" s="13">
        <f t="shared" si="2"/>
        <v>0.30229262549090014</v>
      </c>
      <c r="F146" s="21">
        <v>2009</v>
      </c>
      <c r="G146" s="1">
        <v>69.849000000000004</v>
      </c>
      <c r="H146" s="1">
        <v>1231</v>
      </c>
      <c r="I146" s="1">
        <v>6015.2740999999996</v>
      </c>
      <c r="J146" s="2">
        <v>1</v>
      </c>
      <c r="K146" s="13">
        <f t="shared" si="3"/>
        <v>0.204645703510003</v>
      </c>
      <c r="M146" s="1">
        <v>1231</v>
      </c>
    </row>
    <row r="147" spans="1:13" x14ac:dyDescent="0.4">
      <c r="A147" s="18">
        <v>69.858900000000006</v>
      </c>
      <c r="B147" s="1">
        <v>1910</v>
      </c>
      <c r="C147" s="1">
        <v>6648.0819000000001</v>
      </c>
      <c r="D147" s="2">
        <v>1</v>
      </c>
      <c r="E147" s="13">
        <f t="shared" si="2"/>
        <v>0.2873009130648646</v>
      </c>
      <c r="F147" s="21">
        <v>1910</v>
      </c>
      <c r="G147" s="1">
        <v>69.858999999999995</v>
      </c>
      <c r="H147" s="1">
        <v>1073</v>
      </c>
      <c r="I147" s="1">
        <v>6015.1088</v>
      </c>
      <c r="J147" s="2">
        <v>1</v>
      </c>
      <c r="K147" s="13">
        <f t="shared" si="3"/>
        <v>0.17838413828857094</v>
      </c>
      <c r="M147" s="1">
        <v>1073</v>
      </c>
    </row>
    <row r="148" spans="1:13" x14ac:dyDescent="0.4">
      <c r="A148" s="18">
        <v>69.868899999999996</v>
      </c>
      <c r="B148" s="1">
        <v>1789</v>
      </c>
      <c r="C148" s="1">
        <v>6645.8217999999997</v>
      </c>
      <c r="D148" s="2">
        <v>1</v>
      </c>
      <c r="E148" s="13">
        <f t="shared" si="2"/>
        <v>0.26919168973203583</v>
      </c>
      <c r="F148" s="21">
        <v>1789</v>
      </c>
      <c r="G148" s="1">
        <v>69.869</v>
      </c>
      <c r="H148" s="1">
        <v>933</v>
      </c>
      <c r="I148" s="1">
        <v>6014.0243</v>
      </c>
      <c r="J148" s="2">
        <v>1</v>
      </c>
      <c r="K148" s="13">
        <f t="shared" si="3"/>
        <v>0.15513738446317885</v>
      </c>
      <c r="M148" s="1">
        <v>933</v>
      </c>
    </row>
    <row r="149" spans="1:13" x14ac:dyDescent="0.4">
      <c r="A149" s="18">
        <v>69.878900000000002</v>
      </c>
      <c r="B149" s="1">
        <v>1663</v>
      </c>
      <c r="C149" s="1">
        <v>6648.1048000000001</v>
      </c>
      <c r="D149" s="2">
        <v>1</v>
      </c>
      <c r="E149" s="13">
        <f t="shared" ref="E149:E212" si="7">B149/C149*D149</f>
        <v>0.2501464778353073</v>
      </c>
      <c r="F149" s="21">
        <v>1663</v>
      </c>
      <c r="G149" s="1">
        <v>69.879000000000005</v>
      </c>
      <c r="H149" s="1">
        <v>839</v>
      </c>
      <c r="I149" s="1">
        <v>6015.1984000000002</v>
      </c>
      <c r="J149" s="2">
        <v>1</v>
      </c>
      <c r="K149" s="13">
        <f t="shared" ref="K149:K212" si="8">H149/I149*J149</f>
        <v>0.1394800211411148</v>
      </c>
      <c r="M149" s="1">
        <v>839</v>
      </c>
    </row>
    <row r="150" spans="1:13" x14ac:dyDescent="0.4">
      <c r="A150" s="18">
        <v>69.888900000000007</v>
      </c>
      <c r="B150" s="1">
        <v>1591</v>
      </c>
      <c r="C150" s="1">
        <v>6645.6742000000004</v>
      </c>
      <c r="D150" s="2">
        <v>1</v>
      </c>
      <c r="E150" s="13">
        <f t="shared" si="7"/>
        <v>0.23940385160620722</v>
      </c>
      <c r="F150" s="21">
        <v>1591</v>
      </c>
      <c r="G150" s="1">
        <v>69.888999999999996</v>
      </c>
      <c r="H150" s="1">
        <v>745</v>
      </c>
      <c r="I150" s="1">
        <v>6016.0771999999997</v>
      </c>
      <c r="J150" s="2">
        <v>1</v>
      </c>
      <c r="K150" s="13">
        <f t="shared" si="8"/>
        <v>0.12383484706612476</v>
      </c>
      <c r="M150" s="1">
        <v>745</v>
      </c>
    </row>
    <row r="151" spans="1:13" x14ac:dyDescent="0.4">
      <c r="A151" s="18">
        <v>69.898899999999998</v>
      </c>
      <c r="B151" s="1">
        <v>1463</v>
      </c>
      <c r="C151" s="1">
        <v>6644.2390999999998</v>
      </c>
      <c r="D151" s="2">
        <v>1</v>
      </c>
      <c r="E151" s="13">
        <f t="shared" si="7"/>
        <v>0.2201907514135065</v>
      </c>
      <c r="F151" s="21">
        <v>1463</v>
      </c>
      <c r="G151" s="1">
        <v>69.899000000000001</v>
      </c>
      <c r="H151" s="1">
        <v>741</v>
      </c>
      <c r="I151" s="1">
        <v>6012.6842999999999</v>
      </c>
      <c r="J151" s="2">
        <v>1</v>
      </c>
      <c r="K151" s="13">
        <f t="shared" si="8"/>
        <v>0.12323946560773198</v>
      </c>
      <c r="M151" s="1">
        <v>741</v>
      </c>
    </row>
    <row r="152" spans="1:13" x14ac:dyDescent="0.4">
      <c r="A152" s="18">
        <v>69.908900000000003</v>
      </c>
      <c r="B152" s="1">
        <v>1422</v>
      </c>
      <c r="C152" s="1">
        <v>6644.1994999999997</v>
      </c>
      <c r="D152" s="2">
        <v>1</v>
      </c>
      <c r="E152" s="13">
        <f t="shared" si="7"/>
        <v>0.21402126772382438</v>
      </c>
      <c r="F152" s="21">
        <v>1422</v>
      </c>
      <c r="G152" s="1">
        <v>69.909000000000006</v>
      </c>
      <c r="H152" s="1">
        <v>677</v>
      </c>
      <c r="I152" s="1">
        <v>6012.6774999999998</v>
      </c>
      <c r="J152" s="2">
        <v>1</v>
      </c>
      <c r="K152" s="13">
        <f t="shared" si="8"/>
        <v>0.11259542857570526</v>
      </c>
      <c r="M152" s="1">
        <v>677</v>
      </c>
    </row>
    <row r="153" spans="1:13" x14ac:dyDescent="0.4">
      <c r="A153" s="18">
        <v>69.918899999999994</v>
      </c>
      <c r="B153" s="1">
        <v>1300</v>
      </c>
      <c r="C153" s="1">
        <v>6642.9543999999996</v>
      </c>
      <c r="D153" s="2">
        <v>1</v>
      </c>
      <c r="E153" s="13">
        <f t="shared" si="7"/>
        <v>0.19569605957252997</v>
      </c>
      <c r="F153" s="21">
        <v>1300</v>
      </c>
      <c r="G153" s="1">
        <v>69.918999999999997</v>
      </c>
      <c r="H153" s="1">
        <v>583</v>
      </c>
      <c r="I153" s="1">
        <v>6011.2249000000002</v>
      </c>
      <c r="J153" s="2">
        <v>1</v>
      </c>
      <c r="K153" s="13">
        <f t="shared" si="8"/>
        <v>9.6985225091145724E-2</v>
      </c>
      <c r="M153" s="1">
        <v>583</v>
      </c>
    </row>
    <row r="154" spans="1:13" x14ac:dyDescent="0.4">
      <c r="A154" s="18">
        <v>69.928899999999999</v>
      </c>
      <c r="B154" s="1">
        <v>1294</v>
      </c>
      <c r="C154" s="1">
        <v>6642.1698999999999</v>
      </c>
      <c r="D154" s="2">
        <v>1</v>
      </c>
      <c r="E154" s="13">
        <f t="shared" si="7"/>
        <v>0.19481585377694119</v>
      </c>
      <c r="F154" s="21">
        <v>1294</v>
      </c>
      <c r="G154" s="1">
        <v>69.929000000000002</v>
      </c>
      <c r="H154" s="1">
        <v>527</v>
      </c>
      <c r="I154" s="1">
        <v>6010.6378999999997</v>
      </c>
      <c r="J154" s="2">
        <v>1</v>
      </c>
      <c r="K154" s="13">
        <f t="shared" si="8"/>
        <v>8.7677881910004932E-2</v>
      </c>
      <c r="M154" s="1">
        <v>527</v>
      </c>
    </row>
    <row r="155" spans="1:13" x14ac:dyDescent="0.4">
      <c r="A155" s="18">
        <v>69.938900000000004</v>
      </c>
      <c r="B155" s="1">
        <v>1216</v>
      </c>
      <c r="C155" s="1">
        <v>6638.2106999999996</v>
      </c>
      <c r="D155" s="2">
        <v>1</v>
      </c>
      <c r="E155" s="13">
        <f t="shared" si="7"/>
        <v>0.1831818926747836</v>
      </c>
      <c r="F155" s="21">
        <v>1216</v>
      </c>
      <c r="G155" s="1">
        <v>69.938999999999993</v>
      </c>
      <c r="H155" s="1">
        <v>469</v>
      </c>
      <c r="I155" s="1">
        <v>6012.0895</v>
      </c>
      <c r="J155" s="2">
        <v>1</v>
      </c>
      <c r="K155" s="13">
        <f t="shared" si="8"/>
        <v>7.8009484057081982E-2</v>
      </c>
      <c r="M155" s="1">
        <v>469</v>
      </c>
    </row>
    <row r="156" spans="1:13" x14ac:dyDescent="0.4">
      <c r="A156" s="18">
        <v>69.948899999999995</v>
      </c>
      <c r="B156" s="1">
        <v>1165</v>
      </c>
      <c r="C156" s="1">
        <v>6635.5501999999997</v>
      </c>
      <c r="D156" s="2">
        <v>1</v>
      </c>
      <c r="E156" s="13">
        <f t="shared" si="7"/>
        <v>0.17556946521179209</v>
      </c>
      <c r="F156" s="21">
        <v>1165</v>
      </c>
      <c r="G156" s="1">
        <v>69.948999999999998</v>
      </c>
      <c r="H156" s="1">
        <v>398</v>
      </c>
      <c r="I156" s="1">
        <v>6011.6475</v>
      </c>
      <c r="J156" s="2">
        <v>1</v>
      </c>
      <c r="K156" s="13">
        <f t="shared" si="8"/>
        <v>6.6204813239631899E-2</v>
      </c>
      <c r="M156" s="1">
        <v>398</v>
      </c>
    </row>
    <row r="157" spans="1:13" x14ac:dyDescent="0.4">
      <c r="A157" s="18">
        <v>69.9589</v>
      </c>
      <c r="B157" s="1">
        <v>1124</v>
      </c>
      <c r="C157" s="1">
        <v>6633.6405999999997</v>
      </c>
      <c r="D157" s="2">
        <v>1</v>
      </c>
      <c r="E157" s="13">
        <f t="shared" si="7"/>
        <v>0.16943938747601128</v>
      </c>
      <c r="F157" s="21">
        <v>1124</v>
      </c>
      <c r="G157" s="1">
        <v>69.959000000000003</v>
      </c>
      <c r="H157" s="1">
        <v>327</v>
      </c>
      <c r="I157" s="1">
        <v>6012.9530999999997</v>
      </c>
      <c r="J157" s="2">
        <v>1</v>
      </c>
      <c r="K157" s="13">
        <f t="shared" si="8"/>
        <v>5.43825961323397E-2</v>
      </c>
      <c r="M157" s="1">
        <v>327</v>
      </c>
    </row>
    <row r="158" spans="1:13" x14ac:dyDescent="0.4">
      <c r="A158" s="18">
        <v>69.968900000000005</v>
      </c>
      <c r="B158" s="1">
        <v>1047</v>
      </c>
      <c r="C158" s="1">
        <v>6633.2915999999996</v>
      </c>
      <c r="D158" s="2">
        <v>1</v>
      </c>
      <c r="E158" s="13">
        <f t="shared" si="7"/>
        <v>0.15784018902470684</v>
      </c>
      <c r="F158" s="21">
        <v>1047</v>
      </c>
      <c r="G158" s="1">
        <v>69.968999999999994</v>
      </c>
      <c r="H158" s="1">
        <v>318</v>
      </c>
      <c r="I158" s="1">
        <v>6013.4385000000002</v>
      </c>
      <c r="J158" s="2">
        <v>1</v>
      </c>
      <c r="K158" s="13">
        <f t="shared" si="8"/>
        <v>5.2881558529284035E-2</v>
      </c>
      <c r="M158" s="1">
        <v>318</v>
      </c>
    </row>
    <row r="159" spans="1:13" x14ac:dyDescent="0.4">
      <c r="A159" s="18">
        <v>69.978899999999996</v>
      </c>
      <c r="B159" s="1">
        <v>910</v>
      </c>
      <c r="C159" s="1">
        <v>6631.6324999999997</v>
      </c>
      <c r="D159" s="2">
        <v>1</v>
      </c>
      <c r="E159" s="13">
        <f t="shared" si="7"/>
        <v>0.137221114107273</v>
      </c>
      <c r="F159" s="21">
        <v>910</v>
      </c>
      <c r="G159" s="1">
        <v>69.978999999999999</v>
      </c>
      <c r="H159" s="1">
        <v>277</v>
      </c>
      <c r="I159" s="1">
        <v>6014.7089999999998</v>
      </c>
      <c r="J159" s="2">
        <v>1</v>
      </c>
      <c r="K159" s="13">
        <f t="shared" si="8"/>
        <v>4.6053765859661706E-2</v>
      </c>
      <c r="M159" s="1">
        <v>277</v>
      </c>
    </row>
    <row r="160" spans="1:13" x14ac:dyDescent="0.4">
      <c r="A160" s="18">
        <v>69.988900000000001</v>
      </c>
      <c r="B160" s="1">
        <v>874</v>
      </c>
      <c r="C160" s="1">
        <v>6628.8437000000004</v>
      </c>
      <c r="D160" s="2">
        <v>1</v>
      </c>
      <c r="E160" s="13">
        <f t="shared" si="7"/>
        <v>0.13184803256109356</v>
      </c>
      <c r="F160" s="21">
        <v>874</v>
      </c>
      <c r="G160" s="1">
        <v>69.989000000000004</v>
      </c>
      <c r="H160" s="1">
        <v>289</v>
      </c>
      <c r="I160" s="1">
        <v>6014.5839999999998</v>
      </c>
      <c r="J160" s="2">
        <v>1</v>
      </c>
      <c r="K160" s="13">
        <f t="shared" si="8"/>
        <v>4.8049873440956181E-2</v>
      </c>
      <c r="M160" s="1">
        <v>289</v>
      </c>
    </row>
    <row r="161" spans="1:13" x14ac:dyDescent="0.4">
      <c r="A161" s="18">
        <v>69.998900000000006</v>
      </c>
      <c r="B161" s="1">
        <v>837</v>
      </c>
      <c r="C161" s="1">
        <v>6627.7644</v>
      </c>
      <c r="D161" s="2">
        <v>1</v>
      </c>
      <c r="E161" s="13">
        <f t="shared" si="7"/>
        <v>0.12628692715751935</v>
      </c>
      <c r="F161" s="21">
        <v>837</v>
      </c>
      <c r="G161" s="1">
        <v>69.998999999999995</v>
      </c>
      <c r="H161" s="1">
        <v>251</v>
      </c>
      <c r="I161" s="1">
        <v>6012.9574000000002</v>
      </c>
      <c r="J161" s="2">
        <v>1</v>
      </c>
      <c r="K161" s="13">
        <f t="shared" si="8"/>
        <v>4.1743186139984956E-2</v>
      </c>
      <c r="M161" s="1">
        <v>251</v>
      </c>
    </row>
    <row r="162" spans="1:13" x14ac:dyDescent="0.4">
      <c r="A162" s="18">
        <v>70.008899999999997</v>
      </c>
      <c r="B162" s="1">
        <v>810</v>
      </c>
      <c r="C162" s="1">
        <v>6628.4188999999997</v>
      </c>
      <c r="D162" s="2">
        <v>1</v>
      </c>
      <c r="E162" s="13">
        <f t="shared" si="7"/>
        <v>0.12220108780391054</v>
      </c>
      <c r="F162" s="21">
        <v>810</v>
      </c>
      <c r="G162" s="1">
        <v>70.009</v>
      </c>
      <c r="H162" s="1">
        <v>204</v>
      </c>
      <c r="I162" s="1">
        <v>6013.2916999999998</v>
      </c>
      <c r="J162" s="2">
        <v>1</v>
      </c>
      <c r="K162" s="13">
        <f t="shared" si="8"/>
        <v>3.3924846852182479E-2</v>
      </c>
      <c r="M162" s="1">
        <v>204</v>
      </c>
    </row>
    <row r="163" spans="1:13" x14ac:dyDescent="0.4">
      <c r="A163" s="18">
        <v>70.018900000000002</v>
      </c>
      <c r="B163" s="1">
        <v>717</v>
      </c>
      <c r="C163" s="1">
        <v>6630.6077999999998</v>
      </c>
      <c r="D163" s="2">
        <v>1</v>
      </c>
      <c r="E163" s="13">
        <f t="shared" si="7"/>
        <v>0.10813488320030028</v>
      </c>
      <c r="F163" s="21">
        <v>717</v>
      </c>
      <c r="G163" s="1">
        <v>70.019000000000005</v>
      </c>
      <c r="H163" s="1">
        <v>172</v>
      </c>
      <c r="I163" s="1">
        <v>6010.6864999999998</v>
      </c>
      <c r="J163" s="2">
        <v>1</v>
      </c>
      <c r="K163" s="13">
        <f t="shared" si="8"/>
        <v>2.861569972082224E-2</v>
      </c>
      <c r="M163" s="1">
        <v>172</v>
      </c>
    </row>
    <row r="164" spans="1:13" x14ac:dyDescent="0.4">
      <c r="A164" s="18">
        <v>70.028899999999993</v>
      </c>
      <c r="B164" s="1">
        <v>778</v>
      </c>
      <c r="C164" s="1">
        <v>6629.0609999999997</v>
      </c>
      <c r="D164" s="2">
        <v>1</v>
      </c>
      <c r="E164" s="13">
        <f t="shared" si="7"/>
        <v>0.11736202155931286</v>
      </c>
      <c r="F164" s="21">
        <v>778</v>
      </c>
      <c r="G164" s="1">
        <v>70.028999999999996</v>
      </c>
      <c r="H164" s="1">
        <v>164</v>
      </c>
      <c r="I164" s="1">
        <v>6009.2819</v>
      </c>
      <c r="J164" s="2">
        <v>1</v>
      </c>
      <c r="K164" s="13">
        <f t="shared" si="8"/>
        <v>2.7291114434155602E-2</v>
      </c>
      <c r="M164" s="1">
        <v>164</v>
      </c>
    </row>
    <row r="165" spans="1:13" x14ac:dyDescent="0.4">
      <c r="A165" s="18">
        <v>70.038899999999998</v>
      </c>
      <c r="B165" s="1">
        <v>712</v>
      </c>
      <c r="C165" s="1">
        <v>6630.8235000000004</v>
      </c>
      <c r="D165" s="2">
        <v>1</v>
      </c>
      <c r="E165" s="13">
        <f t="shared" si="7"/>
        <v>0.10737731143047315</v>
      </c>
      <c r="F165" s="21">
        <v>712</v>
      </c>
      <c r="G165" s="1">
        <v>70.039000000000001</v>
      </c>
      <c r="H165" s="1">
        <v>152</v>
      </c>
      <c r="I165" s="1">
        <v>6007.3858</v>
      </c>
      <c r="J165" s="2">
        <v>1</v>
      </c>
      <c r="K165" s="13">
        <f t="shared" si="8"/>
        <v>2.5302187184315681E-2</v>
      </c>
      <c r="M165" s="1">
        <v>152</v>
      </c>
    </row>
    <row r="166" spans="1:13" x14ac:dyDescent="0.4">
      <c r="A166" s="18">
        <v>70.048900000000003</v>
      </c>
      <c r="B166" s="1">
        <v>682</v>
      </c>
      <c r="C166" s="1">
        <v>6628.3786</v>
      </c>
      <c r="D166" s="2">
        <v>1</v>
      </c>
      <c r="E166" s="13">
        <f t="shared" si="7"/>
        <v>0.10289092418468673</v>
      </c>
      <c r="F166" s="21">
        <v>682</v>
      </c>
      <c r="G166" s="1">
        <v>70.049000000000007</v>
      </c>
      <c r="H166" s="1">
        <v>139</v>
      </c>
      <c r="I166" s="1">
        <v>6007.1139000000003</v>
      </c>
      <c r="J166" s="2">
        <v>1</v>
      </c>
      <c r="K166" s="13">
        <f t="shared" si="8"/>
        <v>2.3139231636676638E-2</v>
      </c>
      <c r="M166" s="1">
        <v>139</v>
      </c>
    </row>
    <row r="167" spans="1:13" x14ac:dyDescent="0.4">
      <c r="A167" s="18">
        <v>70.058899999999994</v>
      </c>
      <c r="B167" s="1">
        <v>673</v>
      </c>
      <c r="C167" s="1">
        <v>6627.3504999999996</v>
      </c>
      <c r="D167" s="2">
        <v>1</v>
      </c>
      <c r="E167" s="13">
        <f t="shared" si="7"/>
        <v>0.10154887688526509</v>
      </c>
      <c r="F167" s="21">
        <v>673</v>
      </c>
      <c r="G167" s="1">
        <v>70.058999999999997</v>
      </c>
      <c r="H167" s="1">
        <v>102</v>
      </c>
      <c r="I167" s="1">
        <v>6010.2717000000002</v>
      </c>
      <c r="J167" s="2">
        <v>1</v>
      </c>
      <c r="K167" s="13">
        <f t="shared" si="8"/>
        <v>1.6970946587988693E-2</v>
      </c>
      <c r="M167" s="1">
        <v>102</v>
      </c>
    </row>
    <row r="168" spans="1:13" x14ac:dyDescent="0.4">
      <c r="A168" s="18">
        <v>70.068899999999999</v>
      </c>
      <c r="B168" s="1">
        <v>616</v>
      </c>
      <c r="C168" s="1">
        <v>6625.9432999999999</v>
      </c>
      <c r="D168" s="2">
        <v>1</v>
      </c>
      <c r="E168" s="13">
        <f t="shared" si="7"/>
        <v>9.2967894850533958E-2</v>
      </c>
      <c r="F168" s="21">
        <v>616</v>
      </c>
      <c r="G168" s="1">
        <v>70.069000000000003</v>
      </c>
      <c r="H168" s="1">
        <v>79</v>
      </c>
      <c r="I168" s="1">
        <v>6009.2631000000001</v>
      </c>
      <c r="J168" s="2">
        <v>1</v>
      </c>
      <c r="K168" s="13">
        <f t="shared" si="8"/>
        <v>1.3146370642350474E-2</v>
      </c>
      <c r="M168" s="1">
        <v>79</v>
      </c>
    </row>
    <row r="169" spans="1:13" x14ac:dyDescent="0.4">
      <c r="A169" s="18">
        <v>70.078900000000004</v>
      </c>
      <c r="B169" s="1">
        <v>589</v>
      </c>
      <c r="C169" s="1">
        <v>6619.7173000000003</v>
      </c>
      <c r="D169" s="2">
        <v>1</v>
      </c>
      <c r="E169" s="13">
        <f t="shared" si="7"/>
        <v>8.8976609318346569E-2</v>
      </c>
      <c r="F169" s="21">
        <v>589</v>
      </c>
      <c r="G169" s="1">
        <v>70.078999999999994</v>
      </c>
      <c r="H169" s="1">
        <v>90</v>
      </c>
      <c r="I169" s="1">
        <v>6009.9694</v>
      </c>
      <c r="J169" s="2">
        <v>1</v>
      </c>
      <c r="K169" s="13">
        <f t="shared" si="8"/>
        <v>1.4975117843362064E-2</v>
      </c>
      <c r="M169" s="1">
        <v>90</v>
      </c>
    </row>
    <row r="170" spans="1:13" x14ac:dyDescent="0.4">
      <c r="A170" s="18">
        <v>70.088899999999995</v>
      </c>
      <c r="B170" s="1">
        <v>587</v>
      </c>
      <c r="C170" s="1">
        <v>6615.1648999999998</v>
      </c>
      <c r="D170" s="2">
        <v>1</v>
      </c>
      <c r="E170" s="13">
        <f t="shared" si="7"/>
        <v>8.8735505293299641E-2</v>
      </c>
      <c r="F170" s="21">
        <v>587</v>
      </c>
      <c r="G170" s="1">
        <v>70.088999999999999</v>
      </c>
      <c r="H170" s="1">
        <v>90</v>
      </c>
      <c r="I170" s="1">
        <v>6009.0384999999997</v>
      </c>
      <c r="J170" s="2">
        <v>1</v>
      </c>
      <c r="K170" s="13">
        <f t="shared" si="8"/>
        <v>1.4977437738167263E-2</v>
      </c>
      <c r="M170" s="1">
        <v>90</v>
      </c>
    </row>
    <row r="171" spans="1:13" x14ac:dyDescent="0.4">
      <c r="A171" s="18">
        <v>70.0989</v>
      </c>
      <c r="B171" s="1">
        <v>559</v>
      </c>
      <c r="C171" s="1">
        <v>6612.9979999999996</v>
      </c>
      <c r="D171" s="2">
        <v>1</v>
      </c>
      <c r="E171" s="13">
        <f t="shared" si="7"/>
        <v>8.4530495850747275E-2</v>
      </c>
      <c r="F171" s="21">
        <v>559</v>
      </c>
      <c r="G171" s="1">
        <v>70.099000000000004</v>
      </c>
      <c r="H171" s="1">
        <v>82</v>
      </c>
      <c r="I171" s="1">
        <v>6007.8225000000002</v>
      </c>
      <c r="J171" s="2">
        <v>1</v>
      </c>
      <c r="K171" s="13">
        <f t="shared" si="8"/>
        <v>1.3648871949862033E-2</v>
      </c>
      <c r="M171" s="1">
        <v>82</v>
      </c>
    </row>
    <row r="172" spans="1:13" x14ac:dyDescent="0.4">
      <c r="A172" s="18">
        <v>70.108900000000006</v>
      </c>
      <c r="B172" s="1">
        <v>537</v>
      </c>
      <c r="C172" s="1">
        <v>6612.4378999999999</v>
      </c>
      <c r="D172" s="2">
        <v>1</v>
      </c>
      <c r="E172" s="13">
        <f t="shared" si="7"/>
        <v>8.1210592541065676E-2</v>
      </c>
      <c r="F172" s="21">
        <v>537</v>
      </c>
      <c r="G172" s="1">
        <v>70.108999999999995</v>
      </c>
      <c r="H172" s="1">
        <v>71</v>
      </c>
      <c r="I172" s="1">
        <v>6006.5686999999998</v>
      </c>
      <c r="J172" s="2">
        <v>1</v>
      </c>
      <c r="K172" s="13">
        <f t="shared" si="8"/>
        <v>1.1820392564560196E-2</v>
      </c>
      <c r="M172" s="1">
        <v>71</v>
      </c>
    </row>
    <row r="173" spans="1:13" x14ac:dyDescent="0.4">
      <c r="A173" s="18">
        <v>70.118899999999996</v>
      </c>
      <c r="B173" s="1">
        <v>469</v>
      </c>
      <c r="C173" s="1">
        <v>6611.2178000000004</v>
      </c>
      <c r="D173" s="2">
        <v>1</v>
      </c>
      <c r="E173" s="13">
        <f t="shared" si="7"/>
        <v>7.0940031653472374E-2</v>
      </c>
      <c r="F173" s="21">
        <v>469</v>
      </c>
      <c r="G173" s="1">
        <v>70.119</v>
      </c>
      <c r="H173" s="1">
        <v>79</v>
      </c>
      <c r="I173" s="1">
        <v>6006.2705999999998</v>
      </c>
      <c r="J173" s="2">
        <v>1</v>
      </c>
      <c r="K173" s="13">
        <f t="shared" si="8"/>
        <v>1.3152920549400489E-2</v>
      </c>
      <c r="M173" s="1">
        <v>79</v>
      </c>
    </row>
    <row r="174" spans="1:13" x14ac:dyDescent="0.4">
      <c r="A174" s="18">
        <v>70.128900000000002</v>
      </c>
      <c r="B174" s="1">
        <v>437</v>
      </c>
      <c r="C174" s="1">
        <v>6611.2299000000003</v>
      </c>
      <c r="D174" s="2">
        <v>1</v>
      </c>
      <c r="E174" s="13">
        <f t="shared" si="7"/>
        <v>6.6099652653131905E-2</v>
      </c>
      <c r="F174" s="21">
        <v>437</v>
      </c>
      <c r="G174" s="1">
        <v>70.129000000000005</v>
      </c>
      <c r="H174" s="1">
        <v>62</v>
      </c>
      <c r="I174" s="1">
        <v>6006.5522000000001</v>
      </c>
      <c r="J174" s="2">
        <v>1</v>
      </c>
      <c r="K174" s="13">
        <f t="shared" si="8"/>
        <v>1.032206129832685E-2</v>
      </c>
      <c r="M174" s="1">
        <v>62</v>
      </c>
    </row>
    <row r="175" spans="1:13" x14ac:dyDescent="0.4">
      <c r="A175" s="18">
        <v>70.138900000000007</v>
      </c>
      <c r="B175" s="1">
        <v>435</v>
      </c>
      <c r="C175" s="1">
        <v>6607.8999000000003</v>
      </c>
      <c r="D175" s="2">
        <v>1</v>
      </c>
      <c r="E175" s="13">
        <f t="shared" si="7"/>
        <v>6.5830295038216302E-2</v>
      </c>
      <c r="F175" s="21">
        <v>435</v>
      </c>
      <c r="G175" s="1">
        <v>70.138999999999996</v>
      </c>
      <c r="H175" s="1">
        <v>42</v>
      </c>
      <c r="I175" s="1">
        <v>6003.8158999999996</v>
      </c>
      <c r="J175" s="2">
        <v>1</v>
      </c>
      <c r="K175" s="13">
        <f t="shared" si="8"/>
        <v>6.9955509461907392E-3</v>
      </c>
      <c r="M175" s="1">
        <v>42</v>
      </c>
    </row>
    <row r="176" spans="1:13" x14ac:dyDescent="0.4">
      <c r="A176" s="18">
        <v>70.148899999999998</v>
      </c>
      <c r="B176" s="1">
        <v>444</v>
      </c>
      <c r="C176" s="1">
        <v>6607.2515000000003</v>
      </c>
      <c r="D176" s="2">
        <v>1</v>
      </c>
      <c r="E176" s="13">
        <f t="shared" si="7"/>
        <v>6.7198895032223302E-2</v>
      </c>
      <c r="F176" s="21">
        <v>444</v>
      </c>
      <c r="G176" s="1">
        <v>70.149000000000001</v>
      </c>
      <c r="H176" s="1">
        <v>62</v>
      </c>
      <c r="I176" s="1">
        <v>6003.0551999999998</v>
      </c>
      <c r="J176" s="2">
        <v>1</v>
      </c>
      <c r="K176" s="13">
        <f t="shared" si="8"/>
        <v>1.0328074277911022E-2</v>
      </c>
      <c r="M176" s="1">
        <v>62</v>
      </c>
    </row>
    <row r="177" spans="1:13" x14ac:dyDescent="0.4">
      <c r="A177" s="18">
        <v>70.158900000000003</v>
      </c>
      <c r="B177" s="1">
        <v>419</v>
      </c>
      <c r="C177" s="1">
        <v>6613.317</v>
      </c>
      <c r="D177" s="2">
        <v>1</v>
      </c>
      <c r="E177" s="13">
        <f t="shared" si="7"/>
        <v>6.3357011315199316E-2</v>
      </c>
      <c r="F177" s="21">
        <v>419</v>
      </c>
      <c r="G177" s="1">
        <v>70.159000000000006</v>
      </c>
      <c r="H177" s="1">
        <v>46</v>
      </c>
      <c r="I177" s="1">
        <v>6000.7034999999996</v>
      </c>
      <c r="J177" s="2">
        <v>1</v>
      </c>
      <c r="K177" s="13">
        <f t="shared" si="8"/>
        <v>7.665767855385623E-3</v>
      </c>
      <c r="M177" s="1">
        <v>46</v>
      </c>
    </row>
    <row r="178" spans="1:13" x14ac:dyDescent="0.4">
      <c r="A178" s="18">
        <v>70.168899999999994</v>
      </c>
      <c r="B178" s="1">
        <v>370</v>
      </c>
      <c r="C178" s="1">
        <v>6612.3602000000001</v>
      </c>
      <c r="D178" s="2">
        <v>1</v>
      </c>
      <c r="E178" s="13">
        <f t="shared" si="7"/>
        <v>5.5955814385308292E-2</v>
      </c>
      <c r="F178" s="21">
        <v>370</v>
      </c>
      <c r="G178" s="1">
        <v>70.168999999999997</v>
      </c>
      <c r="H178" s="1">
        <v>33</v>
      </c>
      <c r="I178" s="1">
        <v>5999.4261999999999</v>
      </c>
      <c r="J178" s="2">
        <v>1</v>
      </c>
      <c r="K178" s="13">
        <f t="shared" si="8"/>
        <v>5.5005260336396834E-3</v>
      </c>
      <c r="M178" s="1">
        <v>33</v>
      </c>
    </row>
    <row r="179" spans="1:13" x14ac:dyDescent="0.4">
      <c r="A179" s="18">
        <v>70.178899999999999</v>
      </c>
      <c r="B179" s="1">
        <v>404</v>
      </c>
      <c r="C179" s="1">
        <v>6609.0042000000003</v>
      </c>
      <c r="D179" s="2">
        <v>1</v>
      </c>
      <c r="E179" s="13">
        <f t="shared" si="7"/>
        <v>6.1128724959805592E-2</v>
      </c>
      <c r="F179" s="21">
        <v>404</v>
      </c>
      <c r="G179" s="1">
        <v>70.179000000000002</v>
      </c>
      <c r="H179" s="1">
        <v>26</v>
      </c>
      <c r="I179" s="1">
        <v>5997.7457000000004</v>
      </c>
      <c r="J179" s="2">
        <v>1</v>
      </c>
      <c r="K179" s="13">
        <f t="shared" si="8"/>
        <v>4.334962050825196E-3</v>
      </c>
      <c r="M179" s="1">
        <v>26</v>
      </c>
    </row>
    <row r="180" spans="1:13" x14ac:dyDescent="0.4">
      <c r="A180" s="18">
        <v>70.188900000000004</v>
      </c>
      <c r="B180" s="1">
        <v>398</v>
      </c>
      <c r="C180" s="1">
        <v>6606.3177999999998</v>
      </c>
      <c r="D180" s="2">
        <v>1</v>
      </c>
      <c r="E180" s="13">
        <f t="shared" si="7"/>
        <v>6.024536088772478E-2</v>
      </c>
      <c r="F180" s="21">
        <v>398</v>
      </c>
      <c r="G180" s="1">
        <v>70.188999999999993</v>
      </c>
      <c r="H180" s="1">
        <v>40</v>
      </c>
      <c r="I180" s="1">
        <v>5996.5893999999998</v>
      </c>
      <c r="J180" s="2">
        <v>1</v>
      </c>
      <c r="K180" s="13">
        <f t="shared" si="8"/>
        <v>6.6704583775570826E-3</v>
      </c>
      <c r="M180" s="1">
        <v>40</v>
      </c>
    </row>
    <row r="181" spans="1:13" x14ac:dyDescent="0.4">
      <c r="A181" s="18">
        <v>70.198899999999995</v>
      </c>
      <c r="B181" s="1">
        <v>345</v>
      </c>
      <c r="C181" s="1">
        <v>6607.5306</v>
      </c>
      <c r="D181" s="2">
        <v>1</v>
      </c>
      <c r="E181" s="13">
        <f t="shared" si="7"/>
        <v>5.2213152066219716E-2</v>
      </c>
      <c r="F181" s="21">
        <v>345</v>
      </c>
      <c r="G181" s="1">
        <v>70.198999999999998</v>
      </c>
      <c r="H181" s="1">
        <v>28</v>
      </c>
      <c r="I181" s="1">
        <v>5993.8823000000002</v>
      </c>
      <c r="J181" s="2">
        <v>1</v>
      </c>
      <c r="K181" s="13">
        <f t="shared" si="8"/>
        <v>4.6714297342809012E-3</v>
      </c>
      <c r="M181" s="1">
        <v>28</v>
      </c>
    </row>
    <row r="182" spans="1:13" x14ac:dyDescent="0.4">
      <c r="A182" s="18">
        <v>70.2089</v>
      </c>
      <c r="B182" s="1">
        <v>344</v>
      </c>
      <c r="C182" s="1">
        <v>6605.8856999999998</v>
      </c>
      <c r="D182" s="2">
        <v>1</v>
      </c>
      <c r="E182" s="13">
        <f t="shared" si="7"/>
        <v>5.2074773258641155E-2</v>
      </c>
      <c r="F182" s="21">
        <v>344</v>
      </c>
      <c r="G182" s="1">
        <v>70.209000000000003</v>
      </c>
      <c r="H182" s="1">
        <v>25</v>
      </c>
      <c r="I182" s="1">
        <v>5993.4036999999998</v>
      </c>
      <c r="J182" s="2">
        <v>1</v>
      </c>
      <c r="K182" s="13">
        <f t="shared" si="8"/>
        <v>4.1712524721136341E-3</v>
      </c>
      <c r="M182" s="1">
        <v>25</v>
      </c>
    </row>
    <row r="183" spans="1:13" x14ac:dyDescent="0.4">
      <c r="A183" s="18">
        <v>70.218900000000005</v>
      </c>
      <c r="B183" s="1">
        <v>345</v>
      </c>
      <c r="C183" s="1">
        <v>6609.0300999999999</v>
      </c>
      <c r="D183" s="2">
        <v>1</v>
      </c>
      <c r="E183" s="13">
        <f t="shared" si="7"/>
        <v>5.2201305604584858E-2</v>
      </c>
      <c r="F183" s="21">
        <v>345</v>
      </c>
      <c r="G183" s="1">
        <v>70.218999999999994</v>
      </c>
      <c r="H183" s="1">
        <v>24</v>
      </c>
      <c r="I183" s="1">
        <v>5994.9088000000002</v>
      </c>
      <c r="J183" s="2">
        <v>1</v>
      </c>
      <c r="K183" s="13">
        <f t="shared" si="8"/>
        <v>4.0033970158144857E-3</v>
      </c>
      <c r="M183" s="1">
        <v>24</v>
      </c>
    </row>
    <row r="184" spans="1:13" x14ac:dyDescent="0.4">
      <c r="A184" s="18">
        <v>70.228899999999996</v>
      </c>
      <c r="B184" s="1">
        <v>323</v>
      </c>
      <c r="C184" s="1">
        <v>6606.8383999999996</v>
      </c>
      <c r="D184" s="2">
        <v>1</v>
      </c>
      <c r="E184" s="13">
        <f t="shared" si="7"/>
        <v>4.8888739279592495E-2</v>
      </c>
      <c r="F184" s="21">
        <v>323</v>
      </c>
      <c r="G184" s="1">
        <v>70.228999999999999</v>
      </c>
      <c r="H184" s="1">
        <v>25</v>
      </c>
      <c r="I184" s="1">
        <v>5997.5733</v>
      </c>
      <c r="J184" s="2">
        <v>1</v>
      </c>
      <c r="K184" s="13">
        <f t="shared" si="8"/>
        <v>4.1683525568582879E-3</v>
      </c>
      <c r="M184" s="1">
        <v>25</v>
      </c>
    </row>
    <row r="185" spans="1:13" x14ac:dyDescent="0.4">
      <c r="A185" s="18">
        <v>70.238900000000001</v>
      </c>
      <c r="B185" s="1">
        <v>327</v>
      </c>
      <c r="C185" s="1">
        <v>6609.2752</v>
      </c>
      <c r="D185" s="2">
        <v>1</v>
      </c>
      <c r="E185" s="13">
        <f t="shared" si="7"/>
        <v>4.9475924379726234E-2</v>
      </c>
      <c r="F185" s="21">
        <v>327</v>
      </c>
      <c r="G185" s="1">
        <v>70.239000000000004</v>
      </c>
      <c r="H185" s="1">
        <v>18</v>
      </c>
      <c r="I185" s="1">
        <v>5999.5950000000003</v>
      </c>
      <c r="J185" s="2">
        <v>1</v>
      </c>
      <c r="K185" s="13">
        <f t="shared" si="8"/>
        <v>3.0002025136696728E-3</v>
      </c>
      <c r="M185" s="1">
        <v>18</v>
      </c>
    </row>
    <row r="186" spans="1:13" x14ac:dyDescent="0.4">
      <c r="A186" s="18">
        <v>70.248900000000006</v>
      </c>
      <c r="B186" s="1">
        <v>314</v>
      </c>
      <c r="C186" s="1">
        <v>6605.9061000000002</v>
      </c>
      <c r="D186" s="2">
        <v>1</v>
      </c>
      <c r="E186" s="13">
        <f t="shared" si="7"/>
        <v>4.7533221824028048E-2</v>
      </c>
      <c r="F186" s="21">
        <v>314</v>
      </c>
      <c r="G186" s="1">
        <v>70.248999999999995</v>
      </c>
      <c r="H186" s="1">
        <v>19</v>
      </c>
      <c r="I186" s="1">
        <v>6001.1212999999998</v>
      </c>
      <c r="J186" s="2">
        <v>1</v>
      </c>
      <c r="K186" s="13">
        <f t="shared" si="8"/>
        <v>3.1660749800208172E-3</v>
      </c>
      <c r="M186" s="1">
        <v>19</v>
      </c>
    </row>
    <row r="187" spans="1:13" x14ac:dyDescent="0.4">
      <c r="A187" s="18">
        <v>70.258899999999997</v>
      </c>
      <c r="B187" s="1">
        <v>297</v>
      </c>
      <c r="C187" s="1">
        <v>6606.4310999999998</v>
      </c>
      <c r="D187" s="2">
        <v>1</v>
      </c>
      <c r="E187" s="13">
        <f t="shared" si="7"/>
        <v>4.4956194275605176E-2</v>
      </c>
      <c r="F187" s="21">
        <v>297</v>
      </c>
      <c r="G187" s="1">
        <v>70.259</v>
      </c>
      <c r="H187" s="1">
        <v>21</v>
      </c>
      <c r="I187" s="1">
        <v>6001.5106999999998</v>
      </c>
      <c r="J187" s="2">
        <v>1</v>
      </c>
      <c r="K187" s="13">
        <f t="shared" si="8"/>
        <v>3.4991189801594456E-3</v>
      </c>
      <c r="M187" s="1">
        <v>21</v>
      </c>
    </row>
    <row r="188" spans="1:13" x14ac:dyDescent="0.4">
      <c r="A188" s="18">
        <v>70.268900000000002</v>
      </c>
      <c r="B188" s="1">
        <v>275</v>
      </c>
      <c r="C188" s="1">
        <v>6603.6862000000001</v>
      </c>
      <c r="D188" s="2">
        <v>1</v>
      </c>
      <c r="E188" s="13">
        <f t="shared" si="7"/>
        <v>4.1643408192230578E-2</v>
      </c>
      <c r="F188" s="21">
        <v>275</v>
      </c>
      <c r="G188" s="1">
        <v>70.269000000000005</v>
      </c>
      <c r="H188" s="1">
        <v>13</v>
      </c>
      <c r="I188" s="1">
        <v>5999.6273000000001</v>
      </c>
      <c r="J188" s="2">
        <v>1</v>
      </c>
      <c r="K188" s="13">
        <f t="shared" si="8"/>
        <v>2.1668012611383378E-3</v>
      </c>
      <c r="M188" s="1">
        <v>13</v>
      </c>
    </row>
    <row r="189" spans="1:13" x14ac:dyDescent="0.4">
      <c r="A189" s="18">
        <v>70.278899999999993</v>
      </c>
      <c r="B189" s="1">
        <v>275</v>
      </c>
      <c r="C189" s="1">
        <v>6604.2197999999999</v>
      </c>
      <c r="D189" s="2">
        <v>1</v>
      </c>
      <c r="E189" s="13">
        <f t="shared" si="7"/>
        <v>4.1640043537012505E-2</v>
      </c>
      <c r="F189" s="21">
        <v>275</v>
      </c>
      <c r="G189" s="1">
        <v>70.278999999999996</v>
      </c>
      <c r="H189" s="1">
        <v>16</v>
      </c>
      <c r="I189" s="1">
        <v>5997.9574000000002</v>
      </c>
      <c r="J189" s="2">
        <v>1</v>
      </c>
      <c r="K189" s="13">
        <f t="shared" si="8"/>
        <v>2.6675747980470818E-3</v>
      </c>
      <c r="M189" s="1">
        <v>16</v>
      </c>
    </row>
    <row r="190" spans="1:13" x14ac:dyDescent="0.4">
      <c r="A190" s="18">
        <v>70.288899999999998</v>
      </c>
      <c r="B190" s="1">
        <v>259</v>
      </c>
      <c r="C190" s="1">
        <v>6604.6535000000003</v>
      </c>
      <c r="D190" s="2">
        <v>1</v>
      </c>
      <c r="E190" s="13">
        <f t="shared" si="7"/>
        <v>3.921477485533495E-2</v>
      </c>
      <c r="F190" s="21">
        <v>259</v>
      </c>
      <c r="G190" s="1">
        <v>70.289000000000001</v>
      </c>
      <c r="H190" s="1">
        <v>38</v>
      </c>
      <c r="I190" s="1">
        <v>5996.9551000000001</v>
      </c>
      <c r="J190" s="2">
        <v>1</v>
      </c>
      <c r="K190" s="13">
        <f t="shared" si="8"/>
        <v>6.3365490263550582E-3</v>
      </c>
      <c r="M190" s="1">
        <v>38</v>
      </c>
    </row>
    <row r="191" spans="1:13" x14ac:dyDescent="0.4">
      <c r="A191" s="18">
        <v>70.298900000000003</v>
      </c>
      <c r="B191" s="1">
        <v>276</v>
      </c>
      <c r="C191" s="1">
        <v>6602.2906000000003</v>
      </c>
      <c r="D191" s="2">
        <v>1</v>
      </c>
      <c r="E191" s="13">
        <f t="shared" si="7"/>
        <v>4.1803673409952599E-2</v>
      </c>
      <c r="F191" s="21">
        <v>276</v>
      </c>
      <c r="G191" s="1">
        <v>70.299000000000007</v>
      </c>
      <c r="H191" s="1">
        <v>17</v>
      </c>
      <c r="I191" s="1">
        <v>5994.1265000000003</v>
      </c>
      <c r="J191" s="2">
        <v>1</v>
      </c>
      <c r="K191" s="13">
        <f t="shared" si="8"/>
        <v>2.8361096483365839E-3</v>
      </c>
      <c r="M191" s="1">
        <v>17</v>
      </c>
    </row>
    <row r="192" spans="1:13" x14ac:dyDescent="0.4">
      <c r="A192" s="18">
        <v>70.308899999999994</v>
      </c>
      <c r="B192" s="1">
        <v>256</v>
      </c>
      <c r="C192" s="1">
        <v>6601.5964000000004</v>
      </c>
      <c r="D192" s="2">
        <v>1</v>
      </c>
      <c r="E192" s="13">
        <f t="shared" si="7"/>
        <v>3.877849909152277E-2</v>
      </c>
      <c r="F192" s="21">
        <v>256</v>
      </c>
      <c r="G192" s="1">
        <v>70.308999999999997</v>
      </c>
      <c r="H192" s="1">
        <v>12</v>
      </c>
      <c r="I192" s="1">
        <v>5995.5365000000002</v>
      </c>
      <c r="J192" s="2">
        <v>1</v>
      </c>
      <c r="K192" s="13">
        <f t="shared" si="8"/>
        <v>2.001488940981345E-3</v>
      </c>
      <c r="M192" s="1">
        <v>12</v>
      </c>
    </row>
    <row r="193" spans="1:13" x14ac:dyDescent="0.4">
      <c r="A193" s="18">
        <v>70.318899999999999</v>
      </c>
      <c r="B193" s="1">
        <v>255</v>
      </c>
      <c r="C193" s="1">
        <v>6600.3667999999998</v>
      </c>
      <c r="D193" s="2">
        <v>1</v>
      </c>
      <c r="E193" s="13">
        <f t="shared" si="7"/>
        <v>3.8634216510512721E-2</v>
      </c>
      <c r="F193" s="21">
        <v>255</v>
      </c>
      <c r="G193" s="1">
        <v>70.319000000000003</v>
      </c>
      <c r="H193" s="1">
        <v>14</v>
      </c>
      <c r="I193" s="1">
        <v>5993.2271000000001</v>
      </c>
      <c r="J193" s="2">
        <v>1</v>
      </c>
      <c r="K193" s="13">
        <f t="shared" si="8"/>
        <v>2.3359702154453648E-3</v>
      </c>
      <c r="M193" s="1">
        <v>14</v>
      </c>
    </row>
    <row r="194" spans="1:13" x14ac:dyDescent="0.4">
      <c r="A194" s="18">
        <v>70.328900000000004</v>
      </c>
      <c r="B194" s="1">
        <v>247</v>
      </c>
      <c r="C194" s="1">
        <v>6597.6230999999998</v>
      </c>
      <c r="D194" s="2">
        <v>1</v>
      </c>
      <c r="E194" s="13">
        <f t="shared" si="7"/>
        <v>3.7437725110426513E-2</v>
      </c>
      <c r="F194" s="21">
        <v>247</v>
      </c>
      <c r="G194" s="1">
        <v>70.328999999999994</v>
      </c>
      <c r="H194" s="1">
        <v>17</v>
      </c>
      <c r="I194" s="1">
        <v>5992.2206999999999</v>
      </c>
      <c r="J194" s="2">
        <v>1</v>
      </c>
      <c r="K194" s="13">
        <f t="shared" si="8"/>
        <v>2.8370116608021465E-3</v>
      </c>
      <c r="M194" s="1">
        <v>17</v>
      </c>
    </row>
    <row r="195" spans="1:13" x14ac:dyDescent="0.4">
      <c r="A195" s="18">
        <v>70.338899999999995</v>
      </c>
      <c r="B195" s="1">
        <v>219</v>
      </c>
      <c r="C195" s="1">
        <v>6595.6286</v>
      </c>
      <c r="D195" s="2">
        <v>1</v>
      </c>
      <c r="E195" s="13">
        <f t="shared" si="7"/>
        <v>3.320381017208883E-2</v>
      </c>
      <c r="F195" s="21">
        <v>219</v>
      </c>
      <c r="G195" s="1">
        <v>70.338999999999999</v>
      </c>
      <c r="H195" s="1">
        <v>10</v>
      </c>
      <c r="I195" s="1">
        <v>5989.8060999999998</v>
      </c>
      <c r="J195" s="2">
        <v>1</v>
      </c>
      <c r="K195" s="13">
        <f t="shared" si="8"/>
        <v>1.6695031246503956E-3</v>
      </c>
      <c r="M195" s="1">
        <v>10</v>
      </c>
    </row>
    <row r="196" spans="1:13" x14ac:dyDescent="0.4">
      <c r="A196" s="18">
        <v>70.3489</v>
      </c>
      <c r="B196" s="1">
        <v>208</v>
      </c>
      <c r="C196" s="1">
        <v>6595.2448000000004</v>
      </c>
      <c r="D196" s="2">
        <v>1</v>
      </c>
      <c r="E196" s="13">
        <f t="shared" si="7"/>
        <v>3.1537874075576386E-2</v>
      </c>
      <c r="F196" s="21">
        <v>208</v>
      </c>
      <c r="G196" s="1">
        <v>70.349000000000004</v>
      </c>
      <c r="H196" s="1">
        <v>9</v>
      </c>
      <c r="I196" s="1">
        <v>5989.7200999999995</v>
      </c>
      <c r="J196" s="2">
        <v>1</v>
      </c>
      <c r="K196" s="13">
        <f t="shared" si="8"/>
        <v>1.5025743857379915E-3</v>
      </c>
      <c r="M196" s="1">
        <v>9</v>
      </c>
    </row>
    <row r="197" spans="1:13" x14ac:dyDescent="0.4">
      <c r="A197" s="18">
        <v>70.358900000000006</v>
      </c>
      <c r="B197" s="1">
        <v>212</v>
      </c>
      <c r="C197" s="1">
        <v>6592.6216999999997</v>
      </c>
      <c r="D197" s="2">
        <v>1</v>
      </c>
      <c r="E197" s="13">
        <f t="shared" si="7"/>
        <v>3.2157161391499225E-2</v>
      </c>
      <c r="F197" s="21">
        <v>212</v>
      </c>
      <c r="G197" s="1">
        <v>70.358999999999995</v>
      </c>
      <c r="H197" s="1">
        <v>11</v>
      </c>
      <c r="I197" s="1">
        <v>5989.4589999999998</v>
      </c>
      <c r="J197" s="2">
        <v>1</v>
      </c>
      <c r="K197" s="13">
        <f t="shared" si="8"/>
        <v>1.8365598629191719E-3</v>
      </c>
      <c r="M197" s="1">
        <v>11</v>
      </c>
    </row>
    <row r="198" spans="1:13" x14ac:dyDescent="0.4">
      <c r="A198" s="18">
        <v>70.368899999999996</v>
      </c>
      <c r="B198" s="1">
        <v>193</v>
      </c>
      <c r="C198" s="1">
        <v>6590.7741999999998</v>
      </c>
      <c r="D198" s="2">
        <v>1</v>
      </c>
      <c r="E198" s="13">
        <f t="shared" si="7"/>
        <v>2.928335793995188E-2</v>
      </c>
      <c r="F198" s="21">
        <v>193</v>
      </c>
      <c r="G198" s="1">
        <v>70.369</v>
      </c>
      <c r="H198" s="1">
        <v>7</v>
      </c>
      <c r="I198" s="1">
        <v>5988.6003000000001</v>
      </c>
      <c r="J198" s="2">
        <v>1</v>
      </c>
      <c r="K198" s="13">
        <f t="shared" si="8"/>
        <v>1.1688874944617692E-3</v>
      </c>
      <c r="M198" s="1">
        <v>7</v>
      </c>
    </row>
    <row r="199" spans="1:13" x14ac:dyDescent="0.4">
      <c r="A199" s="18">
        <v>70.378900000000002</v>
      </c>
      <c r="B199" s="1">
        <v>213</v>
      </c>
      <c r="C199" s="1">
        <v>6588.6504000000004</v>
      </c>
      <c r="D199" s="2">
        <v>1</v>
      </c>
      <c r="E199" s="13">
        <f t="shared" si="7"/>
        <v>3.2328320227766216E-2</v>
      </c>
      <c r="F199" s="21">
        <v>213</v>
      </c>
      <c r="G199" s="1">
        <v>70.379000000000005</v>
      </c>
      <c r="H199" s="1">
        <v>4</v>
      </c>
      <c r="I199" s="1">
        <v>5990.8076000000001</v>
      </c>
      <c r="J199" s="2">
        <v>1</v>
      </c>
      <c r="K199" s="13">
        <f t="shared" si="8"/>
        <v>6.6768961166437731E-4</v>
      </c>
      <c r="M199" s="1">
        <v>4</v>
      </c>
    </row>
    <row r="200" spans="1:13" x14ac:dyDescent="0.4">
      <c r="A200" s="18">
        <v>70.388900000000007</v>
      </c>
      <c r="B200" s="1">
        <v>175</v>
      </c>
      <c r="C200" s="1">
        <v>6586.6851999999999</v>
      </c>
      <c r="D200" s="2">
        <v>1</v>
      </c>
      <c r="E200" s="13">
        <f t="shared" si="7"/>
        <v>2.6568751152704247E-2</v>
      </c>
      <c r="F200" s="21">
        <v>175</v>
      </c>
      <c r="G200" s="1">
        <v>70.388999999999996</v>
      </c>
      <c r="H200" s="1">
        <v>10</v>
      </c>
      <c r="I200" s="1">
        <v>5990.7129000000004</v>
      </c>
      <c r="J200" s="2">
        <v>1</v>
      </c>
      <c r="K200" s="13">
        <f t="shared" si="8"/>
        <v>1.6692504159229529E-3</v>
      </c>
      <c r="M200" s="1">
        <v>10</v>
      </c>
    </row>
    <row r="201" spans="1:13" x14ac:dyDescent="0.4">
      <c r="A201" s="18">
        <v>70.398899999999998</v>
      </c>
      <c r="B201" s="1">
        <v>184</v>
      </c>
      <c r="C201" s="1">
        <v>6585.5843000000004</v>
      </c>
      <c r="D201" s="2">
        <v>1</v>
      </c>
      <c r="E201" s="13">
        <f t="shared" si="7"/>
        <v>2.7939813935720176E-2</v>
      </c>
      <c r="F201" s="21">
        <v>184</v>
      </c>
      <c r="G201" s="1">
        <v>70.399000000000001</v>
      </c>
      <c r="H201" s="1">
        <v>5</v>
      </c>
      <c r="I201" s="1">
        <v>5991.9521000000004</v>
      </c>
      <c r="J201" s="2">
        <v>1</v>
      </c>
      <c r="K201" s="13">
        <f t="shared" si="8"/>
        <v>8.3445259851125972E-4</v>
      </c>
      <c r="M201" s="1">
        <v>5</v>
      </c>
    </row>
    <row r="202" spans="1:13" x14ac:dyDescent="0.4">
      <c r="A202" s="18">
        <v>70.408900000000003</v>
      </c>
      <c r="B202" s="1">
        <v>177</v>
      </c>
      <c r="C202" s="1">
        <v>6585.4391999999998</v>
      </c>
      <c r="D202" s="2">
        <v>1</v>
      </c>
      <c r="E202" s="13">
        <f t="shared" si="7"/>
        <v>2.6877478422395882E-2</v>
      </c>
      <c r="F202" s="21">
        <v>177</v>
      </c>
      <c r="G202" s="1">
        <v>70.409000000000006</v>
      </c>
      <c r="H202" s="1">
        <v>8</v>
      </c>
      <c r="I202" s="1">
        <v>5991.0032000000001</v>
      </c>
      <c r="J202" s="2">
        <v>1</v>
      </c>
      <c r="K202" s="13">
        <f t="shared" si="8"/>
        <v>1.3353356245912203E-3</v>
      </c>
      <c r="M202" s="1">
        <v>8</v>
      </c>
    </row>
    <row r="203" spans="1:13" x14ac:dyDescent="0.4">
      <c r="A203" s="18">
        <v>70.418899999999994</v>
      </c>
      <c r="B203" s="1">
        <v>178</v>
      </c>
      <c r="C203" s="1">
        <v>6584.2473</v>
      </c>
      <c r="D203" s="2">
        <v>1</v>
      </c>
      <c r="E203" s="13">
        <f t="shared" si="7"/>
        <v>2.7034221512305591E-2</v>
      </c>
      <c r="F203" s="21">
        <v>178</v>
      </c>
      <c r="G203" s="1">
        <v>70.418999999999997</v>
      </c>
      <c r="H203" s="1">
        <v>6</v>
      </c>
      <c r="I203" s="1">
        <v>5991.3029999999999</v>
      </c>
      <c r="J203" s="2">
        <v>1</v>
      </c>
      <c r="K203" s="13">
        <f t="shared" si="8"/>
        <v>1.0014516041001432E-3</v>
      </c>
      <c r="M203" s="1">
        <v>6</v>
      </c>
    </row>
    <row r="204" spans="1:13" x14ac:dyDescent="0.4">
      <c r="A204" s="18">
        <v>70.428899999999999</v>
      </c>
      <c r="B204" s="1">
        <v>158</v>
      </c>
      <c r="C204" s="1">
        <v>6580.8402999999998</v>
      </c>
      <c r="D204" s="2">
        <v>1</v>
      </c>
      <c r="E204" s="13">
        <f t="shared" si="7"/>
        <v>2.4009091969607588E-2</v>
      </c>
      <c r="F204" s="21">
        <v>158</v>
      </c>
      <c r="G204" s="1">
        <v>70.429000000000002</v>
      </c>
      <c r="H204" s="1">
        <v>10</v>
      </c>
      <c r="I204" s="1">
        <v>5991.9850999999999</v>
      </c>
      <c r="J204" s="2">
        <v>1</v>
      </c>
      <c r="K204" s="13">
        <f t="shared" si="8"/>
        <v>1.6688960057661024E-3</v>
      </c>
      <c r="M204" s="1">
        <v>10</v>
      </c>
    </row>
    <row r="205" spans="1:13" x14ac:dyDescent="0.4">
      <c r="A205" s="18">
        <v>70.438900000000004</v>
      </c>
      <c r="B205" s="1">
        <v>167</v>
      </c>
      <c r="C205" s="1">
        <v>6578.3924999999999</v>
      </c>
      <c r="D205" s="2">
        <v>1</v>
      </c>
      <c r="E205" s="13">
        <f t="shared" si="7"/>
        <v>2.5386141067137602E-2</v>
      </c>
      <c r="F205" s="21">
        <v>167</v>
      </c>
      <c r="G205" s="1">
        <v>70.438999999999993</v>
      </c>
      <c r="H205" s="1">
        <v>11</v>
      </c>
      <c r="I205" s="1">
        <v>5992.8113000000003</v>
      </c>
      <c r="J205" s="2">
        <v>1</v>
      </c>
      <c r="K205" s="13">
        <f t="shared" si="8"/>
        <v>1.8355325154322812E-3</v>
      </c>
      <c r="M205" s="1">
        <v>11</v>
      </c>
    </row>
    <row r="206" spans="1:13" x14ac:dyDescent="0.4">
      <c r="A206" s="18">
        <v>70.448899999999995</v>
      </c>
      <c r="B206" s="1">
        <v>181</v>
      </c>
      <c r="C206" s="1">
        <v>6580.4130999999998</v>
      </c>
      <c r="D206" s="2">
        <v>1</v>
      </c>
      <c r="E206" s="13">
        <f t="shared" si="7"/>
        <v>2.7505871933784828E-2</v>
      </c>
      <c r="F206" s="21">
        <v>181</v>
      </c>
      <c r="G206" s="1">
        <v>70.448999999999998</v>
      </c>
      <c r="H206" s="1">
        <v>17</v>
      </c>
      <c r="I206" s="1">
        <v>5993.4983000000002</v>
      </c>
      <c r="J206" s="2">
        <v>1</v>
      </c>
      <c r="K206" s="13">
        <f t="shared" si="8"/>
        <v>2.8364069111356882E-3</v>
      </c>
      <c r="M206" s="1">
        <v>17</v>
      </c>
    </row>
    <row r="207" spans="1:13" x14ac:dyDescent="0.4">
      <c r="A207" s="18">
        <v>70.4589</v>
      </c>
      <c r="B207" s="1">
        <v>167</v>
      </c>
      <c r="C207" s="1">
        <v>6578.9444000000003</v>
      </c>
      <c r="D207" s="2">
        <v>1</v>
      </c>
      <c r="E207" s="13">
        <f t="shared" si="7"/>
        <v>2.5384011453265968E-2</v>
      </c>
      <c r="F207" s="21">
        <v>167</v>
      </c>
      <c r="G207" s="1">
        <v>70.459000000000003</v>
      </c>
      <c r="H207" s="1">
        <v>11</v>
      </c>
      <c r="I207" s="1">
        <v>5993.8561</v>
      </c>
      <c r="J207" s="2">
        <v>1</v>
      </c>
      <c r="K207" s="13">
        <f t="shared" si="8"/>
        <v>1.8352125604083154E-3</v>
      </c>
      <c r="M207" s="1">
        <v>11</v>
      </c>
    </row>
    <row r="208" spans="1:13" x14ac:dyDescent="0.4">
      <c r="A208" s="18">
        <v>70.468900000000005</v>
      </c>
      <c r="B208" s="1">
        <v>146</v>
      </c>
      <c r="C208" s="1">
        <v>6577.3364000000001</v>
      </c>
      <c r="D208" s="2">
        <v>1</v>
      </c>
      <c r="E208" s="13">
        <f t="shared" si="7"/>
        <v>2.2197435423859421E-2</v>
      </c>
      <c r="F208" s="21">
        <v>146</v>
      </c>
      <c r="G208" s="1">
        <v>70.468999999999994</v>
      </c>
      <c r="H208" s="1">
        <v>6</v>
      </c>
      <c r="I208" s="1">
        <v>5993.7350999999999</v>
      </c>
      <c r="J208" s="2">
        <v>1</v>
      </c>
      <c r="K208" s="13">
        <f t="shared" si="8"/>
        <v>1.0010452413887962E-3</v>
      </c>
      <c r="M208" s="1">
        <v>6</v>
      </c>
    </row>
    <row r="209" spans="1:13" x14ac:dyDescent="0.4">
      <c r="A209" s="18">
        <v>70.478899999999996</v>
      </c>
      <c r="B209" s="1">
        <v>144</v>
      </c>
      <c r="C209" s="1">
        <v>6579.1490999999996</v>
      </c>
      <c r="D209" s="2">
        <v>1</v>
      </c>
      <c r="E209" s="13">
        <f t="shared" si="7"/>
        <v>2.1887328864457566E-2</v>
      </c>
      <c r="F209" s="21">
        <v>144</v>
      </c>
      <c r="G209" s="1">
        <v>70.478999999999999</v>
      </c>
      <c r="H209" s="1">
        <v>4</v>
      </c>
      <c r="I209" s="1">
        <v>5990.1435000000001</v>
      </c>
      <c r="J209" s="2">
        <v>1</v>
      </c>
      <c r="K209" s="13">
        <f t="shared" si="8"/>
        <v>6.6776363537868503E-4</v>
      </c>
      <c r="M209" s="1">
        <v>4</v>
      </c>
    </row>
    <row r="210" spans="1:13" x14ac:dyDescent="0.4">
      <c r="A210" s="18">
        <v>70.488900000000001</v>
      </c>
      <c r="B210" s="1">
        <v>129</v>
      </c>
      <c r="C210" s="1">
        <v>6579.5938999999998</v>
      </c>
      <c r="D210" s="2">
        <v>1</v>
      </c>
      <c r="E210" s="13">
        <f t="shared" si="7"/>
        <v>1.96060732562841E-2</v>
      </c>
      <c r="F210" s="21">
        <v>129</v>
      </c>
      <c r="G210" s="1">
        <v>70.489000000000004</v>
      </c>
      <c r="H210" s="1">
        <v>9</v>
      </c>
      <c r="I210" s="1">
        <v>5990.4144999999999</v>
      </c>
      <c r="J210" s="2">
        <v>1</v>
      </c>
      <c r="K210" s="13">
        <f t="shared" si="8"/>
        <v>1.5024002095347492E-3</v>
      </c>
      <c r="M210" s="1">
        <v>9</v>
      </c>
    </row>
    <row r="211" spans="1:13" x14ac:dyDescent="0.4">
      <c r="A211" s="18">
        <v>70.498900000000006</v>
      </c>
      <c r="B211" s="1">
        <v>159</v>
      </c>
      <c r="C211" s="1">
        <v>6576.3338999999996</v>
      </c>
      <c r="D211" s="2">
        <v>1</v>
      </c>
      <c r="E211" s="13">
        <f t="shared" si="7"/>
        <v>2.4177604485684647E-2</v>
      </c>
      <c r="F211" s="21">
        <v>159</v>
      </c>
      <c r="G211" s="1">
        <v>70.498999999999995</v>
      </c>
      <c r="H211" s="1">
        <v>6</v>
      </c>
      <c r="I211" s="1">
        <v>5987.1315000000004</v>
      </c>
      <c r="J211" s="2">
        <v>1</v>
      </c>
      <c r="K211" s="13">
        <f t="shared" si="8"/>
        <v>1.0021493598395157E-3</v>
      </c>
      <c r="M211" s="1">
        <v>6</v>
      </c>
    </row>
    <row r="212" spans="1:13" x14ac:dyDescent="0.4">
      <c r="A212" s="18">
        <v>70.508899999999997</v>
      </c>
      <c r="B212" s="1">
        <v>147</v>
      </c>
      <c r="C212" s="1">
        <v>6576.1981999999998</v>
      </c>
      <c r="D212" s="2">
        <v>1</v>
      </c>
      <c r="E212" s="13">
        <f t="shared" si="7"/>
        <v>2.2353340871021803E-2</v>
      </c>
      <c r="F212" s="21">
        <v>147</v>
      </c>
      <c r="G212" s="1">
        <v>70.509</v>
      </c>
      <c r="H212" s="1">
        <v>5</v>
      </c>
      <c r="I212" s="1">
        <v>5987.0174999999999</v>
      </c>
      <c r="J212" s="2">
        <v>1</v>
      </c>
      <c r="K212" s="13">
        <f t="shared" si="8"/>
        <v>8.3514036830525387E-4</v>
      </c>
      <c r="M212" s="1">
        <v>5</v>
      </c>
    </row>
    <row r="213" spans="1:13" x14ac:dyDescent="0.4">
      <c r="A213" s="18">
        <v>70.518900000000002</v>
      </c>
      <c r="B213" s="1">
        <v>137</v>
      </c>
      <c r="C213" s="1">
        <v>6574.3692000000001</v>
      </c>
      <c r="D213" s="2">
        <v>1</v>
      </c>
      <c r="E213" s="13">
        <f t="shared" ref="E213:E220" si="9">B213/C213*D213</f>
        <v>2.0838501129507605E-2</v>
      </c>
      <c r="F213" s="21">
        <v>137</v>
      </c>
      <c r="G213" s="1">
        <v>70.519000000000005</v>
      </c>
      <c r="H213" s="1">
        <v>4</v>
      </c>
      <c r="I213" s="1">
        <v>5986.0613000000003</v>
      </c>
      <c r="J213" s="2">
        <v>1</v>
      </c>
      <c r="K213" s="13">
        <f t="shared" ref="K213:K220" si="10">H213/I213*J213</f>
        <v>6.6821901740297908E-4</v>
      </c>
      <c r="M213" s="1">
        <v>4</v>
      </c>
    </row>
    <row r="214" spans="1:13" x14ac:dyDescent="0.4">
      <c r="A214" s="18">
        <v>70.528899999999993</v>
      </c>
      <c r="B214" s="1">
        <v>148</v>
      </c>
      <c r="C214" s="1">
        <v>6575.9868999999999</v>
      </c>
      <c r="D214" s="2">
        <v>1</v>
      </c>
      <c r="E214" s="13">
        <f t="shared" si="9"/>
        <v>2.2506127559347784E-2</v>
      </c>
      <c r="F214" s="21">
        <v>148</v>
      </c>
      <c r="G214" s="1">
        <v>70.528999999999996</v>
      </c>
      <c r="H214" s="1">
        <v>15</v>
      </c>
      <c r="I214" s="1">
        <v>5985.3633</v>
      </c>
      <c r="J214" s="2">
        <v>1</v>
      </c>
      <c r="K214" s="13">
        <f t="shared" si="10"/>
        <v>2.5061135386719134E-3</v>
      </c>
      <c r="M214" s="1">
        <v>15</v>
      </c>
    </row>
    <row r="215" spans="1:13" x14ac:dyDescent="0.4">
      <c r="A215" s="18">
        <v>70.538899999999998</v>
      </c>
      <c r="B215" s="1">
        <v>140</v>
      </c>
      <c r="C215" s="1">
        <v>6576.6367</v>
      </c>
      <c r="D215" s="2">
        <v>1</v>
      </c>
      <c r="E215" s="13">
        <f t="shared" si="9"/>
        <v>2.1287476621599001E-2</v>
      </c>
      <c r="F215" s="21">
        <v>140</v>
      </c>
      <c r="G215" s="1">
        <v>70.539000000000001</v>
      </c>
      <c r="H215" s="1">
        <v>6</v>
      </c>
      <c r="I215" s="1">
        <v>5984.2912999999999</v>
      </c>
      <c r="J215" s="2">
        <v>1</v>
      </c>
      <c r="K215" s="13">
        <f t="shared" si="10"/>
        <v>1.002624989194627E-3</v>
      </c>
      <c r="M215" s="1">
        <v>6</v>
      </c>
    </row>
    <row r="216" spans="1:13" x14ac:dyDescent="0.4">
      <c r="A216" s="18">
        <v>70.548900000000003</v>
      </c>
      <c r="B216" s="1">
        <v>143</v>
      </c>
      <c r="C216" s="1">
        <v>6573.0457999999999</v>
      </c>
      <c r="D216" s="2">
        <v>1</v>
      </c>
      <c r="E216" s="13">
        <f t="shared" si="9"/>
        <v>2.1755515532844757E-2</v>
      </c>
      <c r="F216" s="21">
        <v>143</v>
      </c>
      <c r="G216" s="1">
        <v>70.549000000000007</v>
      </c>
      <c r="H216" s="1">
        <v>3</v>
      </c>
      <c r="I216" s="1">
        <v>5985.3468999999996</v>
      </c>
      <c r="J216" s="2">
        <v>1</v>
      </c>
      <c r="K216" s="13">
        <f t="shared" si="10"/>
        <v>5.0122408109712076E-4</v>
      </c>
      <c r="M216" s="1">
        <v>3</v>
      </c>
    </row>
    <row r="217" spans="1:13" x14ac:dyDescent="0.4">
      <c r="A217" s="18">
        <v>70.558899999999994</v>
      </c>
      <c r="B217" s="1">
        <v>117</v>
      </c>
      <c r="C217" s="1">
        <v>6574.3644000000004</v>
      </c>
      <c r="D217" s="2">
        <v>1</v>
      </c>
      <c r="E217" s="13">
        <f t="shared" si="9"/>
        <v>1.7796397169587981E-2</v>
      </c>
      <c r="F217" s="21">
        <v>117</v>
      </c>
      <c r="G217" s="1">
        <v>70.558999999999997</v>
      </c>
      <c r="H217" s="1">
        <v>8</v>
      </c>
      <c r="I217" s="1">
        <v>5984.7547000000004</v>
      </c>
      <c r="J217" s="2">
        <v>1</v>
      </c>
      <c r="K217" s="13">
        <f t="shared" si="10"/>
        <v>1.3367298078232012E-3</v>
      </c>
      <c r="M217" s="1">
        <v>8</v>
      </c>
    </row>
    <row r="218" spans="1:13" x14ac:dyDescent="0.4">
      <c r="A218" s="18">
        <v>70.568899999999999</v>
      </c>
      <c r="B218" s="1">
        <v>115</v>
      </c>
      <c r="C218" s="1">
        <v>6572.4863999999998</v>
      </c>
      <c r="D218" s="2">
        <v>1</v>
      </c>
      <c r="E218" s="13">
        <f t="shared" si="9"/>
        <v>1.7497183409919268E-2</v>
      </c>
      <c r="F218" s="21">
        <v>115</v>
      </c>
      <c r="G218" s="1">
        <v>70.569000000000003</v>
      </c>
      <c r="H218" s="1">
        <v>7</v>
      </c>
      <c r="I218" s="1">
        <v>5983.2848999999997</v>
      </c>
      <c r="J218" s="2">
        <v>1</v>
      </c>
      <c r="K218" s="13">
        <f t="shared" si="10"/>
        <v>1.1699259047484101E-3</v>
      </c>
      <c r="M218" s="1">
        <v>7</v>
      </c>
    </row>
    <row r="219" spans="1:13" x14ac:dyDescent="0.4">
      <c r="A219" s="18">
        <v>70.578900000000004</v>
      </c>
      <c r="B219" s="1">
        <v>109</v>
      </c>
      <c r="C219" s="1">
        <v>6572.5700999999999</v>
      </c>
      <c r="D219" s="2">
        <v>1</v>
      </c>
      <c r="E219" s="13">
        <f t="shared" si="9"/>
        <v>1.6584075687530515E-2</v>
      </c>
      <c r="F219" s="21">
        <v>109</v>
      </c>
      <c r="G219" s="1">
        <v>70.578999999999994</v>
      </c>
      <c r="H219" s="1">
        <v>5</v>
      </c>
      <c r="I219" s="1">
        <v>5983.6361999999999</v>
      </c>
      <c r="J219" s="2">
        <v>1</v>
      </c>
      <c r="K219" s="13">
        <f t="shared" si="10"/>
        <v>8.356122987557298E-4</v>
      </c>
      <c r="M219" s="1">
        <v>5</v>
      </c>
    </row>
    <row r="220" spans="1:13" x14ac:dyDescent="0.4">
      <c r="A220" s="22">
        <v>70.588899999999995</v>
      </c>
      <c r="B220" s="23">
        <v>94</v>
      </c>
      <c r="C220" s="23">
        <v>6569.6688000000004</v>
      </c>
      <c r="D220" s="24">
        <v>1</v>
      </c>
      <c r="E220" s="25">
        <f t="shared" si="9"/>
        <v>1.4308179432119926E-2</v>
      </c>
      <c r="F220" s="26">
        <v>94</v>
      </c>
      <c r="G220" s="1">
        <v>70.588999999999999</v>
      </c>
      <c r="H220" s="1">
        <v>4</v>
      </c>
      <c r="I220" s="1">
        <v>5982.4198999999999</v>
      </c>
      <c r="J220" s="2">
        <v>1</v>
      </c>
      <c r="K220" s="13">
        <f t="shared" si="10"/>
        <v>6.6862575126162577E-4</v>
      </c>
      <c r="M220" s="1">
        <v>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5B16-6E01-4865-9C31-D53C777CC22C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thermo-ω</vt:lpstr>
      <vt:lpstr>2thome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2025-09-09T09:50:33Z</dcterms:modified>
</cp:coreProperties>
</file>