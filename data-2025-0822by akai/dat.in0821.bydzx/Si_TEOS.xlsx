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28" documentId="8_{F2815874-F695-484F-AACE-A819CD40A384}" xr6:coauthVersionLast="47" xr6:coauthVersionMax="47" xr10:uidLastSave="{E2442DF0-346F-444F-AEF3-C05EEC87D64F}"/>
  <bookViews>
    <workbookView minimized="1" xWindow="1193" yWindow="3900" windowWidth="17280" windowHeight="9990" firstSheet="1" activeTab="1" xr2:uid="{00000000-000D-0000-FFFF-FFFF00000000}"/>
  </bookViews>
  <sheets>
    <sheet name="ω" sheetId="1" r:id="rId1"/>
    <sheet name="Si_TEOS_2th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0" i="2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0" i="1"/>
  <c r="W21" i="1" l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20" i="1"/>
</calcChain>
</file>

<file path=xl/sharedStrings.xml><?xml version="1.0" encoding="utf-8"?>
<sst xmlns="http://schemas.openxmlformats.org/spreadsheetml/2006/main" count="150" uniqueCount="58">
  <si>
    <t>Si_TEOS_2thome.dat</t>
  </si>
  <si>
    <t>2025/08/21 11:42:18 - 11:52:43</t>
  </si>
  <si>
    <t>θ : 35.0299 deg</t>
  </si>
  <si>
    <t>2θ : 69.5871 deg</t>
  </si>
  <si>
    <t>χ : 89.6348 deg</t>
  </si>
  <si>
    <t>φ : 0.0000 deg</t>
  </si>
  <si>
    <t>Sz : 11.590 mm</t>
  </si>
  <si>
    <t>Rx : 0.1609 deg</t>
  </si>
  <si>
    <t>Ry : 0.1356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</si>
  <si>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</si>
  <si>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</si>
  <si>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</si>
  <si>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</si>
  <si>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</si>
  <si>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</si>
  <si>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</si>
  <si>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68.5871 deg</t>
  </si>
  <si>
    <t xml:space="preserve"> End: 70.5871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</si>
  <si>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</si>
  <si>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</si>
  <si>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</si>
  <si>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</si>
  <si>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</si>
  <si>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</si>
  <si>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2025/08/21 16:03:47 - 16:14:14</t>
  </si>
  <si>
    <t>θ : 34.4348 deg</t>
  </si>
  <si>
    <t>2θ : 69.5846 deg</t>
  </si>
  <si>
    <t>χ : 89.5004 deg</t>
  </si>
  <si>
    <t>Sz : 11.594 mm</t>
  </si>
  <si>
    <t>Ry : 0.2031 deg</t>
  </si>
  <si>
    <t>Start: 68.5846 deg</t>
  </si>
  <si>
    <t xml:space="preserve"> End: 70.5846 deg</t>
  </si>
  <si>
    <t>表</t>
    <phoneticPr fontId="1" type="noConversion"/>
  </si>
  <si>
    <t>Si_TEOS_2thome_2.dat</t>
    <phoneticPr fontId="1" type="noConversion"/>
  </si>
  <si>
    <t>2025/08/21 11:31:59 - 11:41:30</t>
  </si>
  <si>
    <t>θ : 35.0306 deg</t>
  </si>
  <si>
    <t>Scan axis : θ</t>
  </si>
  <si>
    <t>Start: 34.9306 deg</t>
  </si>
  <si>
    <t xml:space="preserve"> End: 35.1306 deg</t>
  </si>
  <si>
    <t>Step: 0.0010 deg</t>
  </si>
  <si>
    <t>Si_TEOS_omega_BG.dat</t>
  </si>
  <si>
    <t>2025/08/21 11:54:30 - 11:57:20</t>
  </si>
  <si>
    <t>θ : 34.5298 deg</t>
  </si>
  <si>
    <t>2θ : 68.5870 deg</t>
  </si>
  <si>
    <t>Start: 34.5098 deg</t>
  </si>
  <si>
    <t xml:space="preserve"> End: 34.5498 deg</t>
  </si>
  <si>
    <t>Step: 0.0005 deg</t>
  </si>
  <si>
    <t>2025/08/21 15:52:48 - 16:02:31</t>
  </si>
  <si>
    <t>Start: 34.3348 deg</t>
  </si>
  <si>
    <t xml:space="preserve"> End: 34.5348 deg</t>
  </si>
  <si>
    <t>Si_TEOS_omega_2_BG.dat</t>
  </si>
  <si>
    <t>2025/08/21 16:15:30 - 16:18:21</t>
  </si>
  <si>
    <t>θ : 33.9348 deg</t>
  </si>
  <si>
    <t>2θ : 68.5846 deg</t>
  </si>
  <si>
    <t>Start: 33.9148 deg</t>
  </si>
  <si>
    <t xml:space="preserve"> End: 33.9548 deg</t>
  </si>
  <si>
    <t>Si_TEOS_omega</t>
    <phoneticPr fontId="1" type="noConversion"/>
  </si>
  <si>
    <t>Si_TEOS_omega_2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</si>
</sst>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1" fontId="0" fillId="0" borderId="7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11" fontId="0" fillId="0" borderId="5" xfId="0" applyNumberFormat="1" applyBorder="1" applyAlignment="1">
      <alignment vertical="center"/>
    </xf>
    <xf numFmtId="11" fontId="0" fillId="0" borderId="8" xfId="0" applyNumberFormat="1" applyBorder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Si_TEOS_omega.VS.-2</a:t>
            </a:r>
            <a:r>
              <a:rPr lang="zh-CN" altLang="en-US" sz="1400" b="0" i="0" u="none" strike="noStrike" baseline="0">
                <a:effectLst/>
              </a:rPr>
              <a:t>（</a:t>
            </a:r>
            <a:r>
              <a:rPr lang="en-US" altLang="zh-CN" sz="1400" b="0" i="0" u="none" strike="noStrike" baseline="0">
                <a:effectLst/>
              </a:rPr>
              <a:t>90deg</a:t>
            </a:r>
            <a:r>
              <a:rPr lang="zh-CN" altLang="en-US" sz="1400" b="0" i="0" u="none" strike="noStrike" baseline="0">
                <a:effectLst/>
              </a:rPr>
              <a:t>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47264129376086E-2"/>
          <c:y val="0.14878535251005415"/>
          <c:w val="0.92755713347107904"/>
          <c:h val="0.73628768637585451"/>
        </c:manualLayout>
      </c:layout>
      <c:scatterChart>
        <c:scatterStyle val="lineMarker"/>
        <c:varyColors val="0"/>
        <c:ser>
          <c:idx val="0"/>
          <c:order val="0"/>
          <c:tx>
            <c:strRef>
              <c:f>ω!$A$1</c:f>
              <c:strCache>
                <c:ptCount val="1"/>
                <c:pt idx="0">
                  <c:v>Si_TEOS_omega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ω!$A$20:$A$220</c:f>
              <c:numCache>
                <c:formatCode>General</c:formatCode>
                <c:ptCount val="201"/>
                <c:pt idx="0">
                  <c:v>34.930599999999998</c:v>
                </c:pt>
                <c:pt idx="1">
                  <c:v>34.931600000000003</c:v>
                </c:pt>
                <c:pt idx="2">
                  <c:v>34.932600000000001</c:v>
                </c:pt>
                <c:pt idx="3">
                  <c:v>34.933599999999998</c:v>
                </c:pt>
                <c:pt idx="4">
                  <c:v>34.934600000000003</c:v>
                </c:pt>
                <c:pt idx="5">
                  <c:v>34.935600000000001</c:v>
                </c:pt>
                <c:pt idx="6">
                  <c:v>34.936599999999999</c:v>
                </c:pt>
                <c:pt idx="7">
                  <c:v>34.937600000000003</c:v>
                </c:pt>
                <c:pt idx="8">
                  <c:v>34.938600000000001</c:v>
                </c:pt>
                <c:pt idx="9">
                  <c:v>34.939599999999999</c:v>
                </c:pt>
                <c:pt idx="10">
                  <c:v>34.940600000000003</c:v>
                </c:pt>
                <c:pt idx="11">
                  <c:v>34.941600000000001</c:v>
                </c:pt>
                <c:pt idx="12">
                  <c:v>34.942599999999999</c:v>
                </c:pt>
                <c:pt idx="13">
                  <c:v>34.943600000000004</c:v>
                </c:pt>
                <c:pt idx="14">
                  <c:v>34.944600000000001</c:v>
                </c:pt>
                <c:pt idx="15">
                  <c:v>34.945599999999999</c:v>
                </c:pt>
                <c:pt idx="16">
                  <c:v>34.946599999999997</c:v>
                </c:pt>
                <c:pt idx="17">
                  <c:v>34.947600000000001</c:v>
                </c:pt>
                <c:pt idx="18">
                  <c:v>34.948599999999999</c:v>
                </c:pt>
                <c:pt idx="19">
                  <c:v>34.949599999999997</c:v>
                </c:pt>
                <c:pt idx="20">
                  <c:v>34.950600000000001</c:v>
                </c:pt>
                <c:pt idx="21">
                  <c:v>34.951599999999999</c:v>
                </c:pt>
                <c:pt idx="22">
                  <c:v>34.952599999999997</c:v>
                </c:pt>
                <c:pt idx="23">
                  <c:v>34.953600000000002</c:v>
                </c:pt>
                <c:pt idx="24">
                  <c:v>34.954599999999999</c:v>
                </c:pt>
                <c:pt idx="25">
                  <c:v>34.955599999999997</c:v>
                </c:pt>
                <c:pt idx="26">
                  <c:v>34.956600000000002</c:v>
                </c:pt>
                <c:pt idx="27">
                  <c:v>34.957599999999999</c:v>
                </c:pt>
                <c:pt idx="28">
                  <c:v>34.958599999999997</c:v>
                </c:pt>
                <c:pt idx="29">
                  <c:v>34.959600000000002</c:v>
                </c:pt>
                <c:pt idx="30">
                  <c:v>34.960599999999999</c:v>
                </c:pt>
                <c:pt idx="31">
                  <c:v>34.961599999999997</c:v>
                </c:pt>
                <c:pt idx="32">
                  <c:v>34.962600000000002</c:v>
                </c:pt>
                <c:pt idx="33">
                  <c:v>34.9636</c:v>
                </c:pt>
                <c:pt idx="34">
                  <c:v>34.964599999999997</c:v>
                </c:pt>
                <c:pt idx="35">
                  <c:v>34.965600000000002</c:v>
                </c:pt>
                <c:pt idx="36">
                  <c:v>34.9666</c:v>
                </c:pt>
                <c:pt idx="37">
                  <c:v>34.967599999999997</c:v>
                </c:pt>
                <c:pt idx="38">
                  <c:v>34.968600000000002</c:v>
                </c:pt>
                <c:pt idx="39">
                  <c:v>34.9696</c:v>
                </c:pt>
                <c:pt idx="40">
                  <c:v>34.970599999999997</c:v>
                </c:pt>
                <c:pt idx="41">
                  <c:v>34.971600000000002</c:v>
                </c:pt>
                <c:pt idx="42">
                  <c:v>34.9726</c:v>
                </c:pt>
                <c:pt idx="43">
                  <c:v>34.973599999999998</c:v>
                </c:pt>
                <c:pt idx="44">
                  <c:v>34.974600000000002</c:v>
                </c:pt>
                <c:pt idx="45">
                  <c:v>34.9756</c:v>
                </c:pt>
                <c:pt idx="46">
                  <c:v>34.976599999999998</c:v>
                </c:pt>
                <c:pt idx="47">
                  <c:v>34.977600000000002</c:v>
                </c:pt>
                <c:pt idx="48">
                  <c:v>34.9786</c:v>
                </c:pt>
                <c:pt idx="49">
                  <c:v>34.979599999999998</c:v>
                </c:pt>
                <c:pt idx="50">
                  <c:v>34.980600000000003</c:v>
                </c:pt>
                <c:pt idx="51">
                  <c:v>34.9816</c:v>
                </c:pt>
                <c:pt idx="52">
                  <c:v>34.982599999999998</c:v>
                </c:pt>
                <c:pt idx="53">
                  <c:v>34.983600000000003</c:v>
                </c:pt>
                <c:pt idx="54">
                  <c:v>34.9846</c:v>
                </c:pt>
                <c:pt idx="55">
                  <c:v>34.985599999999998</c:v>
                </c:pt>
                <c:pt idx="56">
                  <c:v>34.986600000000003</c:v>
                </c:pt>
                <c:pt idx="57">
                  <c:v>34.9876</c:v>
                </c:pt>
                <c:pt idx="58">
                  <c:v>34.988599999999998</c:v>
                </c:pt>
                <c:pt idx="59">
                  <c:v>34.989600000000003</c:v>
                </c:pt>
                <c:pt idx="60">
                  <c:v>34.990600000000001</c:v>
                </c:pt>
                <c:pt idx="61">
                  <c:v>34.991599999999998</c:v>
                </c:pt>
                <c:pt idx="62">
                  <c:v>34.992600000000003</c:v>
                </c:pt>
                <c:pt idx="63">
                  <c:v>34.993600000000001</c:v>
                </c:pt>
                <c:pt idx="64">
                  <c:v>34.994599999999998</c:v>
                </c:pt>
                <c:pt idx="65">
                  <c:v>34.995600000000003</c:v>
                </c:pt>
                <c:pt idx="66">
                  <c:v>34.996600000000001</c:v>
                </c:pt>
                <c:pt idx="67">
                  <c:v>34.997599999999998</c:v>
                </c:pt>
                <c:pt idx="68">
                  <c:v>34.998600000000003</c:v>
                </c:pt>
                <c:pt idx="69">
                  <c:v>34.999600000000001</c:v>
                </c:pt>
                <c:pt idx="70">
                  <c:v>35.000599999999999</c:v>
                </c:pt>
                <c:pt idx="71">
                  <c:v>35.001600000000003</c:v>
                </c:pt>
                <c:pt idx="72">
                  <c:v>35.002600000000001</c:v>
                </c:pt>
                <c:pt idx="73">
                  <c:v>35.003599999999999</c:v>
                </c:pt>
                <c:pt idx="74">
                  <c:v>35.004600000000003</c:v>
                </c:pt>
                <c:pt idx="75">
                  <c:v>35.005600000000001</c:v>
                </c:pt>
                <c:pt idx="76">
                  <c:v>35.006599999999999</c:v>
                </c:pt>
                <c:pt idx="77">
                  <c:v>35.007599999999996</c:v>
                </c:pt>
                <c:pt idx="78">
                  <c:v>35.008600000000001</c:v>
                </c:pt>
                <c:pt idx="79">
                  <c:v>35.009599999999999</c:v>
                </c:pt>
                <c:pt idx="80">
                  <c:v>35.010599999999997</c:v>
                </c:pt>
                <c:pt idx="81">
                  <c:v>35.011600000000001</c:v>
                </c:pt>
                <c:pt idx="82">
                  <c:v>35.012599999999999</c:v>
                </c:pt>
                <c:pt idx="83">
                  <c:v>35.013599999999997</c:v>
                </c:pt>
                <c:pt idx="84">
                  <c:v>35.014600000000002</c:v>
                </c:pt>
                <c:pt idx="85">
                  <c:v>35.015599999999999</c:v>
                </c:pt>
                <c:pt idx="86">
                  <c:v>35.016599999999997</c:v>
                </c:pt>
                <c:pt idx="87">
                  <c:v>35.017600000000002</c:v>
                </c:pt>
                <c:pt idx="88">
                  <c:v>35.018599999999999</c:v>
                </c:pt>
                <c:pt idx="89">
                  <c:v>35.019599999999997</c:v>
                </c:pt>
                <c:pt idx="90">
                  <c:v>35.020600000000002</c:v>
                </c:pt>
                <c:pt idx="91">
                  <c:v>35.021599999999999</c:v>
                </c:pt>
                <c:pt idx="92">
                  <c:v>35.022599999999997</c:v>
                </c:pt>
                <c:pt idx="93">
                  <c:v>35.023600000000002</c:v>
                </c:pt>
                <c:pt idx="94">
                  <c:v>35.0246</c:v>
                </c:pt>
                <c:pt idx="95">
                  <c:v>35.025599999999997</c:v>
                </c:pt>
                <c:pt idx="96">
                  <c:v>35.026600000000002</c:v>
                </c:pt>
                <c:pt idx="97">
                  <c:v>35.0276</c:v>
                </c:pt>
                <c:pt idx="98">
                  <c:v>35.028599999999997</c:v>
                </c:pt>
                <c:pt idx="99">
                  <c:v>35.029600000000002</c:v>
                </c:pt>
                <c:pt idx="100">
                  <c:v>35.0306</c:v>
                </c:pt>
                <c:pt idx="101">
                  <c:v>35.031599999999997</c:v>
                </c:pt>
                <c:pt idx="102">
                  <c:v>35.032600000000002</c:v>
                </c:pt>
                <c:pt idx="103">
                  <c:v>35.0336</c:v>
                </c:pt>
                <c:pt idx="104">
                  <c:v>35.034599999999998</c:v>
                </c:pt>
                <c:pt idx="105">
                  <c:v>35.035600000000002</c:v>
                </c:pt>
                <c:pt idx="106">
                  <c:v>35.0366</c:v>
                </c:pt>
                <c:pt idx="107">
                  <c:v>35.037599999999998</c:v>
                </c:pt>
                <c:pt idx="108">
                  <c:v>35.038600000000002</c:v>
                </c:pt>
                <c:pt idx="109">
                  <c:v>35.0396</c:v>
                </c:pt>
                <c:pt idx="110">
                  <c:v>35.040599999999998</c:v>
                </c:pt>
                <c:pt idx="111">
                  <c:v>35.041600000000003</c:v>
                </c:pt>
                <c:pt idx="112">
                  <c:v>35.0426</c:v>
                </c:pt>
                <c:pt idx="113">
                  <c:v>35.043599999999998</c:v>
                </c:pt>
                <c:pt idx="114">
                  <c:v>35.044600000000003</c:v>
                </c:pt>
                <c:pt idx="115">
                  <c:v>35.0456</c:v>
                </c:pt>
                <c:pt idx="116">
                  <c:v>35.046599999999998</c:v>
                </c:pt>
                <c:pt idx="117">
                  <c:v>35.047600000000003</c:v>
                </c:pt>
                <c:pt idx="118">
                  <c:v>35.0486</c:v>
                </c:pt>
                <c:pt idx="119">
                  <c:v>35.049599999999998</c:v>
                </c:pt>
                <c:pt idx="120">
                  <c:v>35.050600000000003</c:v>
                </c:pt>
                <c:pt idx="121">
                  <c:v>35.051600000000001</c:v>
                </c:pt>
                <c:pt idx="122">
                  <c:v>35.052599999999998</c:v>
                </c:pt>
                <c:pt idx="123">
                  <c:v>35.053600000000003</c:v>
                </c:pt>
                <c:pt idx="124">
                  <c:v>35.054600000000001</c:v>
                </c:pt>
                <c:pt idx="125">
                  <c:v>35.055599999999998</c:v>
                </c:pt>
                <c:pt idx="126">
                  <c:v>35.056600000000003</c:v>
                </c:pt>
                <c:pt idx="127">
                  <c:v>35.057600000000001</c:v>
                </c:pt>
                <c:pt idx="128">
                  <c:v>35.058599999999998</c:v>
                </c:pt>
                <c:pt idx="129">
                  <c:v>35.059600000000003</c:v>
                </c:pt>
                <c:pt idx="130">
                  <c:v>35.060600000000001</c:v>
                </c:pt>
                <c:pt idx="131">
                  <c:v>35.061599999999999</c:v>
                </c:pt>
                <c:pt idx="132">
                  <c:v>35.062600000000003</c:v>
                </c:pt>
                <c:pt idx="133">
                  <c:v>35.063600000000001</c:v>
                </c:pt>
                <c:pt idx="134">
                  <c:v>35.064599999999999</c:v>
                </c:pt>
                <c:pt idx="135">
                  <c:v>35.065600000000003</c:v>
                </c:pt>
                <c:pt idx="136">
                  <c:v>35.066600000000001</c:v>
                </c:pt>
                <c:pt idx="137">
                  <c:v>35.067599999999999</c:v>
                </c:pt>
                <c:pt idx="138">
                  <c:v>35.068600000000004</c:v>
                </c:pt>
                <c:pt idx="139">
                  <c:v>35.069600000000001</c:v>
                </c:pt>
                <c:pt idx="140">
                  <c:v>35.070599999999999</c:v>
                </c:pt>
                <c:pt idx="141">
                  <c:v>35.071599999999997</c:v>
                </c:pt>
                <c:pt idx="142">
                  <c:v>35.072600000000001</c:v>
                </c:pt>
                <c:pt idx="143">
                  <c:v>35.073599999999999</c:v>
                </c:pt>
                <c:pt idx="144">
                  <c:v>35.074599999999997</c:v>
                </c:pt>
                <c:pt idx="145">
                  <c:v>35.075600000000001</c:v>
                </c:pt>
                <c:pt idx="146">
                  <c:v>35.076599999999999</c:v>
                </c:pt>
                <c:pt idx="147">
                  <c:v>35.077599999999997</c:v>
                </c:pt>
                <c:pt idx="148">
                  <c:v>35.078600000000002</c:v>
                </c:pt>
                <c:pt idx="149">
                  <c:v>35.079599999999999</c:v>
                </c:pt>
                <c:pt idx="150">
                  <c:v>35.080599999999997</c:v>
                </c:pt>
                <c:pt idx="151">
                  <c:v>35.081600000000002</c:v>
                </c:pt>
                <c:pt idx="152">
                  <c:v>35.082599999999999</c:v>
                </c:pt>
                <c:pt idx="153">
                  <c:v>35.083599999999997</c:v>
                </c:pt>
                <c:pt idx="154">
                  <c:v>35.084600000000002</c:v>
                </c:pt>
                <c:pt idx="155">
                  <c:v>35.085599999999999</c:v>
                </c:pt>
                <c:pt idx="156">
                  <c:v>35.086599999999997</c:v>
                </c:pt>
                <c:pt idx="157">
                  <c:v>35.087600000000002</c:v>
                </c:pt>
                <c:pt idx="158">
                  <c:v>35.0886</c:v>
                </c:pt>
                <c:pt idx="159">
                  <c:v>35.089599999999997</c:v>
                </c:pt>
                <c:pt idx="160">
                  <c:v>35.090600000000002</c:v>
                </c:pt>
                <c:pt idx="161">
                  <c:v>35.0916</c:v>
                </c:pt>
                <c:pt idx="162">
                  <c:v>35.092599999999997</c:v>
                </c:pt>
                <c:pt idx="163">
                  <c:v>35.093600000000002</c:v>
                </c:pt>
                <c:pt idx="164">
                  <c:v>35.0946</c:v>
                </c:pt>
                <c:pt idx="165">
                  <c:v>35.095599999999997</c:v>
                </c:pt>
                <c:pt idx="166">
                  <c:v>35.096600000000002</c:v>
                </c:pt>
                <c:pt idx="167">
                  <c:v>35.0976</c:v>
                </c:pt>
                <c:pt idx="168">
                  <c:v>35.098599999999998</c:v>
                </c:pt>
                <c:pt idx="169">
                  <c:v>35.099600000000002</c:v>
                </c:pt>
                <c:pt idx="170">
                  <c:v>35.1006</c:v>
                </c:pt>
                <c:pt idx="171">
                  <c:v>35.101599999999998</c:v>
                </c:pt>
                <c:pt idx="172">
                  <c:v>35.102600000000002</c:v>
                </c:pt>
                <c:pt idx="173">
                  <c:v>35.1036</c:v>
                </c:pt>
                <c:pt idx="174">
                  <c:v>35.104599999999998</c:v>
                </c:pt>
                <c:pt idx="175">
                  <c:v>35.105600000000003</c:v>
                </c:pt>
                <c:pt idx="176">
                  <c:v>35.1066</c:v>
                </c:pt>
                <c:pt idx="177">
                  <c:v>35.107599999999998</c:v>
                </c:pt>
                <c:pt idx="178">
                  <c:v>35.108600000000003</c:v>
                </c:pt>
                <c:pt idx="179">
                  <c:v>35.1096</c:v>
                </c:pt>
                <c:pt idx="180">
                  <c:v>35.110599999999998</c:v>
                </c:pt>
                <c:pt idx="181">
                  <c:v>35.111600000000003</c:v>
                </c:pt>
                <c:pt idx="182">
                  <c:v>35.1126</c:v>
                </c:pt>
                <c:pt idx="183">
                  <c:v>35.113599999999998</c:v>
                </c:pt>
                <c:pt idx="184">
                  <c:v>35.114600000000003</c:v>
                </c:pt>
                <c:pt idx="185">
                  <c:v>35.115600000000001</c:v>
                </c:pt>
                <c:pt idx="186">
                  <c:v>35.116599999999998</c:v>
                </c:pt>
                <c:pt idx="187">
                  <c:v>35.117600000000003</c:v>
                </c:pt>
                <c:pt idx="188">
                  <c:v>35.118600000000001</c:v>
                </c:pt>
                <c:pt idx="189">
                  <c:v>35.119599999999998</c:v>
                </c:pt>
                <c:pt idx="190">
                  <c:v>35.120600000000003</c:v>
                </c:pt>
                <c:pt idx="191">
                  <c:v>35.121600000000001</c:v>
                </c:pt>
                <c:pt idx="192">
                  <c:v>35.122599999999998</c:v>
                </c:pt>
                <c:pt idx="193">
                  <c:v>35.123600000000003</c:v>
                </c:pt>
                <c:pt idx="194">
                  <c:v>35.124600000000001</c:v>
                </c:pt>
                <c:pt idx="195">
                  <c:v>35.125599999999999</c:v>
                </c:pt>
                <c:pt idx="196">
                  <c:v>35.126600000000003</c:v>
                </c:pt>
                <c:pt idx="197">
                  <c:v>35.127600000000001</c:v>
                </c:pt>
                <c:pt idx="198">
                  <c:v>35.128599999999999</c:v>
                </c:pt>
                <c:pt idx="199">
                  <c:v>35.129600000000003</c:v>
                </c:pt>
                <c:pt idx="200">
                  <c:v>35.130600000000001</c:v>
                </c:pt>
              </c:numCache>
            </c:numRef>
          </c:xVal>
          <c:yVal>
            <c:numRef>
              <c:f>ω!$E$20:$E$220</c:f>
              <c:numCache>
                <c:formatCode>0.00E+00</c:formatCode>
                <c:ptCount val="201"/>
                <c:pt idx="0">
                  <c:v>2.4868763794446764E-2</c:v>
                </c:pt>
                <c:pt idx="1">
                  <c:v>2.2090529424759135E-2</c:v>
                </c:pt>
                <c:pt idx="2">
                  <c:v>2.157438369032269E-2</c:v>
                </c:pt>
                <c:pt idx="3">
                  <c:v>2.7487906495467115E-2</c:v>
                </c:pt>
                <c:pt idx="4">
                  <c:v>2.2268677544486512E-2</c:v>
                </c:pt>
                <c:pt idx="5">
                  <c:v>2.7159525231999798E-2</c:v>
                </c:pt>
                <c:pt idx="6">
                  <c:v>2.6115265469508077E-2</c:v>
                </c:pt>
                <c:pt idx="7">
                  <c:v>2.6295811897385103E-2</c:v>
                </c:pt>
                <c:pt idx="8">
                  <c:v>2.3516411851247303E-2</c:v>
                </c:pt>
                <c:pt idx="9">
                  <c:v>2.6480598649681105E-2</c:v>
                </c:pt>
                <c:pt idx="10">
                  <c:v>2.5780335481247533E-2</c:v>
                </c:pt>
                <c:pt idx="11">
                  <c:v>3.2046770450132774E-2</c:v>
                </c:pt>
                <c:pt idx="12">
                  <c:v>2.6839326026181588E-2</c:v>
                </c:pt>
                <c:pt idx="13">
                  <c:v>2.6322569209661025E-2</c:v>
                </c:pt>
                <c:pt idx="14">
                  <c:v>3.0695785735462569E-2</c:v>
                </c:pt>
                <c:pt idx="15">
                  <c:v>3.5586794403488137E-2</c:v>
                </c:pt>
                <c:pt idx="16">
                  <c:v>3.1072212502651832E-2</c:v>
                </c:pt>
                <c:pt idx="17">
                  <c:v>3.2491349702195818E-2</c:v>
                </c:pt>
                <c:pt idx="18">
                  <c:v>3.3705350757614209E-2</c:v>
                </c:pt>
                <c:pt idx="19">
                  <c:v>3.1610514313721153E-2</c:v>
                </c:pt>
                <c:pt idx="20">
                  <c:v>3.249480262228864E-2</c:v>
                </c:pt>
                <c:pt idx="21">
                  <c:v>3.874896623605336E-2</c:v>
                </c:pt>
                <c:pt idx="22">
                  <c:v>3.8761775002248443E-2</c:v>
                </c:pt>
                <c:pt idx="23">
                  <c:v>3.6689744982161973E-2</c:v>
                </c:pt>
                <c:pt idx="24">
                  <c:v>3.8431761237302867E-2</c:v>
                </c:pt>
                <c:pt idx="25">
                  <c:v>3.6870550032593742E-2</c:v>
                </c:pt>
                <c:pt idx="26">
                  <c:v>4.1222727584914805E-2</c:v>
                </c:pt>
                <c:pt idx="27">
                  <c:v>3.5638334633200826E-2</c:v>
                </c:pt>
                <c:pt idx="28">
                  <c:v>3.9145659952137445E-2</c:v>
                </c:pt>
                <c:pt idx="29">
                  <c:v>3.8287845187870852E-2</c:v>
                </c:pt>
                <c:pt idx="30">
                  <c:v>4.005431995460744E-2</c:v>
                </c:pt>
                <c:pt idx="31">
                  <c:v>4.4777739306625451E-2</c:v>
                </c:pt>
                <c:pt idx="32">
                  <c:v>4.3895199110371971E-2</c:v>
                </c:pt>
                <c:pt idx="33">
                  <c:v>4.8802098273327536E-2</c:v>
                </c:pt>
                <c:pt idx="34">
                  <c:v>4.7401783199111369E-2</c:v>
                </c:pt>
                <c:pt idx="35">
                  <c:v>4.7893348155800208E-2</c:v>
                </c:pt>
                <c:pt idx="36">
                  <c:v>4.7035048664839325E-2</c:v>
                </c:pt>
                <c:pt idx="37">
                  <c:v>5.0176689256375341E-2</c:v>
                </c:pt>
                <c:pt idx="38">
                  <c:v>5.2122346749543767E-2</c:v>
                </c:pt>
                <c:pt idx="39">
                  <c:v>5.4917179296964963E-2</c:v>
                </c:pt>
                <c:pt idx="40">
                  <c:v>5.580868907348794E-2</c:v>
                </c:pt>
                <c:pt idx="41">
                  <c:v>5.9522455888126775E-2</c:v>
                </c:pt>
                <c:pt idx="42">
                  <c:v>6.3918896621849547E-2</c:v>
                </c:pt>
                <c:pt idx="43">
                  <c:v>6.0630131054831976E-2</c:v>
                </c:pt>
                <c:pt idx="44">
                  <c:v>6.1538456143900404E-2</c:v>
                </c:pt>
                <c:pt idx="45">
                  <c:v>6.3500768604883198E-2</c:v>
                </c:pt>
                <c:pt idx="46">
                  <c:v>6.6933144908624925E-2</c:v>
                </c:pt>
                <c:pt idx="47">
                  <c:v>7.2210647630417263E-2</c:v>
                </c:pt>
                <c:pt idx="48">
                  <c:v>6.9248256916797993E-2</c:v>
                </c:pt>
                <c:pt idx="49">
                  <c:v>7.9885420078622704E-2</c:v>
                </c:pt>
                <c:pt idx="50">
                  <c:v>7.9162265935083284E-2</c:v>
                </c:pt>
                <c:pt idx="51">
                  <c:v>7.8857733956451112E-2</c:v>
                </c:pt>
                <c:pt idx="52">
                  <c:v>7.3373547186212223E-2</c:v>
                </c:pt>
                <c:pt idx="53">
                  <c:v>8.5817874884066905E-2</c:v>
                </c:pt>
                <c:pt idx="54">
                  <c:v>9.0573946562249194E-2</c:v>
                </c:pt>
                <c:pt idx="55">
                  <c:v>9.5649200432355447E-2</c:v>
                </c:pt>
                <c:pt idx="56">
                  <c:v>9.7378709027820448E-2</c:v>
                </c:pt>
                <c:pt idx="57">
                  <c:v>8.933522569561908E-2</c:v>
                </c:pt>
                <c:pt idx="58">
                  <c:v>0.10251602049800808</c:v>
                </c:pt>
                <c:pt idx="59">
                  <c:v>0.10885026764349599</c:v>
                </c:pt>
                <c:pt idx="60">
                  <c:v>0.10452242535662745</c:v>
                </c:pt>
                <c:pt idx="61">
                  <c:v>0.11323264814999798</c:v>
                </c:pt>
                <c:pt idx="62">
                  <c:v>0.12701798729300107</c:v>
                </c:pt>
                <c:pt idx="63">
                  <c:v>0.12787602938886256</c:v>
                </c:pt>
                <c:pt idx="64">
                  <c:v>0.12842493805692787</c:v>
                </c:pt>
                <c:pt idx="65">
                  <c:v>0.13928942649572254</c:v>
                </c:pt>
                <c:pt idx="66">
                  <c:v>0.14152884125122522</c:v>
                </c:pt>
                <c:pt idx="67">
                  <c:v>0.14933826020751167</c:v>
                </c:pt>
                <c:pt idx="68">
                  <c:v>0.16981887017450989</c:v>
                </c:pt>
                <c:pt idx="69">
                  <c:v>0.16402115528704633</c:v>
                </c:pt>
                <c:pt idx="70">
                  <c:v>0.17324912301416928</c:v>
                </c:pt>
                <c:pt idx="71">
                  <c:v>0.17520249287315096</c:v>
                </c:pt>
                <c:pt idx="72">
                  <c:v>0.18941834283303807</c:v>
                </c:pt>
                <c:pt idx="73">
                  <c:v>0.19862329448724561</c:v>
                </c:pt>
                <c:pt idx="74">
                  <c:v>0.21020177646710375</c:v>
                </c:pt>
                <c:pt idx="75">
                  <c:v>0.21834072275635158</c:v>
                </c:pt>
                <c:pt idx="76">
                  <c:v>0.25336932374196719</c:v>
                </c:pt>
                <c:pt idx="77">
                  <c:v>0.26705874246632921</c:v>
                </c:pt>
                <c:pt idx="78">
                  <c:v>0.3113792152455207</c:v>
                </c:pt>
                <c:pt idx="79">
                  <c:v>0.35826982890582248</c:v>
                </c:pt>
                <c:pt idx="80">
                  <c:v>0.43844623872331495</c:v>
                </c:pt>
                <c:pt idx="81">
                  <c:v>0.54459014356944613</c:v>
                </c:pt>
                <c:pt idx="82">
                  <c:v>0.63862978634805967</c:v>
                </c:pt>
                <c:pt idx="83">
                  <c:v>0.80438641117589027</c:v>
                </c:pt>
                <c:pt idx="84">
                  <c:v>0.9619250248554525</c:v>
                </c:pt>
                <c:pt idx="85">
                  <c:v>1.1598815590202123</c:v>
                </c:pt>
                <c:pt idx="86">
                  <c:v>1.428768092343849</c:v>
                </c:pt>
                <c:pt idx="87">
                  <c:v>1.7382956667363865</c:v>
                </c:pt>
                <c:pt idx="88">
                  <c:v>2.1458456780463107</c:v>
                </c:pt>
                <c:pt idx="89">
                  <c:v>2.793500974328746</c:v>
                </c:pt>
                <c:pt idx="90">
                  <c:v>3.600012206663906</c:v>
                </c:pt>
                <c:pt idx="91">
                  <c:v>5.0344328458582135</c:v>
                </c:pt>
                <c:pt idx="92">
                  <c:v>7.991152081006426</c:v>
                </c:pt>
                <c:pt idx="93">
                  <c:v>26.01100563004815</c:v>
                </c:pt>
                <c:pt idx="94">
                  <c:v>192.55165171180286</c:v>
                </c:pt>
                <c:pt idx="95">
                  <c:v>1248.8622331261781</c:v>
                </c:pt>
                <c:pt idx="96">
                  <c:v>4236.628685814735</c:v>
                </c:pt>
                <c:pt idx="97">
                  <c:v>10279.526745940746</c:v>
                </c:pt>
                <c:pt idx="98">
                  <c:v>18120.07151591259</c:v>
                </c:pt>
                <c:pt idx="99">
                  <c:v>21369.391362351616</c:v>
                </c:pt>
                <c:pt idx="100">
                  <c:v>20939.632311172063</c:v>
                </c:pt>
                <c:pt idx="101">
                  <c:v>15582.28153026262</c:v>
                </c:pt>
                <c:pt idx="102">
                  <c:v>7343.2430301002196</c:v>
                </c:pt>
                <c:pt idx="103">
                  <c:v>1877.031523921584</c:v>
                </c:pt>
                <c:pt idx="104">
                  <c:v>466.07109582146103</c:v>
                </c:pt>
                <c:pt idx="105">
                  <c:v>149.73393002324343</c:v>
                </c:pt>
                <c:pt idx="106">
                  <c:v>39.789949648591524</c:v>
                </c:pt>
                <c:pt idx="107">
                  <c:v>22.775474356906184</c:v>
                </c:pt>
                <c:pt idx="108">
                  <c:v>16.800453432868334</c:v>
                </c:pt>
                <c:pt idx="109">
                  <c:v>13.080702455657109</c:v>
                </c:pt>
                <c:pt idx="110">
                  <c:v>10.53793039003317</c:v>
                </c:pt>
                <c:pt idx="111">
                  <c:v>8.7619385445977223</c:v>
                </c:pt>
                <c:pt idx="112">
                  <c:v>7.3348248210216553</c:v>
                </c:pt>
                <c:pt idx="113">
                  <c:v>6.1901806511934501</c:v>
                </c:pt>
                <c:pt idx="114">
                  <c:v>5.2625401003480148</c:v>
                </c:pt>
                <c:pt idx="115">
                  <c:v>4.5569048529625684</c:v>
                </c:pt>
                <c:pt idx="116">
                  <c:v>3.9527180376599076</c:v>
                </c:pt>
                <c:pt idx="117">
                  <c:v>3.4699823463605841</c:v>
                </c:pt>
                <c:pt idx="118">
                  <c:v>3.0984158559248693</c:v>
                </c:pt>
                <c:pt idx="119">
                  <c:v>2.7374224240248171</c:v>
                </c:pt>
                <c:pt idx="120">
                  <c:v>2.4710114196306461</c:v>
                </c:pt>
                <c:pt idx="121">
                  <c:v>2.2467301453540194</c:v>
                </c:pt>
                <c:pt idx="122">
                  <c:v>2.0544205594873763</c:v>
                </c:pt>
                <c:pt idx="123">
                  <c:v>1.853834970391121</c:v>
                </c:pt>
                <c:pt idx="124">
                  <c:v>1.677673554691671</c:v>
                </c:pt>
                <c:pt idx="125">
                  <c:v>1.4918587944137096</c:v>
                </c:pt>
                <c:pt idx="126">
                  <c:v>1.2893698696110996</c:v>
                </c:pt>
                <c:pt idx="127">
                  <c:v>1.1361529298676492</c:v>
                </c:pt>
                <c:pt idx="128">
                  <c:v>0.99354581236907691</c:v>
                </c:pt>
                <c:pt idx="129">
                  <c:v>0.882379377871363</c:v>
                </c:pt>
                <c:pt idx="130">
                  <c:v>0.76625559161999079</c:v>
                </c:pt>
                <c:pt idx="131">
                  <c:v>0.65373012312206757</c:v>
                </c:pt>
                <c:pt idx="132">
                  <c:v>0.56656366057135632</c:v>
                </c:pt>
                <c:pt idx="133">
                  <c:v>0.50626790847441461</c:v>
                </c:pt>
                <c:pt idx="134">
                  <c:v>0.41169557113394112</c:v>
                </c:pt>
                <c:pt idx="135">
                  <c:v>0.35255461695516643</c:v>
                </c:pt>
                <c:pt idx="136">
                  <c:v>0.28634751063011976</c:v>
                </c:pt>
                <c:pt idx="137">
                  <c:v>0.25635090745648864</c:v>
                </c:pt>
                <c:pt idx="138">
                  <c:v>0.21051970332959383</c:v>
                </c:pt>
                <c:pt idx="139">
                  <c:v>0.18097052930484403</c:v>
                </c:pt>
                <c:pt idx="140">
                  <c:v>0.16289050843231345</c:v>
                </c:pt>
                <c:pt idx="141">
                  <c:v>0.14624665954482205</c:v>
                </c:pt>
                <c:pt idx="142">
                  <c:v>0.12756289784901911</c:v>
                </c:pt>
                <c:pt idx="143">
                  <c:v>0.11924128019218136</c:v>
                </c:pt>
                <c:pt idx="144">
                  <c:v>0.10722142342459669</c:v>
                </c:pt>
                <c:pt idx="145">
                  <c:v>0.1056402072685807</c:v>
                </c:pt>
                <c:pt idx="146">
                  <c:v>9.5830181223956964E-2</c:v>
                </c:pt>
                <c:pt idx="147">
                  <c:v>9.4970110340479252E-2</c:v>
                </c:pt>
                <c:pt idx="148">
                  <c:v>9.1064706089284839E-2</c:v>
                </c:pt>
                <c:pt idx="149">
                  <c:v>8.6664200243947248E-2</c:v>
                </c:pt>
                <c:pt idx="150">
                  <c:v>8.1842895162995755E-2</c:v>
                </c:pt>
                <c:pt idx="151">
                  <c:v>8.3848280710628095E-2</c:v>
                </c:pt>
                <c:pt idx="152">
                  <c:v>7.6724045963698709E-2</c:v>
                </c:pt>
                <c:pt idx="153">
                  <c:v>6.9947719076256146E-2</c:v>
                </c:pt>
                <c:pt idx="154">
                  <c:v>8.0115969382352992E-2</c:v>
                </c:pt>
                <c:pt idx="155">
                  <c:v>7.333949218522208E-2</c:v>
                </c:pt>
                <c:pt idx="156">
                  <c:v>6.5642858079338132E-2</c:v>
                </c:pt>
                <c:pt idx="157">
                  <c:v>6.7609979896645217E-2</c:v>
                </c:pt>
                <c:pt idx="158">
                  <c:v>7.0294617050537425E-2</c:v>
                </c:pt>
                <c:pt idx="159">
                  <c:v>5.7597203037023842E-2</c:v>
                </c:pt>
                <c:pt idx="160">
                  <c:v>5.9207790489737948E-2</c:v>
                </c:pt>
                <c:pt idx="161">
                  <c:v>6.0810652000397605E-2</c:v>
                </c:pt>
                <c:pt idx="162">
                  <c:v>5.4219562546581557E-2</c:v>
                </c:pt>
                <c:pt idx="163">
                  <c:v>5.4932015744942518E-2</c:v>
                </c:pt>
                <c:pt idx="164">
                  <c:v>5.5527476387967303E-2</c:v>
                </c:pt>
                <c:pt idx="165">
                  <c:v>5.5374537383698512E-2</c:v>
                </c:pt>
                <c:pt idx="166">
                  <c:v>5.7897397056328362E-2</c:v>
                </c:pt>
                <c:pt idx="167">
                  <c:v>5.0601419325111169E-2</c:v>
                </c:pt>
                <c:pt idx="168">
                  <c:v>4.3472961508556847E-2</c:v>
                </c:pt>
                <c:pt idx="169">
                  <c:v>4.2608336260120241E-2</c:v>
                </c:pt>
                <c:pt idx="170">
                  <c:v>4.4772244131370646E-2</c:v>
                </c:pt>
                <c:pt idx="171">
                  <c:v>4.084578580412597E-2</c:v>
                </c:pt>
                <c:pt idx="172">
                  <c:v>4.1917839315235912E-2</c:v>
                </c:pt>
                <c:pt idx="173">
                  <c:v>4.3554345768379854E-2</c:v>
                </c:pt>
                <c:pt idx="174">
                  <c:v>4.2507934410867025E-2</c:v>
                </c:pt>
                <c:pt idx="175">
                  <c:v>3.9295820335059496E-2</c:v>
                </c:pt>
                <c:pt idx="176">
                  <c:v>3.3555438033764741E-2</c:v>
                </c:pt>
                <c:pt idx="177">
                  <c:v>3.8041254376628371E-2</c:v>
                </c:pt>
                <c:pt idx="178">
                  <c:v>3.8238585687922121E-2</c:v>
                </c:pt>
                <c:pt idx="179">
                  <c:v>4.0370319633351373E-2</c:v>
                </c:pt>
                <c:pt idx="180">
                  <c:v>3.6960926899665597E-2</c:v>
                </c:pt>
                <c:pt idx="181">
                  <c:v>3.5369842695407522E-2</c:v>
                </c:pt>
                <c:pt idx="182">
                  <c:v>3.6244780886124608E-2</c:v>
                </c:pt>
                <c:pt idx="183">
                  <c:v>3.2297357898488435E-2</c:v>
                </c:pt>
                <c:pt idx="184">
                  <c:v>3.7161626559726879E-2</c:v>
                </c:pt>
                <c:pt idx="185">
                  <c:v>3.2282219484371169E-2</c:v>
                </c:pt>
                <c:pt idx="186">
                  <c:v>2.9759740649955603E-2</c:v>
                </c:pt>
                <c:pt idx="187">
                  <c:v>3.2811860235962817E-2</c:v>
                </c:pt>
                <c:pt idx="188">
                  <c:v>2.3490246025002087E-2</c:v>
                </c:pt>
                <c:pt idx="189">
                  <c:v>2.7249976313137365E-2</c:v>
                </c:pt>
                <c:pt idx="190">
                  <c:v>2.5280363715943808E-2</c:v>
                </c:pt>
                <c:pt idx="191">
                  <c:v>2.4554638012658721E-2</c:v>
                </c:pt>
                <c:pt idx="192">
                  <c:v>2.563675698537984E-2</c:v>
                </c:pt>
                <c:pt idx="193">
                  <c:v>2.9037804389232626E-2</c:v>
                </c:pt>
                <c:pt idx="194">
                  <c:v>2.8504446451627568E-2</c:v>
                </c:pt>
                <c:pt idx="195">
                  <c:v>2.9941012977259745E-2</c:v>
                </c:pt>
                <c:pt idx="196">
                  <c:v>2.2755889846943704E-2</c:v>
                </c:pt>
                <c:pt idx="197">
                  <c:v>2.3097911186060548E-2</c:v>
                </c:pt>
                <c:pt idx="198">
                  <c:v>2.2571110282946422E-2</c:v>
                </c:pt>
                <c:pt idx="199">
                  <c:v>2.2395868037597178E-2</c:v>
                </c:pt>
                <c:pt idx="200">
                  <c:v>2.0629936732648201E-2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2-4A68-B1B7-0DA693B5CB3E}"/>
            </c:ext>
          </c:extLst>
        </c:ser>
        <c:ser>
          <c:idx val="1"/>
          <c:order val="1"/>
          <c:tx>
            <c:strRef>
              <c:f>ω!$M$1</c:f>
              <c:strCache>
                <c:ptCount val="1"/>
                <c:pt idx="0">
                  <c:v>Si_TEOS_omega_2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ω!$M$20:$M$220</c:f>
              <c:numCache>
                <c:formatCode>General</c:formatCode>
                <c:ptCount val="201"/>
                <c:pt idx="0">
                  <c:v>34.334800000000001</c:v>
                </c:pt>
                <c:pt idx="1">
                  <c:v>34.335799999999999</c:v>
                </c:pt>
                <c:pt idx="2">
                  <c:v>34.336799999999997</c:v>
                </c:pt>
                <c:pt idx="3">
                  <c:v>34.337800000000001</c:v>
                </c:pt>
                <c:pt idx="4">
                  <c:v>34.338799999999999</c:v>
                </c:pt>
                <c:pt idx="5">
                  <c:v>34.339799999999997</c:v>
                </c:pt>
                <c:pt idx="6">
                  <c:v>34.340800000000002</c:v>
                </c:pt>
                <c:pt idx="7">
                  <c:v>34.341799999999999</c:v>
                </c:pt>
                <c:pt idx="8">
                  <c:v>34.342799999999997</c:v>
                </c:pt>
                <c:pt idx="9">
                  <c:v>34.343800000000002</c:v>
                </c:pt>
                <c:pt idx="10">
                  <c:v>34.344799999999999</c:v>
                </c:pt>
                <c:pt idx="11">
                  <c:v>34.345799999999997</c:v>
                </c:pt>
                <c:pt idx="12">
                  <c:v>34.346800000000002</c:v>
                </c:pt>
                <c:pt idx="13">
                  <c:v>34.347799999999999</c:v>
                </c:pt>
                <c:pt idx="14">
                  <c:v>34.348799999999997</c:v>
                </c:pt>
                <c:pt idx="15">
                  <c:v>34.349800000000002</c:v>
                </c:pt>
                <c:pt idx="16">
                  <c:v>34.3508</c:v>
                </c:pt>
                <c:pt idx="17">
                  <c:v>34.351799999999997</c:v>
                </c:pt>
                <c:pt idx="18">
                  <c:v>34.352800000000002</c:v>
                </c:pt>
                <c:pt idx="19">
                  <c:v>34.3538</c:v>
                </c:pt>
                <c:pt idx="20">
                  <c:v>34.354799999999997</c:v>
                </c:pt>
                <c:pt idx="21">
                  <c:v>34.355800000000002</c:v>
                </c:pt>
                <c:pt idx="22">
                  <c:v>34.3568</c:v>
                </c:pt>
                <c:pt idx="23">
                  <c:v>34.357799999999997</c:v>
                </c:pt>
                <c:pt idx="24">
                  <c:v>34.358800000000002</c:v>
                </c:pt>
                <c:pt idx="25">
                  <c:v>34.3598</c:v>
                </c:pt>
                <c:pt idx="26">
                  <c:v>34.360799999999998</c:v>
                </c:pt>
                <c:pt idx="27">
                  <c:v>34.361800000000002</c:v>
                </c:pt>
                <c:pt idx="28">
                  <c:v>34.3628</c:v>
                </c:pt>
                <c:pt idx="29">
                  <c:v>34.363799999999998</c:v>
                </c:pt>
                <c:pt idx="30">
                  <c:v>34.364800000000002</c:v>
                </c:pt>
                <c:pt idx="31">
                  <c:v>34.3658</c:v>
                </c:pt>
                <c:pt idx="32">
                  <c:v>34.366799999999998</c:v>
                </c:pt>
                <c:pt idx="33">
                  <c:v>34.367800000000003</c:v>
                </c:pt>
                <c:pt idx="34">
                  <c:v>34.3688</c:v>
                </c:pt>
                <c:pt idx="35">
                  <c:v>34.369799999999998</c:v>
                </c:pt>
                <c:pt idx="36">
                  <c:v>34.370800000000003</c:v>
                </c:pt>
                <c:pt idx="37">
                  <c:v>34.3718</c:v>
                </c:pt>
                <c:pt idx="38">
                  <c:v>34.372799999999998</c:v>
                </c:pt>
                <c:pt idx="39">
                  <c:v>34.373800000000003</c:v>
                </c:pt>
                <c:pt idx="40">
                  <c:v>34.3748</c:v>
                </c:pt>
                <c:pt idx="41">
                  <c:v>34.375799999999998</c:v>
                </c:pt>
                <c:pt idx="42">
                  <c:v>34.376800000000003</c:v>
                </c:pt>
                <c:pt idx="43">
                  <c:v>34.377800000000001</c:v>
                </c:pt>
                <c:pt idx="44">
                  <c:v>34.378799999999998</c:v>
                </c:pt>
                <c:pt idx="45">
                  <c:v>34.379800000000003</c:v>
                </c:pt>
                <c:pt idx="46">
                  <c:v>34.380800000000001</c:v>
                </c:pt>
                <c:pt idx="47">
                  <c:v>34.381799999999998</c:v>
                </c:pt>
                <c:pt idx="48">
                  <c:v>34.382800000000003</c:v>
                </c:pt>
                <c:pt idx="49">
                  <c:v>34.383800000000001</c:v>
                </c:pt>
                <c:pt idx="50">
                  <c:v>34.384799999999998</c:v>
                </c:pt>
                <c:pt idx="51">
                  <c:v>34.385800000000003</c:v>
                </c:pt>
                <c:pt idx="52">
                  <c:v>34.386800000000001</c:v>
                </c:pt>
                <c:pt idx="53">
                  <c:v>34.387799999999999</c:v>
                </c:pt>
                <c:pt idx="54">
                  <c:v>34.388800000000003</c:v>
                </c:pt>
                <c:pt idx="55">
                  <c:v>34.389800000000001</c:v>
                </c:pt>
                <c:pt idx="56">
                  <c:v>34.390799999999999</c:v>
                </c:pt>
                <c:pt idx="57">
                  <c:v>34.391800000000003</c:v>
                </c:pt>
                <c:pt idx="58">
                  <c:v>34.392800000000001</c:v>
                </c:pt>
                <c:pt idx="59">
                  <c:v>34.393799999999999</c:v>
                </c:pt>
                <c:pt idx="60">
                  <c:v>34.394799999999996</c:v>
                </c:pt>
                <c:pt idx="61">
                  <c:v>34.395800000000001</c:v>
                </c:pt>
                <c:pt idx="62">
                  <c:v>34.396799999999999</c:v>
                </c:pt>
                <c:pt idx="63">
                  <c:v>34.397799999999997</c:v>
                </c:pt>
                <c:pt idx="64">
                  <c:v>34.398800000000001</c:v>
                </c:pt>
                <c:pt idx="65">
                  <c:v>34.399799999999999</c:v>
                </c:pt>
                <c:pt idx="66">
                  <c:v>34.400799999999997</c:v>
                </c:pt>
                <c:pt idx="67">
                  <c:v>34.401800000000001</c:v>
                </c:pt>
                <c:pt idx="68">
                  <c:v>34.402799999999999</c:v>
                </c:pt>
                <c:pt idx="69">
                  <c:v>34.403799999999997</c:v>
                </c:pt>
                <c:pt idx="70">
                  <c:v>34.404800000000002</c:v>
                </c:pt>
                <c:pt idx="71">
                  <c:v>34.405799999999999</c:v>
                </c:pt>
                <c:pt idx="72">
                  <c:v>34.406799999999997</c:v>
                </c:pt>
                <c:pt idx="73">
                  <c:v>34.407800000000002</c:v>
                </c:pt>
                <c:pt idx="74">
                  <c:v>34.408799999999999</c:v>
                </c:pt>
                <c:pt idx="75">
                  <c:v>34.409799999999997</c:v>
                </c:pt>
                <c:pt idx="76">
                  <c:v>34.410800000000002</c:v>
                </c:pt>
                <c:pt idx="77">
                  <c:v>34.411799999999999</c:v>
                </c:pt>
                <c:pt idx="78">
                  <c:v>34.412799999999997</c:v>
                </c:pt>
                <c:pt idx="79">
                  <c:v>34.413800000000002</c:v>
                </c:pt>
                <c:pt idx="80">
                  <c:v>34.4148</c:v>
                </c:pt>
                <c:pt idx="81">
                  <c:v>34.415799999999997</c:v>
                </c:pt>
                <c:pt idx="82">
                  <c:v>34.416800000000002</c:v>
                </c:pt>
                <c:pt idx="83">
                  <c:v>34.4178</c:v>
                </c:pt>
                <c:pt idx="84">
                  <c:v>34.418799999999997</c:v>
                </c:pt>
                <c:pt idx="85">
                  <c:v>34.419800000000002</c:v>
                </c:pt>
                <c:pt idx="86">
                  <c:v>34.4208</c:v>
                </c:pt>
                <c:pt idx="87">
                  <c:v>34.421799999999998</c:v>
                </c:pt>
                <c:pt idx="88">
                  <c:v>34.422800000000002</c:v>
                </c:pt>
                <c:pt idx="89">
                  <c:v>34.4238</c:v>
                </c:pt>
                <c:pt idx="90">
                  <c:v>34.424799999999998</c:v>
                </c:pt>
                <c:pt idx="91">
                  <c:v>34.425800000000002</c:v>
                </c:pt>
                <c:pt idx="92">
                  <c:v>34.4268</c:v>
                </c:pt>
                <c:pt idx="93">
                  <c:v>34.427799999999998</c:v>
                </c:pt>
                <c:pt idx="94">
                  <c:v>34.428800000000003</c:v>
                </c:pt>
                <c:pt idx="95">
                  <c:v>34.4298</c:v>
                </c:pt>
                <c:pt idx="96">
                  <c:v>34.430799999999998</c:v>
                </c:pt>
                <c:pt idx="97">
                  <c:v>34.431800000000003</c:v>
                </c:pt>
                <c:pt idx="98">
                  <c:v>34.4328</c:v>
                </c:pt>
                <c:pt idx="99">
                  <c:v>34.433799999999998</c:v>
                </c:pt>
                <c:pt idx="100">
                  <c:v>34.434800000000003</c:v>
                </c:pt>
                <c:pt idx="101">
                  <c:v>34.4358</c:v>
                </c:pt>
                <c:pt idx="102">
                  <c:v>34.436799999999998</c:v>
                </c:pt>
                <c:pt idx="103">
                  <c:v>34.437800000000003</c:v>
                </c:pt>
                <c:pt idx="104">
                  <c:v>34.438800000000001</c:v>
                </c:pt>
                <c:pt idx="105">
                  <c:v>34.439799999999998</c:v>
                </c:pt>
                <c:pt idx="106">
                  <c:v>34.440800000000003</c:v>
                </c:pt>
                <c:pt idx="107">
                  <c:v>34.441800000000001</c:v>
                </c:pt>
                <c:pt idx="108">
                  <c:v>34.442799999999998</c:v>
                </c:pt>
                <c:pt idx="109">
                  <c:v>34.443800000000003</c:v>
                </c:pt>
                <c:pt idx="110">
                  <c:v>34.444800000000001</c:v>
                </c:pt>
                <c:pt idx="111">
                  <c:v>34.445799999999998</c:v>
                </c:pt>
                <c:pt idx="112">
                  <c:v>34.446800000000003</c:v>
                </c:pt>
                <c:pt idx="113">
                  <c:v>34.447800000000001</c:v>
                </c:pt>
                <c:pt idx="114">
                  <c:v>34.448799999999999</c:v>
                </c:pt>
                <c:pt idx="115">
                  <c:v>34.449800000000003</c:v>
                </c:pt>
                <c:pt idx="116">
                  <c:v>34.450800000000001</c:v>
                </c:pt>
                <c:pt idx="117">
                  <c:v>34.451799999999999</c:v>
                </c:pt>
                <c:pt idx="118">
                  <c:v>34.452800000000003</c:v>
                </c:pt>
                <c:pt idx="119">
                  <c:v>34.453800000000001</c:v>
                </c:pt>
                <c:pt idx="120">
                  <c:v>34.454799999999999</c:v>
                </c:pt>
                <c:pt idx="121">
                  <c:v>34.455800000000004</c:v>
                </c:pt>
                <c:pt idx="122">
                  <c:v>34.456800000000001</c:v>
                </c:pt>
                <c:pt idx="123">
                  <c:v>34.457799999999999</c:v>
                </c:pt>
                <c:pt idx="124">
                  <c:v>34.458799999999997</c:v>
                </c:pt>
                <c:pt idx="125">
                  <c:v>34.459800000000001</c:v>
                </c:pt>
                <c:pt idx="126">
                  <c:v>34.460799999999999</c:v>
                </c:pt>
                <c:pt idx="127">
                  <c:v>34.461799999999997</c:v>
                </c:pt>
                <c:pt idx="128">
                  <c:v>34.462800000000001</c:v>
                </c:pt>
                <c:pt idx="129">
                  <c:v>34.463799999999999</c:v>
                </c:pt>
                <c:pt idx="130">
                  <c:v>34.464799999999997</c:v>
                </c:pt>
                <c:pt idx="131">
                  <c:v>34.465800000000002</c:v>
                </c:pt>
                <c:pt idx="132">
                  <c:v>34.466799999999999</c:v>
                </c:pt>
                <c:pt idx="133">
                  <c:v>34.467799999999997</c:v>
                </c:pt>
                <c:pt idx="134">
                  <c:v>34.468800000000002</c:v>
                </c:pt>
                <c:pt idx="135">
                  <c:v>34.469799999999999</c:v>
                </c:pt>
                <c:pt idx="136">
                  <c:v>34.470799999999997</c:v>
                </c:pt>
                <c:pt idx="137">
                  <c:v>34.471800000000002</c:v>
                </c:pt>
                <c:pt idx="138">
                  <c:v>34.472799999999999</c:v>
                </c:pt>
                <c:pt idx="139">
                  <c:v>34.473799999999997</c:v>
                </c:pt>
                <c:pt idx="140">
                  <c:v>34.474800000000002</c:v>
                </c:pt>
                <c:pt idx="141">
                  <c:v>34.4758</c:v>
                </c:pt>
                <c:pt idx="142">
                  <c:v>34.476799999999997</c:v>
                </c:pt>
                <c:pt idx="143">
                  <c:v>34.477800000000002</c:v>
                </c:pt>
                <c:pt idx="144">
                  <c:v>34.4788</c:v>
                </c:pt>
                <c:pt idx="145">
                  <c:v>34.479799999999997</c:v>
                </c:pt>
                <c:pt idx="146">
                  <c:v>34.480800000000002</c:v>
                </c:pt>
                <c:pt idx="147">
                  <c:v>34.4818</c:v>
                </c:pt>
                <c:pt idx="148">
                  <c:v>34.482799999999997</c:v>
                </c:pt>
                <c:pt idx="149">
                  <c:v>34.483800000000002</c:v>
                </c:pt>
                <c:pt idx="150">
                  <c:v>34.4848</c:v>
                </c:pt>
                <c:pt idx="151">
                  <c:v>34.485799999999998</c:v>
                </c:pt>
                <c:pt idx="152">
                  <c:v>34.486800000000002</c:v>
                </c:pt>
                <c:pt idx="153">
                  <c:v>34.4878</c:v>
                </c:pt>
                <c:pt idx="154">
                  <c:v>34.488799999999998</c:v>
                </c:pt>
                <c:pt idx="155">
                  <c:v>34.489800000000002</c:v>
                </c:pt>
                <c:pt idx="156">
                  <c:v>34.4908</c:v>
                </c:pt>
                <c:pt idx="157">
                  <c:v>34.491799999999998</c:v>
                </c:pt>
                <c:pt idx="158">
                  <c:v>34.492800000000003</c:v>
                </c:pt>
                <c:pt idx="159">
                  <c:v>34.4938</c:v>
                </c:pt>
                <c:pt idx="160">
                  <c:v>34.494799999999998</c:v>
                </c:pt>
                <c:pt idx="161">
                  <c:v>34.495800000000003</c:v>
                </c:pt>
                <c:pt idx="162">
                  <c:v>34.4968</c:v>
                </c:pt>
                <c:pt idx="163">
                  <c:v>34.497799999999998</c:v>
                </c:pt>
                <c:pt idx="164">
                  <c:v>34.498800000000003</c:v>
                </c:pt>
                <c:pt idx="165">
                  <c:v>34.4998</c:v>
                </c:pt>
                <c:pt idx="166">
                  <c:v>34.500799999999998</c:v>
                </c:pt>
                <c:pt idx="167">
                  <c:v>34.501800000000003</c:v>
                </c:pt>
                <c:pt idx="168">
                  <c:v>34.502800000000001</c:v>
                </c:pt>
                <c:pt idx="169">
                  <c:v>34.503799999999998</c:v>
                </c:pt>
                <c:pt idx="170">
                  <c:v>34.504800000000003</c:v>
                </c:pt>
                <c:pt idx="171">
                  <c:v>34.505800000000001</c:v>
                </c:pt>
                <c:pt idx="172">
                  <c:v>34.506799999999998</c:v>
                </c:pt>
                <c:pt idx="173">
                  <c:v>34.507800000000003</c:v>
                </c:pt>
                <c:pt idx="174">
                  <c:v>34.508800000000001</c:v>
                </c:pt>
                <c:pt idx="175">
                  <c:v>34.509799999999998</c:v>
                </c:pt>
                <c:pt idx="176">
                  <c:v>34.510800000000003</c:v>
                </c:pt>
                <c:pt idx="177">
                  <c:v>34.511800000000001</c:v>
                </c:pt>
                <c:pt idx="178">
                  <c:v>34.512799999999999</c:v>
                </c:pt>
                <c:pt idx="179">
                  <c:v>34.513800000000003</c:v>
                </c:pt>
                <c:pt idx="180">
                  <c:v>34.514800000000001</c:v>
                </c:pt>
                <c:pt idx="181">
                  <c:v>34.515799999999999</c:v>
                </c:pt>
                <c:pt idx="182">
                  <c:v>34.516800000000003</c:v>
                </c:pt>
                <c:pt idx="183">
                  <c:v>34.517800000000001</c:v>
                </c:pt>
                <c:pt idx="184">
                  <c:v>34.518799999999999</c:v>
                </c:pt>
                <c:pt idx="185">
                  <c:v>34.519799999999996</c:v>
                </c:pt>
                <c:pt idx="186">
                  <c:v>34.520800000000001</c:v>
                </c:pt>
                <c:pt idx="187">
                  <c:v>34.521799999999999</c:v>
                </c:pt>
                <c:pt idx="188">
                  <c:v>34.522799999999997</c:v>
                </c:pt>
                <c:pt idx="189">
                  <c:v>34.523800000000001</c:v>
                </c:pt>
                <c:pt idx="190">
                  <c:v>34.524799999999999</c:v>
                </c:pt>
                <c:pt idx="191">
                  <c:v>34.525799999999997</c:v>
                </c:pt>
                <c:pt idx="192">
                  <c:v>34.526800000000001</c:v>
                </c:pt>
                <c:pt idx="193">
                  <c:v>34.527799999999999</c:v>
                </c:pt>
                <c:pt idx="194">
                  <c:v>34.528799999999997</c:v>
                </c:pt>
                <c:pt idx="195">
                  <c:v>34.529800000000002</c:v>
                </c:pt>
                <c:pt idx="196">
                  <c:v>34.530799999999999</c:v>
                </c:pt>
                <c:pt idx="197">
                  <c:v>34.531799999999997</c:v>
                </c:pt>
                <c:pt idx="198">
                  <c:v>34.532800000000002</c:v>
                </c:pt>
                <c:pt idx="199">
                  <c:v>34.533799999999999</c:v>
                </c:pt>
                <c:pt idx="200">
                  <c:v>34.534799999999997</c:v>
                </c:pt>
              </c:numCache>
            </c:numRef>
          </c:xVal>
          <c:yVal>
            <c:numRef>
              <c:f>ω!$Q$20:$Q$220</c:f>
              <c:numCache>
                <c:formatCode>0.00E+00</c:formatCode>
                <c:ptCount val="201"/>
                <c:pt idx="0">
                  <c:v>2.1127832235875686E-2</c:v>
                </c:pt>
                <c:pt idx="1">
                  <c:v>2.5135675521279634E-2</c:v>
                </c:pt>
                <c:pt idx="2">
                  <c:v>2.4284234335090381E-2</c:v>
                </c:pt>
                <c:pt idx="3">
                  <c:v>2.2576118598809484E-2</c:v>
                </c:pt>
                <c:pt idx="4">
                  <c:v>2.0275843425824783E-2</c:v>
                </c:pt>
                <c:pt idx="5">
                  <c:v>2.1705080279666535E-2</c:v>
                </c:pt>
                <c:pt idx="6">
                  <c:v>1.684992819931443E-2</c:v>
                </c:pt>
                <c:pt idx="7">
                  <c:v>2.2843605736383478E-2</c:v>
                </c:pt>
                <c:pt idx="8">
                  <c:v>2.027047957242421E-2</c:v>
                </c:pt>
                <c:pt idx="9">
                  <c:v>2.3128508876764538E-2</c:v>
                </c:pt>
                <c:pt idx="10">
                  <c:v>2.7975459926552426E-2</c:v>
                </c:pt>
                <c:pt idx="11">
                  <c:v>2.5695786216540447E-2</c:v>
                </c:pt>
                <c:pt idx="12">
                  <c:v>2.5981927713423336E-2</c:v>
                </c:pt>
                <c:pt idx="13">
                  <c:v>2.4851965837630795E-2</c:v>
                </c:pt>
                <c:pt idx="14">
                  <c:v>2.5428940511479422E-2</c:v>
                </c:pt>
                <c:pt idx="15">
                  <c:v>2.6287186368150903E-2</c:v>
                </c:pt>
                <c:pt idx="16">
                  <c:v>2.5142029610911092E-2</c:v>
                </c:pt>
                <c:pt idx="17">
                  <c:v>2.5437799535448617E-2</c:v>
                </c:pt>
                <c:pt idx="18">
                  <c:v>2.8017232198786952E-2</c:v>
                </c:pt>
                <c:pt idx="19">
                  <c:v>2.9162061610230119E-2</c:v>
                </c:pt>
                <c:pt idx="20">
                  <c:v>3.2881984726861366E-2</c:v>
                </c:pt>
                <c:pt idx="21">
                  <c:v>3.4597357808362032E-2</c:v>
                </c:pt>
                <c:pt idx="22">
                  <c:v>3.0024934421253945E-2</c:v>
                </c:pt>
                <c:pt idx="23">
                  <c:v>3.2325852835382078E-2</c:v>
                </c:pt>
                <c:pt idx="24">
                  <c:v>3.0305525440630903E-2</c:v>
                </c:pt>
                <c:pt idx="25">
                  <c:v>2.8606910949089195E-2</c:v>
                </c:pt>
                <c:pt idx="26">
                  <c:v>3.8027932059353765E-2</c:v>
                </c:pt>
                <c:pt idx="27">
                  <c:v>3.4886662954573218E-2</c:v>
                </c:pt>
                <c:pt idx="28">
                  <c:v>3.8334174158160796E-2</c:v>
                </c:pt>
                <c:pt idx="29">
                  <c:v>3.4035294600500719E-2</c:v>
                </c:pt>
                <c:pt idx="30">
                  <c:v>3.8043630609504733E-2</c:v>
                </c:pt>
                <c:pt idx="31">
                  <c:v>3.9181819544211904E-2</c:v>
                </c:pt>
                <c:pt idx="32">
                  <c:v>4.2913829573791001E-2</c:v>
                </c:pt>
                <c:pt idx="33">
                  <c:v>4.6054191308996274E-2</c:v>
                </c:pt>
                <c:pt idx="34">
                  <c:v>4.6917623695597085E-2</c:v>
                </c:pt>
                <c:pt idx="35">
                  <c:v>3.7199880307954347E-2</c:v>
                </c:pt>
                <c:pt idx="36">
                  <c:v>3.9484716439078284E-2</c:v>
                </c:pt>
                <c:pt idx="37">
                  <c:v>5.0370950569097295E-2</c:v>
                </c:pt>
                <c:pt idx="38">
                  <c:v>5.2666585052541931E-2</c:v>
                </c:pt>
                <c:pt idx="39">
                  <c:v>4.6955639690136303E-2</c:v>
                </c:pt>
                <c:pt idx="40">
                  <c:v>4.9523988589902042E-2</c:v>
                </c:pt>
                <c:pt idx="41">
                  <c:v>5.1544084667687985E-2</c:v>
                </c:pt>
                <c:pt idx="42">
                  <c:v>4.3236589126759484E-2</c:v>
                </c:pt>
                <c:pt idx="43">
                  <c:v>5.2687573057476476E-2</c:v>
                </c:pt>
                <c:pt idx="44">
                  <c:v>5.698016629217717E-2</c:v>
                </c:pt>
                <c:pt idx="45">
                  <c:v>6.3275616618020794E-2</c:v>
                </c:pt>
                <c:pt idx="46">
                  <c:v>5.5002355361280106E-2</c:v>
                </c:pt>
                <c:pt idx="47">
                  <c:v>5.8183790958880911E-2</c:v>
                </c:pt>
                <c:pt idx="48">
                  <c:v>6.5595294050383654E-2</c:v>
                </c:pt>
                <c:pt idx="49">
                  <c:v>6.5029390849642793E-2</c:v>
                </c:pt>
                <c:pt idx="50">
                  <c:v>6.7060064696913876E-2</c:v>
                </c:pt>
                <c:pt idx="51">
                  <c:v>6.304324110116713E-2</c:v>
                </c:pt>
                <c:pt idx="52">
                  <c:v>6.1913775436672695E-2</c:v>
                </c:pt>
                <c:pt idx="53">
                  <c:v>7.7392154963630416E-2</c:v>
                </c:pt>
                <c:pt idx="54">
                  <c:v>7.4789954133126405E-2</c:v>
                </c:pt>
                <c:pt idx="55">
                  <c:v>8.658591755741929E-2</c:v>
                </c:pt>
                <c:pt idx="56">
                  <c:v>8.0250882602072957E-2</c:v>
                </c:pt>
                <c:pt idx="57">
                  <c:v>8.3670726463918932E-2</c:v>
                </c:pt>
                <c:pt idx="58">
                  <c:v>8.0841441295109701E-2</c:v>
                </c:pt>
                <c:pt idx="59">
                  <c:v>8.9478855357803144E-2</c:v>
                </c:pt>
                <c:pt idx="60">
                  <c:v>9.0593364173684451E-2</c:v>
                </c:pt>
                <c:pt idx="61">
                  <c:v>0.10461331536621138</c:v>
                </c:pt>
                <c:pt idx="62">
                  <c:v>8.9737450296418844E-2</c:v>
                </c:pt>
                <c:pt idx="63">
                  <c:v>0.10698017230060201</c:v>
                </c:pt>
                <c:pt idx="64">
                  <c:v>0.1164646874477917</c:v>
                </c:pt>
                <c:pt idx="65">
                  <c:v>0.11135175782094711</c:v>
                </c:pt>
                <c:pt idx="66">
                  <c:v>0.1293917340486315</c:v>
                </c:pt>
                <c:pt idx="67">
                  <c:v>0.11911119285296105</c:v>
                </c:pt>
                <c:pt idx="68">
                  <c:v>0.11883772229650856</c:v>
                </c:pt>
                <c:pt idx="69">
                  <c:v>0.12426443632762028</c:v>
                </c:pt>
                <c:pt idx="70">
                  <c:v>0.1277081921189237</c:v>
                </c:pt>
                <c:pt idx="71">
                  <c:v>0.13866633930309627</c:v>
                </c:pt>
                <c:pt idx="72">
                  <c:v>0.16157464043830982</c:v>
                </c:pt>
                <c:pt idx="73">
                  <c:v>0.16332397411375288</c:v>
                </c:pt>
                <c:pt idx="74">
                  <c:v>0.18137921906144058</c:v>
                </c:pt>
                <c:pt idx="75">
                  <c:v>0.18309568775791238</c:v>
                </c:pt>
                <c:pt idx="76">
                  <c:v>0.18543043772318749</c:v>
                </c:pt>
                <c:pt idx="77">
                  <c:v>0.19635536876916188</c:v>
                </c:pt>
                <c:pt idx="78">
                  <c:v>0.21763237395833981</c:v>
                </c:pt>
                <c:pt idx="79">
                  <c:v>0.23772334761673586</c:v>
                </c:pt>
                <c:pt idx="80">
                  <c:v>0.24415267274505331</c:v>
                </c:pt>
                <c:pt idx="81">
                  <c:v>0.2608781451098951</c:v>
                </c:pt>
                <c:pt idx="82">
                  <c:v>0.29920816368512815</c:v>
                </c:pt>
                <c:pt idx="83">
                  <c:v>0.33414653806962513</c:v>
                </c:pt>
                <c:pt idx="84">
                  <c:v>0.35412165293648273</c:v>
                </c:pt>
                <c:pt idx="85">
                  <c:v>0.4212840029963717</c:v>
                </c:pt>
                <c:pt idx="86">
                  <c:v>0.49604913228863889</c:v>
                </c:pt>
                <c:pt idx="87">
                  <c:v>0.57837531101313888</c:v>
                </c:pt>
                <c:pt idx="88">
                  <c:v>0.72760215506968506</c:v>
                </c:pt>
                <c:pt idx="89">
                  <c:v>0.98782414110644179</c:v>
                </c:pt>
                <c:pt idx="90">
                  <c:v>1.6725604648419574</c:v>
                </c:pt>
                <c:pt idx="91">
                  <c:v>4.8493048568455395</c:v>
                </c:pt>
                <c:pt idx="92">
                  <c:v>21.653946157238348</c:v>
                </c:pt>
                <c:pt idx="93">
                  <c:v>101.52027881647878</c:v>
                </c:pt>
                <c:pt idx="94">
                  <c:v>364.82792803699107</c:v>
                </c:pt>
                <c:pt idx="95">
                  <c:v>1000.2904761592704</c:v>
                </c:pt>
                <c:pt idx="96">
                  <c:v>2057.9164434623472</c:v>
                </c:pt>
                <c:pt idx="97">
                  <c:v>3503.748661309548</c:v>
                </c:pt>
                <c:pt idx="98">
                  <c:v>5163.9457273206199</c:v>
                </c:pt>
                <c:pt idx="99">
                  <c:v>6720.1313656690145</c:v>
                </c:pt>
                <c:pt idx="100">
                  <c:v>7885.8609392296958</c:v>
                </c:pt>
                <c:pt idx="101">
                  <c:v>8565.9493783493726</c:v>
                </c:pt>
                <c:pt idx="102">
                  <c:v>8817.2211807466119</c:v>
                </c:pt>
                <c:pt idx="103">
                  <c:v>8891.8067816101375</c:v>
                </c:pt>
                <c:pt idx="104">
                  <c:v>8850.0762465228581</c:v>
                </c:pt>
                <c:pt idx="105">
                  <c:v>8804.1611698254383</c:v>
                </c:pt>
                <c:pt idx="106">
                  <c:v>8727.6170888412435</c:v>
                </c:pt>
                <c:pt idx="107">
                  <c:v>8625.7542474102047</c:v>
                </c:pt>
                <c:pt idx="108">
                  <c:v>8499.2691601378283</c:v>
                </c:pt>
                <c:pt idx="109">
                  <c:v>8355.7603495793355</c:v>
                </c:pt>
                <c:pt idx="110">
                  <c:v>8119.4800610910679</c:v>
                </c:pt>
                <c:pt idx="111">
                  <c:v>7842.6858327575728</c:v>
                </c:pt>
                <c:pt idx="112">
                  <c:v>7435.6609132433177</c:v>
                </c:pt>
                <c:pt idx="113">
                  <c:v>6860.8435712142655</c:v>
                </c:pt>
                <c:pt idx="114">
                  <c:v>5948.55873472851</c:v>
                </c:pt>
                <c:pt idx="115">
                  <c:v>4759.6869602631041</c:v>
                </c:pt>
                <c:pt idx="116">
                  <c:v>3465.0981456628688</c:v>
                </c:pt>
                <c:pt idx="117">
                  <c:v>2184.6675529462018</c:v>
                </c:pt>
                <c:pt idx="118">
                  <c:v>1134.3795245553224</c:v>
                </c:pt>
                <c:pt idx="119">
                  <c:v>462.97809260970456</c:v>
                </c:pt>
                <c:pt idx="120">
                  <c:v>152.03359901846341</c:v>
                </c:pt>
                <c:pt idx="121">
                  <c:v>54.777687041822254</c:v>
                </c:pt>
                <c:pt idx="122">
                  <c:v>19.795014252381481</c:v>
                </c:pt>
                <c:pt idx="123">
                  <c:v>11.68208694082074</c:v>
                </c:pt>
                <c:pt idx="124">
                  <c:v>8.3938074963722418</c:v>
                </c:pt>
                <c:pt idx="125">
                  <c:v>6.6274451190429851</c:v>
                </c:pt>
                <c:pt idx="126">
                  <c:v>5.2289393279741603</c:v>
                </c:pt>
                <c:pt idx="127">
                  <c:v>3.9016917680207932</c:v>
                </c:pt>
                <c:pt idx="128">
                  <c:v>2.7500523414719016</c:v>
                </c:pt>
                <c:pt idx="129">
                  <c:v>1.8311484021407114</c:v>
                </c:pt>
                <c:pt idx="130">
                  <c:v>1.1299358181470172</c:v>
                </c:pt>
                <c:pt idx="131">
                  <c:v>0.64940295839637685</c:v>
                </c:pt>
                <c:pt idx="132">
                  <c:v>0.41555128944671765</c:v>
                </c:pt>
                <c:pt idx="133">
                  <c:v>0.2984670175075394</c:v>
                </c:pt>
                <c:pt idx="134">
                  <c:v>0.2496915689219803</c:v>
                </c:pt>
                <c:pt idx="135">
                  <c:v>0.23257888336486021</c:v>
                </c:pt>
                <c:pt idx="136">
                  <c:v>0.20304949772793668</c:v>
                </c:pt>
                <c:pt idx="137">
                  <c:v>0.20665993191636101</c:v>
                </c:pt>
                <c:pt idx="138">
                  <c:v>0.18167407469140279</c:v>
                </c:pt>
                <c:pt idx="139">
                  <c:v>0.17534270342053529</c:v>
                </c:pt>
                <c:pt idx="140">
                  <c:v>0.16807247423467708</c:v>
                </c:pt>
                <c:pt idx="141">
                  <c:v>0.16702538180011819</c:v>
                </c:pt>
                <c:pt idx="142">
                  <c:v>0.14910634252812832</c:v>
                </c:pt>
                <c:pt idx="143">
                  <c:v>0.13989832017019943</c:v>
                </c:pt>
                <c:pt idx="144">
                  <c:v>0.13733851688135618</c:v>
                </c:pt>
                <c:pt idx="145">
                  <c:v>0.14435579106208415</c:v>
                </c:pt>
                <c:pt idx="146">
                  <c:v>0.13877852966311727</c:v>
                </c:pt>
                <c:pt idx="147">
                  <c:v>0.12903161742258218</c:v>
                </c:pt>
                <c:pt idx="148">
                  <c:v>0.1186891862311303</c:v>
                </c:pt>
                <c:pt idx="149">
                  <c:v>0.11510482212468154</c:v>
                </c:pt>
                <c:pt idx="150">
                  <c:v>9.9866487742095778E-2</c:v>
                </c:pt>
                <c:pt idx="151">
                  <c:v>0.10908445846881955</c:v>
                </c:pt>
                <c:pt idx="152">
                  <c:v>0.10537089602733246</c:v>
                </c:pt>
                <c:pt idx="153">
                  <c:v>0.10013912412204033</c:v>
                </c:pt>
                <c:pt idx="154">
                  <c:v>9.6372440355918992E-2</c:v>
                </c:pt>
                <c:pt idx="155">
                  <c:v>8.9774240589306983E-2</c:v>
                </c:pt>
                <c:pt idx="156">
                  <c:v>8.3996358541371774E-2</c:v>
                </c:pt>
                <c:pt idx="157">
                  <c:v>8.6276534182171308E-2</c:v>
                </c:pt>
                <c:pt idx="158">
                  <c:v>8.0562696070183459E-2</c:v>
                </c:pt>
                <c:pt idx="159">
                  <c:v>7.8544623568538668E-2</c:v>
                </c:pt>
                <c:pt idx="160">
                  <c:v>8.435094174648855E-2</c:v>
                </c:pt>
                <c:pt idx="161">
                  <c:v>7.7978956425532431E-2</c:v>
                </c:pt>
                <c:pt idx="162">
                  <c:v>6.7875189714765638E-2</c:v>
                </c:pt>
                <c:pt idx="163">
                  <c:v>7.4535843203626814E-2</c:v>
                </c:pt>
                <c:pt idx="164">
                  <c:v>6.5294843198189956E-2</c:v>
                </c:pt>
                <c:pt idx="165">
                  <c:v>6.67553038389328E-2</c:v>
                </c:pt>
                <c:pt idx="166">
                  <c:v>6.0976901400668325E-2</c:v>
                </c:pt>
                <c:pt idx="167">
                  <c:v>6.2753214280364358E-2</c:v>
                </c:pt>
                <c:pt idx="168">
                  <c:v>6.4171506966380756E-2</c:v>
                </c:pt>
                <c:pt idx="169">
                  <c:v>5.5503458429167138E-2</c:v>
                </c:pt>
                <c:pt idx="170">
                  <c:v>5.95560242942322E-2</c:v>
                </c:pt>
                <c:pt idx="171">
                  <c:v>4.65604575394944E-2</c:v>
                </c:pt>
                <c:pt idx="172">
                  <c:v>4.7432972365521381E-2</c:v>
                </c:pt>
                <c:pt idx="173">
                  <c:v>5.1771168312435473E-2</c:v>
                </c:pt>
                <c:pt idx="174">
                  <c:v>4.8285785231535254E-2</c:v>
                </c:pt>
                <c:pt idx="175">
                  <c:v>4.0790555684532784E-2</c:v>
                </c:pt>
                <c:pt idx="176">
                  <c:v>4.8572355824309736E-2</c:v>
                </c:pt>
                <c:pt idx="177">
                  <c:v>3.4130913979886421E-2</c:v>
                </c:pt>
                <c:pt idx="178">
                  <c:v>4.3103344781948133E-2</c:v>
                </c:pt>
                <c:pt idx="179">
                  <c:v>4.3405539605948888E-2</c:v>
                </c:pt>
                <c:pt idx="180">
                  <c:v>3.876770653517355E-2</c:v>
                </c:pt>
                <c:pt idx="181">
                  <c:v>3.5318058658953051E-2</c:v>
                </c:pt>
                <c:pt idx="182">
                  <c:v>4.1078932967194684E-2</c:v>
                </c:pt>
                <c:pt idx="183">
                  <c:v>3.9639100170436557E-2</c:v>
                </c:pt>
                <c:pt idx="184">
                  <c:v>3.8480983710507732E-2</c:v>
                </c:pt>
                <c:pt idx="185">
                  <c:v>3.7336674840311189E-2</c:v>
                </c:pt>
                <c:pt idx="186">
                  <c:v>3.5022196257557051E-2</c:v>
                </c:pt>
                <c:pt idx="187">
                  <c:v>3.1832404589167806E-2</c:v>
                </c:pt>
                <c:pt idx="188">
                  <c:v>3.4450371677533058E-2</c:v>
                </c:pt>
                <c:pt idx="189">
                  <c:v>3.1856308817606184E-2</c:v>
                </c:pt>
                <c:pt idx="190">
                  <c:v>3.4462850856800051E-2</c:v>
                </c:pt>
                <c:pt idx="191">
                  <c:v>3.2419305742883181E-2</c:v>
                </c:pt>
                <c:pt idx="192">
                  <c:v>3.7928306120690536E-2</c:v>
                </c:pt>
                <c:pt idx="193">
                  <c:v>2.5770927151090604E-2</c:v>
                </c:pt>
                <c:pt idx="194">
                  <c:v>3.1552696012873964E-2</c:v>
                </c:pt>
                <c:pt idx="195">
                  <c:v>2.9829535787261541E-2</c:v>
                </c:pt>
                <c:pt idx="196">
                  <c:v>2.3733114757134983E-2</c:v>
                </c:pt>
                <c:pt idx="197">
                  <c:v>2.9249482038008919E-2</c:v>
                </c:pt>
                <c:pt idx="198">
                  <c:v>5.0947171604084435E-2</c:v>
                </c:pt>
                <c:pt idx="199">
                  <c:v>2.4318346611826091E-2</c:v>
                </c:pt>
                <c:pt idx="200">
                  <c:v>2.1716270440765299E-2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62-4A68-B1B7-0DA693B5C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404048"/>
        <c:axId val="1371401168"/>
      </c:scatterChart>
      <c:valAx>
        <c:axId val="1371404048"/>
        <c:scaling>
          <c:orientation val="minMax"/>
          <c:max val="35.15"/>
          <c:min val="34.299999999999997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1401168"/>
        <c:crosses val="autoZero"/>
        <c:crossBetween val="midCat"/>
      </c:valAx>
      <c:valAx>
        <c:axId val="1371401168"/>
        <c:scaling>
          <c:logBase val="10"/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14040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7381911162352954"/>
          <c:y val="0.25199201002895477"/>
          <c:w val="0.14377520957327264"/>
          <c:h val="0.12702987051860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Si_TEOS_</a:t>
            </a:r>
            <a:r>
              <a:rPr lang="en-US" altLang="ja-JP" sz="1400" b="0" i="0" u="none" strike="noStrike" baseline="0">
                <a:effectLst/>
              </a:rPr>
              <a:t>ω</a:t>
            </a:r>
            <a:r>
              <a:rPr lang="ja-JP" altLang="en-US" sz="1400" b="0" i="0" u="none" strike="noStrike" baseline="0">
                <a:effectLst/>
              </a:rPr>
              <a:t>０</a:t>
            </a:r>
            <a:r>
              <a:rPr lang="en-US" altLang="zh-CN" sz="1400" b="0" i="0" u="none" strike="noStrike" baseline="0">
                <a:effectLst/>
              </a:rPr>
              <a:t>.VS.-2</a:t>
            </a:r>
            <a:r>
              <a:rPr lang="zh-CN" altLang="en-US" sz="1400" b="0" i="0" u="none" strike="noStrike" baseline="0">
                <a:effectLst/>
              </a:rPr>
              <a:t>（</a:t>
            </a:r>
            <a:r>
              <a:rPr lang="en-US" altLang="zh-CN" sz="1400" b="0" i="0" u="none" strike="noStrike" baseline="0">
                <a:effectLst/>
              </a:rPr>
              <a:t>90deg</a:t>
            </a:r>
            <a:r>
              <a:rPr lang="zh-CN" altLang="en-US" sz="1400" b="0" i="0" u="none" strike="noStrike" baseline="0">
                <a:effectLst/>
              </a:rPr>
              <a:t>）</a:t>
            </a:r>
            <a:r>
              <a:rPr lang="en-US" altLang="zh-CN" sz="1400" b="0" i="0" u="none" strike="noStrike" baseline="0">
                <a:effectLst/>
              </a:rPr>
              <a:t>in SameX-L</a:t>
            </a:r>
            <a:endParaRPr lang="zh-CN" altLang="en-US"/>
          </a:p>
        </c:rich>
      </c:tx>
      <c:layout>
        <c:manualLayout>
          <c:xMode val="edge"/>
          <c:yMode val="edge"/>
          <c:x val="0.26667201186978468"/>
          <c:y val="2.8033293398766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72265898559834"/>
          <c:y val="0.14878535251005415"/>
          <c:w val="0.80583452384283938"/>
          <c:h val="0.69073345138955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ω!$A$1</c:f>
              <c:strCache>
                <c:ptCount val="1"/>
                <c:pt idx="0">
                  <c:v>Si_TEOS_omega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ω!$A$20:$A$220</c:f>
              <c:numCache>
                <c:formatCode>General</c:formatCode>
                <c:ptCount val="201"/>
                <c:pt idx="0">
                  <c:v>34.930599999999998</c:v>
                </c:pt>
                <c:pt idx="1">
                  <c:v>34.931600000000003</c:v>
                </c:pt>
                <c:pt idx="2">
                  <c:v>34.932600000000001</c:v>
                </c:pt>
                <c:pt idx="3">
                  <c:v>34.933599999999998</c:v>
                </c:pt>
                <c:pt idx="4">
                  <c:v>34.934600000000003</c:v>
                </c:pt>
                <c:pt idx="5">
                  <c:v>34.935600000000001</c:v>
                </c:pt>
                <c:pt idx="6">
                  <c:v>34.936599999999999</c:v>
                </c:pt>
                <c:pt idx="7">
                  <c:v>34.937600000000003</c:v>
                </c:pt>
                <c:pt idx="8">
                  <c:v>34.938600000000001</c:v>
                </c:pt>
                <c:pt idx="9">
                  <c:v>34.939599999999999</c:v>
                </c:pt>
                <c:pt idx="10">
                  <c:v>34.940600000000003</c:v>
                </c:pt>
                <c:pt idx="11">
                  <c:v>34.941600000000001</c:v>
                </c:pt>
                <c:pt idx="12">
                  <c:v>34.942599999999999</c:v>
                </c:pt>
                <c:pt idx="13">
                  <c:v>34.943600000000004</c:v>
                </c:pt>
                <c:pt idx="14">
                  <c:v>34.944600000000001</c:v>
                </c:pt>
                <c:pt idx="15">
                  <c:v>34.945599999999999</c:v>
                </c:pt>
                <c:pt idx="16">
                  <c:v>34.946599999999997</c:v>
                </c:pt>
                <c:pt idx="17">
                  <c:v>34.947600000000001</c:v>
                </c:pt>
                <c:pt idx="18">
                  <c:v>34.948599999999999</c:v>
                </c:pt>
                <c:pt idx="19">
                  <c:v>34.949599999999997</c:v>
                </c:pt>
                <c:pt idx="20">
                  <c:v>34.950600000000001</c:v>
                </c:pt>
                <c:pt idx="21">
                  <c:v>34.951599999999999</c:v>
                </c:pt>
                <c:pt idx="22">
                  <c:v>34.952599999999997</c:v>
                </c:pt>
                <c:pt idx="23">
                  <c:v>34.953600000000002</c:v>
                </c:pt>
                <c:pt idx="24">
                  <c:v>34.954599999999999</c:v>
                </c:pt>
                <c:pt idx="25">
                  <c:v>34.955599999999997</c:v>
                </c:pt>
                <c:pt idx="26">
                  <c:v>34.956600000000002</c:v>
                </c:pt>
                <c:pt idx="27">
                  <c:v>34.957599999999999</c:v>
                </c:pt>
                <c:pt idx="28">
                  <c:v>34.958599999999997</c:v>
                </c:pt>
                <c:pt idx="29">
                  <c:v>34.959600000000002</c:v>
                </c:pt>
                <c:pt idx="30">
                  <c:v>34.960599999999999</c:v>
                </c:pt>
                <c:pt idx="31">
                  <c:v>34.961599999999997</c:v>
                </c:pt>
                <c:pt idx="32">
                  <c:v>34.962600000000002</c:v>
                </c:pt>
                <c:pt idx="33">
                  <c:v>34.9636</c:v>
                </c:pt>
                <c:pt idx="34">
                  <c:v>34.964599999999997</c:v>
                </c:pt>
                <c:pt idx="35">
                  <c:v>34.965600000000002</c:v>
                </c:pt>
                <c:pt idx="36">
                  <c:v>34.9666</c:v>
                </c:pt>
                <c:pt idx="37">
                  <c:v>34.967599999999997</c:v>
                </c:pt>
                <c:pt idx="38">
                  <c:v>34.968600000000002</c:v>
                </c:pt>
                <c:pt idx="39">
                  <c:v>34.9696</c:v>
                </c:pt>
                <c:pt idx="40">
                  <c:v>34.970599999999997</c:v>
                </c:pt>
                <c:pt idx="41">
                  <c:v>34.971600000000002</c:v>
                </c:pt>
                <c:pt idx="42">
                  <c:v>34.9726</c:v>
                </c:pt>
                <c:pt idx="43">
                  <c:v>34.973599999999998</c:v>
                </c:pt>
                <c:pt idx="44">
                  <c:v>34.974600000000002</c:v>
                </c:pt>
                <c:pt idx="45">
                  <c:v>34.9756</c:v>
                </c:pt>
                <c:pt idx="46">
                  <c:v>34.976599999999998</c:v>
                </c:pt>
                <c:pt idx="47">
                  <c:v>34.977600000000002</c:v>
                </c:pt>
                <c:pt idx="48">
                  <c:v>34.9786</c:v>
                </c:pt>
                <c:pt idx="49">
                  <c:v>34.979599999999998</c:v>
                </c:pt>
                <c:pt idx="50">
                  <c:v>34.980600000000003</c:v>
                </c:pt>
                <c:pt idx="51">
                  <c:v>34.9816</c:v>
                </c:pt>
                <c:pt idx="52">
                  <c:v>34.982599999999998</c:v>
                </c:pt>
                <c:pt idx="53">
                  <c:v>34.983600000000003</c:v>
                </c:pt>
                <c:pt idx="54">
                  <c:v>34.9846</c:v>
                </c:pt>
                <c:pt idx="55">
                  <c:v>34.985599999999998</c:v>
                </c:pt>
                <c:pt idx="56">
                  <c:v>34.986600000000003</c:v>
                </c:pt>
                <c:pt idx="57">
                  <c:v>34.9876</c:v>
                </c:pt>
                <c:pt idx="58">
                  <c:v>34.988599999999998</c:v>
                </c:pt>
                <c:pt idx="59">
                  <c:v>34.989600000000003</c:v>
                </c:pt>
                <c:pt idx="60">
                  <c:v>34.990600000000001</c:v>
                </c:pt>
                <c:pt idx="61">
                  <c:v>34.991599999999998</c:v>
                </c:pt>
                <c:pt idx="62">
                  <c:v>34.992600000000003</c:v>
                </c:pt>
                <c:pt idx="63">
                  <c:v>34.993600000000001</c:v>
                </c:pt>
                <c:pt idx="64">
                  <c:v>34.994599999999998</c:v>
                </c:pt>
                <c:pt idx="65">
                  <c:v>34.995600000000003</c:v>
                </c:pt>
                <c:pt idx="66">
                  <c:v>34.996600000000001</c:v>
                </c:pt>
                <c:pt idx="67">
                  <c:v>34.997599999999998</c:v>
                </c:pt>
                <c:pt idx="68">
                  <c:v>34.998600000000003</c:v>
                </c:pt>
                <c:pt idx="69">
                  <c:v>34.999600000000001</c:v>
                </c:pt>
                <c:pt idx="70">
                  <c:v>35.000599999999999</c:v>
                </c:pt>
                <c:pt idx="71">
                  <c:v>35.001600000000003</c:v>
                </c:pt>
                <c:pt idx="72">
                  <c:v>35.002600000000001</c:v>
                </c:pt>
                <c:pt idx="73">
                  <c:v>35.003599999999999</c:v>
                </c:pt>
                <c:pt idx="74">
                  <c:v>35.004600000000003</c:v>
                </c:pt>
                <c:pt idx="75">
                  <c:v>35.005600000000001</c:v>
                </c:pt>
                <c:pt idx="76">
                  <c:v>35.006599999999999</c:v>
                </c:pt>
                <c:pt idx="77">
                  <c:v>35.007599999999996</c:v>
                </c:pt>
                <c:pt idx="78">
                  <c:v>35.008600000000001</c:v>
                </c:pt>
                <c:pt idx="79">
                  <c:v>35.009599999999999</c:v>
                </c:pt>
                <c:pt idx="80">
                  <c:v>35.010599999999997</c:v>
                </c:pt>
                <c:pt idx="81">
                  <c:v>35.011600000000001</c:v>
                </c:pt>
                <c:pt idx="82">
                  <c:v>35.012599999999999</c:v>
                </c:pt>
                <c:pt idx="83">
                  <c:v>35.013599999999997</c:v>
                </c:pt>
                <c:pt idx="84">
                  <c:v>35.014600000000002</c:v>
                </c:pt>
                <c:pt idx="85">
                  <c:v>35.015599999999999</c:v>
                </c:pt>
                <c:pt idx="86">
                  <c:v>35.016599999999997</c:v>
                </c:pt>
                <c:pt idx="87">
                  <c:v>35.017600000000002</c:v>
                </c:pt>
                <c:pt idx="88">
                  <c:v>35.018599999999999</c:v>
                </c:pt>
                <c:pt idx="89">
                  <c:v>35.019599999999997</c:v>
                </c:pt>
                <c:pt idx="90">
                  <c:v>35.020600000000002</c:v>
                </c:pt>
                <c:pt idx="91">
                  <c:v>35.021599999999999</c:v>
                </c:pt>
                <c:pt idx="92">
                  <c:v>35.022599999999997</c:v>
                </c:pt>
                <c:pt idx="93">
                  <c:v>35.023600000000002</c:v>
                </c:pt>
                <c:pt idx="94">
                  <c:v>35.0246</c:v>
                </c:pt>
                <c:pt idx="95">
                  <c:v>35.025599999999997</c:v>
                </c:pt>
                <c:pt idx="96">
                  <c:v>35.026600000000002</c:v>
                </c:pt>
                <c:pt idx="97">
                  <c:v>35.0276</c:v>
                </c:pt>
                <c:pt idx="98">
                  <c:v>35.028599999999997</c:v>
                </c:pt>
                <c:pt idx="99">
                  <c:v>35.029600000000002</c:v>
                </c:pt>
                <c:pt idx="100">
                  <c:v>35.0306</c:v>
                </c:pt>
                <c:pt idx="101">
                  <c:v>35.031599999999997</c:v>
                </c:pt>
                <c:pt idx="102">
                  <c:v>35.032600000000002</c:v>
                </c:pt>
                <c:pt idx="103">
                  <c:v>35.0336</c:v>
                </c:pt>
                <c:pt idx="104">
                  <c:v>35.034599999999998</c:v>
                </c:pt>
                <c:pt idx="105">
                  <c:v>35.035600000000002</c:v>
                </c:pt>
                <c:pt idx="106">
                  <c:v>35.0366</c:v>
                </c:pt>
                <c:pt idx="107">
                  <c:v>35.037599999999998</c:v>
                </c:pt>
                <c:pt idx="108">
                  <c:v>35.038600000000002</c:v>
                </c:pt>
                <c:pt idx="109">
                  <c:v>35.0396</c:v>
                </c:pt>
                <c:pt idx="110">
                  <c:v>35.040599999999998</c:v>
                </c:pt>
                <c:pt idx="111">
                  <c:v>35.041600000000003</c:v>
                </c:pt>
                <c:pt idx="112">
                  <c:v>35.0426</c:v>
                </c:pt>
                <c:pt idx="113">
                  <c:v>35.043599999999998</c:v>
                </c:pt>
                <c:pt idx="114">
                  <c:v>35.044600000000003</c:v>
                </c:pt>
                <c:pt idx="115">
                  <c:v>35.0456</c:v>
                </c:pt>
                <c:pt idx="116">
                  <c:v>35.046599999999998</c:v>
                </c:pt>
                <c:pt idx="117">
                  <c:v>35.047600000000003</c:v>
                </c:pt>
                <c:pt idx="118">
                  <c:v>35.0486</c:v>
                </c:pt>
                <c:pt idx="119">
                  <c:v>35.049599999999998</c:v>
                </c:pt>
                <c:pt idx="120">
                  <c:v>35.050600000000003</c:v>
                </c:pt>
                <c:pt idx="121">
                  <c:v>35.051600000000001</c:v>
                </c:pt>
                <c:pt idx="122">
                  <c:v>35.052599999999998</c:v>
                </c:pt>
                <c:pt idx="123">
                  <c:v>35.053600000000003</c:v>
                </c:pt>
                <c:pt idx="124">
                  <c:v>35.054600000000001</c:v>
                </c:pt>
                <c:pt idx="125">
                  <c:v>35.055599999999998</c:v>
                </c:pt>
                <c:pt idx="126">
                  <c:v>35.056600000000003</c:v>
                </c:pt>
                <c:pt idx="127">
                  <c:v>35.057600000000001</c:v>
                </c:pt>
                <c:pt idx="128">
                  <c:v>35.058599999999998</c:v>
                </c:pt>
                <c:pt idx="129">
                  <c:v>35.059600000000003</c:v>
                </c:pt>
                <c:pt idx="130">
                  <c:v>35.060600000000001</c:v>
                </c:pt>
                <c:pt idx="131">
                  <c:v>35.061599999999999</c:v>
                </c:pt>
                <c:pt idx="132">
                  <c:v>35.062600000000003</c:v>
                </c:pt>
                <c:pt idx="133">
                  <c:v>35.063600000000001</c:v>
                </c:pt>
                <c:pt idx="134">
                  <c:v>35.064599999999999</c:v>
                </c:pt>
                <c:pt idx="135">
                  <c:v>35.065600000000003</c:v>
                </c:pt>
                <c:pt idx="136">
                  <c:v>35.066600000000001</c:v>
                </c:pt>
                <c:pt idx="137">
                  <c:v>35.067599999999999</c:v>
                </c:pt>
                <c:pt idx="138">
                  <c:v>35.068600000000004</c:v>
                </c:pt>
                <c:pt idx="139">
                  <c:v>35.069600000000001</c:v>
                </c:pt>
                <c:pt idx="140">
                  <c:v>35.070599999999999</c:v>
                </c:pt>
                <c:pt idx="141">
                  <c:v>35.071599999999997</c:v>
                </c:pt>
                <c:pt idx="142">
                  <c:v>35.072600000000001</c:v>
                </c:pt>
                <c:pt idx="143">
                  <c:v>35.073599999999999</c:v>
                </c:pt>
                <c:pt idx="144">
                  <c:v>35.074599999999997</c:v>
                </c:pt>
                <c:pt idx="145">
                  <c:v>35.075600000000001</c:v>
                </c:pt>
                <c:pt idx="146">
                  <c:v>35.076599999999999</c:v>
                </c:pt>
                <c:pt idx="147">
                  <c:v>35.077599999999997</c:v>
                </c:pt>
                <c:pt idx="148">
                  <c:v>35.078600000000002</c:v>
                </c:pt>
                <c:pt idx="149">
                  <c:v>35.079599999999999</c:v>
                </c:pt>
                <c:pt idx="150">
                  <c:v>35.080599999999997</c:v>
                </c:pt>
                <c:pt idx="151">
                  <c:v>35.081600000000002</c:v>
                </c:pt>
                <c:pt idx="152">
                  <c:v>35.082599999999999</c:v>
                </c:pt>
                <c:pt idx="153">
                  <c:v>35.083599999999997</c:v>
                </c:pt>
                <c:pt idx="154">
                  <c:v>35.084600000000002</c:v>
                </c:pt>
                <c:pt idx="155">
                  <c:v>35.085599999999999</c:v>
                </c:pt>
                <c:pt idx="156">
                  <c:v>35.086599999999997</c:v>
                </c:pt>
                <c:pt idx="157">
                  <c:v>35.087600000000002</c:v>
                </c:pt>
                <c:pt idx="158">
                  <c:v>35.0886</c:v>
                </c:pt>
                <c:pt idx="159">
                  <c:v>35.089599999999997</c:v>
                </c:pt>
                <c:pt idx="160">
                  <c:v>35.090600000000002</c:v>
                </c:pt>
                <c:pt idx="161">
                  <c:v>35.0916</c:v>
                </c:pt>
                <c:pt idx="162">
                  <c:v>35.092599999999997</c:v>
                </c:pt>
                <c:pt idx="163">
                  <c:v>35.093600000000002</c:v>
                </c:pt>
                <c:pt idx="164">
                  <c:v>35.0946</c:v>
                </c:pt>
                <c:pt idx="165">
                  <c:v>35.095599999999997</c:v>
                </c:pt>
                <c:pt idx="166">
                  <c:v>35.096600000000002</c:v>
                </c:pt>
                <c:pt idx="167">
                  <c:v>35.0976</c:v>
                </c:pt>
                <c:pt idx="168">
                  <c:v>35.098599999999998</c:v>
                </c:pt>
                <c:pt idx="169">
                  <c:v>35.099600000000002</c:v>
                </c:pt>
                <c:pt idx="170">
                  <c:v>35.1006</c:v>
                </c:pt>
                <c:pt idx="171">
                  <c:v>35.101599999999998</c:v>
                </c:pt>
                <c:pt idx="172">
                  <c:v>35.102600000000002</c:v>
                </c:pt>
                <c:pt idx="173">
                  <c:v>35.1036</c:v>
                </c:pt>
                <c:pt idx="174">
                  <c:v>35.104599999999998</c:v>
                </c:pt>
                <c:pt idx="175">
                  <c:v>35.105600000000003</c:v>
                </c:pt>
                <c:pt idx="176">
                  <c:v>35.1066</c:v>
                </c:pt>
                <c:pt idx="177">
                  <c:v>35.107599999999998</c:v>
                </c:pt>
                <c:pt idx="178">
                  <c:v>35.108600000000003</c:v>
                </c:pt>
                <c:pt idx="179">
                  <c:v>35.1096</c:v>
                </c:pt>
                <c:pt idx="180">
                  <c:v>35.110599999999998</c:v>
                </c:pt>
                <c:pt idx="181">
                  <c:v>35.111600000000003</c:v>
                </c:pt>
                <c:pt idx="182">
                  <c:v>35.1126</c:v>
                </c:pt>
                <c:pt idx="183">
                  <c:v>35.113599999999998</c:v>
                </c:pt>
                <c:pt idx="184">
                  <c:v>35.114600000000003</c:v>
                </c:pt>
                <c:pt idx="185">
                  <c:v>35.115600000000001</c:v>
                </c:pt>
                <c:pt idx="186">
                  <c:v>35.116599999999998</c:v>
                </c:pt>
                <c:pt idx="187">
                  <c:v>35.117600000000003</c:v>
                </c:pt>
                <c:pt idx="188">
                  <c:v>35.118600000000001</c:v>
                </c:pt>
                <c:pt idx="189">
                  <c:v>35.119599999999998</c:v>
                </c:pt>
                <c:pt idx="190">
                  <c:v>35.120600000000003</c:v>
                </c:pt>
                <c:pt idx="191">
                  <c:v>35.121600000000001</c:v>
                </c:pt>
                <c:pt idx="192">
                  <c:v>35.122599999999998</c:v>
                </c:pt>
                <c:pt idx="193">
                  <c:v>35.123600000000003</c:v>
                </c:pt>
                <c:pt idx="194">
                  <c:v>35.124600000000001</c:v>
                </c:pt>
                <c:pt idx="195">
                  <c:v>35.125599999999999</c:v>
                </c:pt>
                <c:pt idx="196">
                  <c:v>35.126600000000003</c:v>
                </c:pt>
                <c:pt idx="197">
                  <c:v>35.127600000000001</c:v>
                </c:pt>
                <c:pt idx="198">
                  <c:v>35.128599999999999</c:v>
                </c:pt>
                <c:pt idx="199">
                  <c:v>35.129600000000003</c:v>
                </c:pt>
                <c:pt idx="200">
                  <c:v>35.130600000000001</c:v>
                </c:pt>
              </c:numCache>
            </c:numRef>
          </c:xVal>
          <c:yVal>
            <c:numRef>
              <c:f>ω!$E$20:$E$220</c:f>
              <c:numCache>
                <c:formatCode>0.00E+00</c:formatCode>
                <c:ptCount val="201"/>
                <c:pt idx="0">
                  <c:v>2.4868763794446764E-2</c:v>
                </c:pt>
                <c:pt idx="1">
                  <c:v>2.2090529424759135E-2</c:v>
                </c:pt>
                <c:pt idx="2">
                  <c:v>2.157438369032269E-2</c:v>
                </c:pt>
                <c:pt idx="3">
                  <c:v>2.7487906495467115E-2</c:v>
                </c:pt>
                <c:pt idx="4">
                  <c:v>2.2268677544486512E-2</c:v>
                </c:pt>
                <c:pt idx="5">
                  <c:v>2.7159525231999798E-2</c:v>
                </c:pt>
                <c:pt idx="6">
                  <c:v>2.6115265469508077E-2</c:v>
                </c:pt>
                <c:pt idx="7">
                  <c:v>2.6295811897385103E-2</c:v>
                </c:pt>
                <c:pt idx="8">
                  <c:v>2.3516411851247303E-2</c:v>
                </c:pt>
                <c:pt idx="9">
                  <c:v>2.6480598649681105E-2</c:v>
                </c:pt>
                <c:pt idx="10">
                  <c:v>2.5780335481247533E-2</c:v>
                </c:pt>
                <c:pt idx="11">
                  <c:v>3.2046770450132774E-2</c:v>
                </c:pt>
                <c:pt idx="12">
                  <c:v>2.6839326026181588E-2</c:v>
                </c:pt>
                <c:pt idx="13">
                  <c:v>2.6322569209661025E-2</c:v>
                </c:pt>
                <c:pt idx="14">
                  <c:v>3.0695785735462569E-2</c:v>
                </c:pt>
                <c:pt idx="15">
                  <c:v>3.5586794403488137E-2</c:v>
                </c:pt>
                <c:pt idx="16">
                  <c:v>3.1072212502651832E-2</c:v>
                </c:pt>
                <c:pt idx="17">
                  <c:v>3.2491349702195818E-2</c:v>
                </c:pt>
                <c:pt idx="18">
                  <c:v>3.3705350757614209E-2</c:v>
                </c:pt>
                <c:pt idx="19">
                  <c:v>3.1610514313721153E-2</c:v>
                </c:pt>
                <c:pt idx="20">
                  <c:v>3.249480262228864E-2</c:v>
                </c:pt>
                <c:pt idx="21">
                  <c:v>3.874896623605336E-2</c:v>
                </c:pt>
                <c:pt idx="22">
                  <c:v>3.8761775002248443E-2</c:v>
                </c:pt>
                <c:pt idx="23">
                  <c:v>3.6689744982161973E-2</c:v>
                </c:pt>
                <c:pt idx="24">
                  <c:v>3.8431761237302867E-2</c:v>
                </c:pt>
                <c:pt idx="25">
                  <c:v>3.6870550032593742E-2</c:v>
                </c:pt>
                <c:pt idx="26">
                  <c:v>4.1222727584914805E-2</c:v>
                </c:pt>
                <c:pt idx="27">
                  <c:v>3.5638334633200826E-2</c:v>
                </c:pt>
                <c:pt idx="28">
                  <c:v>3.9145659952137445E-2</c:v>
                </c:pt>
                <c:pt idx="29">
                  <c:v>3.8287845187870852E-2</c:v>
                </c:pt>
                <c:pt idx="30">
                  <c:v>4.005431995460744E-2</c:v>
                </c:pt>
                <c:pt idx="31">
                  <c:v>4.4777739306625451E-2</c:v>
                </c:pt>
                <c:pt idx="32">
                  <c:v>4.3895199110371971E-2</c:v>
                </c:pt>
                <c:pt idx="33">
                  <c:v>4.8802098273327536E-2</c:v>
                </c:pt>
                <c:pt idx="34">
                  <c:v>4.7401783199111369E-2</c:v>
                </c:pt>
                <c:pt idx="35">
                  <c:v>4.7893348155800208E-2</c:v>
                </c:pt>
                <c:pt idx="36">
                  <c:v>4.7035048664839325E-2</c:v>
                </c:pt>
                <c:pt idx="37">
                  <c:v>5.0176689256375341E-2</c:v>
                </c:pt>
                <c:pt idx="38">
                  <c:v>5.2122346749543767E-2</c:v>
                </c:pt>
                <c:pt idx="39">
                  <c:v>5.4917179296964963E-2</c:v>
                </c:pt>
                <c:pt idx="40">
                  <c:v>5.580868907348794E-2</c:v>
                </c:pt>
                <c:pt idx="41">
                  <c:v>5.9522455888126775E-2</c:v>
                </c:pt>
                <c:pt idx="42">
                  <c:v>6.3918896621849547E-2</c:v>
                </c:pt>
                <c:pt idx="43">
                  <c:v>6.0630131054831976E-2</c:v>
                </c:pt>
                <c:pt idx="44">
                  <c:v>6.1538456143900404E-2</c:v>
                </c:pt>
                <c:pt idx="45">
                  <c:v>6.3500768604883198E-2</c:v>
                </c:pt>
                <c:pt idx="46">
                  <c:v>6.6933144908624925E-2</c:v>
                </c:pt>
                <c:pt idx="47">
                  <c:v>7.2210647630417263E-2</c:v>
                </c:pt>
                <c:pt idx="48">
                  <c:v>6.9248256916797993E-2</c:v>
                </c:pt>
                <c:pt idx="49">
                  <c:v>7.9885420078622704E-2</c:v>
                </c:pt>
                <c:pt idx="50">
                  <c:v>7.9162265935083284E-2</c:v>
                </c:pt>
                <c:pt idx="51">
                  <c:v>7.8857733956451112E-2</c:v>
                </c:pt>
                <c:pt idx="52">
                  <c:v>7.3373547186212223E-2</c:v>
                </c:pt>
                <c:pt idx="53">
                  <c:v>8.5817874884066905E-2</c:v>
                </c:pt>
                <c:pt idx="54">
                  <c:v>9.0573946562249194E-2</c:v>
                </c:pt>
                <c:pt idx="55">
                  <c:v>9.5649200432355447E-2</c:v>
                </c:pt>
                <c:pt idx="56">
                  <c:v>9.7378709027820448E-2</c:v>
                </c:pt>
                <c:pt idx="57">
                  <c:v>8.933522569561908E-2</c:v>
                </c:pt>
                <c:pt idx="58">
                  <c:v>0.10251602049800808</c:v>
                </c:pt>
                <c:pt idx="59">
                  <c:v>0.10885026764349599</c:v>
                </c:pt>
                <c:pt idx="60">
                  <c:v>0.10452242535662745</c:v>
                </c:pt>
                <c:pt idx="61">
                  <c:v>0.11323264814999798</c:v>
                </c:pt>
                <c:pt idx="62">
                  <c:v>0.12701798729300107</c:v>
                </c:pt>
                <c:pt idx="63">
                  <c:v>0.12787602938886256</c:v>
                </c:pt>
                <c:pt idx="64">
                  <c:v>0.12842493805692787</c:v>
                </c:pt>
                <c:pt idx="65">
                  <c:v>0.13928942649572254</c:v>
                </c:pt>
                <c:pt idx="66">
                  <c:v>0.14152884125122522</c:v>
                </c:pt>
                <c:pt idx="67">
                  <c:v>0.14933826020751167</c:v>
                </c:pt>
                <c:pt idx="68">
                  <c:v>0.16981887017450989</c:v>
                </c:pt>
                <c:pt idx="69">
                  <c:v>0.16402115528704633</c:v>
                </c:pt>
                <c:pt idx="70">
                  <c:v>0.17324912301416928</c:v>
                </c:pt>
                <c:pt idx="71">
                  <c:v>0.17520249287315096</c:v>
                </c:pt>
                <c:pt idx="72">
                  <c:v>0.18941834283303807</c:v>
                </c:pt>
                <c:pt idx="73">
                  <c:v>0.19862329448724561</c:v>
                </c:pt>
                <c:pt idx="74">
                  <c:v>0.21020177646710375</c:v>
                </c:pt>
                <c:pt idx="75">
                  <c:v>0.21834072275635158</c:v>
                </c:pt>
                <c:pt idx="76">
                  <c:v>0.25336932374196719</c:v>
                </c:pt>
                <c:pt idx="77">
                  <c:v>0.26705874246632921</c:v>
                </c:pt>
                <c:pt idx="78">
                  <c:v>0.3113792152455207</c:v>
                </c:pt>
                <c:pt idx="79">
                  <c:v>0.35826982890582248</c:v>
                </c:pt>
                <c:pt idx="80">
                  <c:v>0.43844623872331495</c:v>
                </c:pt>
                <c:pt idx="81">
                  <c:v>0.54459014356944613</c:v>
                </c:pt>
                <c:pt idx="82">
                  <c:v>0.63862978634805967</c:v>
                </c:pt>
                <c:pt idx="83">
                  <c:v>0.80438641117589027</c:v>
                </c:pt>
                <c:pt idx="84">
                  <c:v>0.9619250248554525</c:v>
                </c:pt>
                <c:pt idx="85">
                  <c:v>1.1598815590202123</c:v>
                </c:pt>
                <c:pt idx="86">
                  <c:v>1.428768092343849</c:v>
                </c:pt>
                <c:pt idx="87">
                  <c:v>1.7382956667363865</c:v>
                </c:pt>
                <c:pt idx="88">
                  <c:v>2.1458456780463107</c:v>
                </c:pt>
                <c:pt idx="89">
                  <c:v>2.793500974328746</c:v>
                </c:pt>
                <c:pt idx="90">
                  <c:v>3.600012206663906</c:v>
                </c:pt>
                <c:pt idx="91">
                  <c:v>5.0344328458582135</c:v>
                </c:pt>
                <c:pt idx="92">
                  <c:v>7.991152081006426</c:v>
                </c:pt>
                <c:pt idx="93">
                  <c:v>26.01100563004815</c:v>
                </c:pt>
                <c:pt idx="94">
                  <c:v>192.55165171180286</c:v>
                </c:pt>
                <c:pt idx="95">
                  <c:v>1248.8622331261781</c:v>
                </c:pt>
                <c:pt idx="96">
                  <c:v>4236.628685814735</c:v>
                </c:pt>
                <c:pt idx="97">
                  <c:v>10279.526745940746</c:v>
                </c:pt>
                <c:pt idx="98">
                  <c:v>18120.07151591259</c:v>
                </c:pt>
                <c:pt idx="99">
                  <c:v>21369.391362351616</c:v>
                </c:pt>
                <c:pt idx="100">
                  <c:v>20939.632311172063</c:v>
                </c:pt>
                <c:pt idx="101">
                  <c:v>15582.28153026262</c:v>
                </c:pt>
                <c:pt idx="102">
                  <c:v>7343.2430301002196</c:v>
                </c:pt>
                <c:pt idx="103">
                  <c:v>1877.031523921584</c:v>
                </c:pt>
                <c:pt idx="104">
                  <c:v>466.07109582146103</c:v>
                </c:pt>
                <c:pt idx="105">
                  <c:v>149.73393002324343</c:v>
                </c:pt>
                <c:pt idx="106">
                  <c:v>39.789949648591524</c:v>
                </c:pt>
                <c:pt idx="107">
                  <c:v>22.775474356906184</c:v>
                </c:pt>
                <c:pt idx="108">
                  <c:v>16.800453432868334</c:v>
                </c:pt>
                <c:pt idx="109">
                  <c:v>13.080702455657109</c:v>
                </c:pt>
                <c:pt idx="110">
                  <c:v>10.53793039003317</c:v>
                </c:pt>
                <c:pt idx="111">
                  <c:v>8.7619385445977223</c:v>
                </c:pt>
                <c:pt idx="112">
                  <c:v>7.3348248210216553</c:v>
                </c:pt>
                <c:pt idx="113">
                  <c:v>6.1901806511934501</c:v>
                </c:pt>
                <c:pt idx="114">
                  <c:v>5.2625401003480148</c:v>
                </c:pt>
                <c:pt idx="115">
                  <c:v>4.5569048529625684</c:v>
                </c:pt>
                <c:pt idx="116">
                  <c:v>3.9527180376599076</c:v>
                </c:pt>
                <c:pt idx="117">
                  <c:v>3.4699823463605841</c:v>
                </c:pt>
                <c:pt idx="118">
                  <c:v>3.0984158559248693</c:v>
                </c:pt>
                <c:pt idx="119">
                  <c:v>2.7374224240248171</c:v>
                </c:pt>
                <c:pt idx="120">
                  <c:v>2.4710114196306461</c:v>
                </c:pt>
                <c:pt idx="121">
                  <c:v>2.2467301453540194</c:v>
                </c:pt>
                <c:pt idx="122">
                  <c:v>2.0544205594873763</c:v>
                </c:pt>
                <c:pt idx="123">
                  <c:v>1.853834970391121</c:v>
                </c:pt>
                <c:pt idx="124">
                  <c:v>1.677673554691671</c:v>
                </c:pt>
                <c:pt idx="125">
                  <c:v>1.4918587944137096</c:v>
                </c:pt>
                <c:pt idx="126">
                  <c:v>1.2893698696110996</c:v>
                </c:pt>
                <c:pt idx="127">
                  <c:v>1.1361529298676492</c:v>
                </c:pt>
                <c:pt idx="128">
                  <c:v>0.99354581236907691</c:v>
                </c:pt>
                <c:pt idx="129">
                  <c:v>0.882379377871363</c:v>
                </c:pt>
                <c:pt idx="130">
                  <c:v>0.76625559161999079</c:v>
                </c:pt>
                <c:pt idx="131">
                  <c:v>0.65373012312206757</c:v>
                </c:pt>
                <c:pt idx="132">
                  <c:v>0.56656366057135632</c:v>
                </c:pt>
                <c:pt idx="133">
                  <c:v>0.50626790847441461</c:v>
                </c:pt>
                <c:pt idx="134">
                  <c:v>0.41169557113394112</c:v>
                </c:pt>
                <c:pt idx="135">
                  <c:v>0.35255461695516643</c:v>
                </c:pt>
                <c:pt idx="136">
                  <c:v>0.28634751063011976</c:v>
                </c:pt>
                <c:pt idx="137">
                  <c:v>0.25635090745648864</c:v>
                </c:pt>
                <c:pt idx="138">
                  <c:v>0.21051970332959383</c:v>
                </c:pt>
                <c:pt idx="139">
                  <c:v>0.18097052930484403</c:v>
                </c:pt>
                <c:pt idx="140">
                  <c:v>0.16289050843231345</c:v>
                </c:pt>
                <c:pt idx="141">
                  <c:v>0.14624665954482205</c:v>
                </c:pt>
                <c:pt idx="142">
                  <c:v>0.12756289784901911</c:v>
                </c:pt>
                <c:pt idx="143">
                  <c:v>0.11924128019218136</c:v>
                </c:pt>
                <c:pt idx="144">
                  <c:v>0.10722142342459669</c:v>
                </c:pt>
                <c:pt idx="145">
                  <c:v>0.1056402072685807</c:v>
                </c:pt>
                <c:pt idx="146">
                  <c:v>9.5830181223956964E-2</c:v>
                </c:pt>
                <c:pt idx="147">
                  <c:v>9.4970110340479252E-2</c:v>
                </c:pt>
                <c:pt idx="148">
                  <c:v>9.1064706089284839E-2</c:v>
                </c:pt>
                <c:pt idx="149">
                  <c:v>8.6664200243947248E-2</c:v>
                </c:pt>
                <c:pt idx="150">
                  <c:v>8.1842895162995755E-2</c:v>
                </c:pt>
                <c:pt idx="151">
                  <c:v>8.3848280710628095E-2</c:v>
                </c:pt>
                <c:pt idx="152">
                  <c:v>7.6724045963698709E-2</c:v>
                </c:pt>
                <c:pt idx="153">
                  <c:v>6.9947719076256146E-2</c:v>
                </c:pt>
                <c:pt idx="154">
                  <c:v>8.0115969382352992E-2</c:v>
                </c:pt>
                <c:pt idx="155">
                  <c:v>7.333949218522208E-2</c:v>
                </c:pt>
                <c:pt idx="156">
                  <c:v>6.5642858079338132E-2</c:v>
                </c:pt>
                <c:pt idx="157">
                  <c:v>6.7609979896645217E-2</c:v>
                </c:pt>
                <c:pt idx="158">
                  <c:v>7.0294617050537425E-2</c:v>
                </c:pt>
                <c:pt idx="159">
                  <c:v>5.7597203037023842E-2</c:v>
                </c:pt>
                <c:pt idx="160">
                  <c:v>5.9207790489737948E-2</c:v>
                </c:pt>
                <c:pt idx="161">
                  <c:v>6.0810652000397605E-2</c:v>
                </c:pt>
                <c:pt idx="162">
                  <c:v>5.4219562546581557E-2</c:v>
                </c:pt>
                <c:pt idx="163">
                  <c:v>5.4932015744942518E-2</c:v>
                </c:pt>
                <c:pt idx="164">
                  <c:v>5.5527476387967303E-2</c:v>
                </c:pt>
                <c:pt idx="165">
                  <c:v>5.5374537383698512E-2</c:v>
                </c:pt>
                <c:pt idx="166">
                  <c:v>5.7897397056328362E-2</c:v>
                </c:pt>
                <c:pt idx="167">
                  <c:v>5.0601419325111169E-2</c:v>
                </c:pt>
                <c:pt idx="168">
                  <c:v>4.3472961508556847E-2</c:v>
                </c:pt>
                <c:pt idx="169">
                  <c:v>4.2608336260120241E-2</c:v>
                </c:pt>
                <c:pt idx="170">
                  <c:v>4.4772244131370646E-2</c:v>
                </c:pt>
                <c:pt idx="171">
                  <c:v>4.084578580412597E-2</c:v>
                </c:pt>
                <c:pt idx="172">
                  <c:v>4.1917839315235912E-2</c:v>
                </c:pt>
                <c:pt idx="173">
                  <c:v>4.3554345768379854E-2</c:v>
                </c:pt>
                <c:pt idx="174">
                  <c:v>4.2507934410867025E-2</c:v>
                </c:pt>
                <c:pt idx="175">
                  <c:v>3.9295820335059496E-2</c:v>
                </c:pt>
                <c:pt idx="176">
                  <c:v>3.3555438033764741E-2</c:v>
                </c:pt>
                <c:pt idx="177">
                  <c:v>3.8041254376628371E-2</c:v>
                </c:pt>
                <c:pt idx="178">
                  <c:v>3.8238585687922121E-2</c:v>
                </c:pt>
                <c:pt idx="179">
                  <c:v>4.0370319633351373E-2</c:v>
                </c:pt>
                <c:pt idx="180">
                  <c:v>3.6960926899665597E-2</c:v>
                </c:pt>
                <c:pt idx="181">
                  <c:v>3.5369842695407522E-2</c:v>
                </c:pt>
                <c:pt idx="182">
                  <c:v>3.6244780886124608E-2</c:v>
                </c:pt>
                <c:pt idx="183">
                  <c:v>3.2297357898488435E-2</c:v>
                </c:pt>
                <c:pt idx="184">
                  <c:v>3.7161626559726879E-2</c:v>
                </c:pt>
                <c:pt idx="185">
                  <c:v>3.2282219484371169E-2</c:v>
                </c:pt>
                <c:pt idx="186">
                  <c:v>2.9759740649955603E-2</c:v>
                </c:pt>
                <c:pt idx="187">
                  <c:v>3.2811860235962817E-2</c:v>
                </c:pt>
                <c:pt idx="188">
                  <c:v>2.3490246025002087E-2</c:v>
                </c:pt>
                <c:pt idx="189">
                  <c:v>2.7249976313137365E-2</c:v>
                </c:pt>
                <c:pt idx="190">
                  <c:v>2.5280363715943808E-2</c:v>
                </c:pt>
                <c:pt idx="191">
                  <c:v>2.4554638012658721E-2</c:v>
                </c:pt>
                <c:pt idx="192">
                  <c:v>2.563675698537984E-2</c:v>
                </c:pt>
                <c:pt idx="193">
                  <c:v>2.9037804389232626E-2</c:v>
                </c:pt>
                <c:pt idx="194">
                  <c:v>2.8504446451627568E-2</c:v>
                </c:pt>
                <c:pt idx="195">
                  <c:v>2.9941012977259745E-2</c:v>
                </c:pt>
                <c:pt idx="196">
                  <c:v>2.2755889846943704E-2</c:v>
                </c:pt>
                <c:pt idx="197">
                  <c:v>2.3097911186060548E-2</c:v>
                </c:pt>
                <c:pt idx="198">
                  <c:v>2.2571110282946422E-2</c:v>
                </c:pt>
                <c:pt idx="199">
                  <c:v>2.2395868037597178E-2</c:v>
                </c:pt>
                <c:pt idx="200">
                  <c:v>2.0629936732648201E-2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BB-4BB8-A84C-76D9C589E74B}"/>
            </c:ext>
          </c:extLst>
        </c:ser>
        <c:ser>
          <c:idx val="1"/>
          <c:order val="1"/>
          <c:tx>
            <c:strRef>
              <c:f>ω!$M$1</c:f>
              <c:strCache>
                <c:ptCount val="1"/>
                <c:pt idx="0">
                  <c:v>Si_TEOS_omega_2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ω!$A$20:$A$220</c:f>
              <c:numCache>
                <c:formatCode>General</c:formatCode>
                <c:ptCount val="201"/>
                <c:pt idx="0">
                  <c:v>34.930599999999998</c:v>
                </c:pt>
                <c:pt idx="1">
                  <c:v>34.931600000000003</c:v>
                </c:pt>
                <c:pt idx="2">
                  <c:v>34.932600000000001</c:v>
                </c:pt>
                <c:pt idx="3">
                  <c:v>34.933599999999998</c:v>
                </c:pt>
                <c:pt idx="4">
                  <c:v>34.934600000000003</c:v>
                </c:pt>
                <c:pt idx="5">
                  <c:v>34.935600000000001</c:v>
                </c:pt>
                <c:pt idx="6">
                  <c:v>34.936599999999999</c:v>
                </c:pt>
                <c:pt idx="7">
                  <c:v>34.937600000000003</c:v>
                </c:pt>
                <c:pt idx="8">
                  <c:v>34.938600000000001</c:v>
                </c:pt>
                <c:pt idx="9">
                  <c:v>34.939599999999999</c:v>
                </c:pt>
                <c:pt idx="10">
                  <c:v>34.940600000000003</c:v>
                </c:pt>
                <c:pt idx="11">
                  <c:v>34.941600000000001</c:v>
                </c:pt>
                <c:pt idx="12">
                  <c:v>34.942599999999999</c:v>
                </c:pt>
                <c:pt idx="13">
                  <c:v>34.943600000000004</c:v>
                </c:pt>
                <c:pt idx="14">
                  <c:v>34.944600000000001</c:v>
                </c:pt>
                <c:pt idx="15">
                  <c:v>34.945599999999999</c:v>
                </c:pt>
                <c:pt idx="16">
                  <c:v>34.946599999999997</c:v>
                </c:pt>
                <c:pt idx="17">
                  <c:v>34.947600000000001</c:v>
                </c:pt>
                <c:pt idx="18">
                  <c:v>34.948599999999999</c:v>
                </c:pt>
                <c:pt idx="19">
                  <c:v>34.949599999999997</c:v>
                </c:pt>
                <c:pt idx="20">
                  <c:v>34.950600000000001</c:v>
                </c:pt>
                <c:pt idx="21">
                  <c:v>34.951599999999999</c:v>
                </c:pt>
                <c:pt idx="22">
                  <c:v>34.952599999999997</c:v>
                </c:pt>
                <c:pt idx="23">
                  <c:v>34.953600000000002</c:v>
                </c:pt>
                <c:pt idx="24">
                  <c:v>34.954599999999999</c:v>
                </c:pt>
                <c:pt idx="25">
                  <c:v>34.955599999999997</c:v>
                </c:pt>
                <c:pt idx="26">
                  <c:v>34.956600000000002</c:v>
                </c:pt>
                <c:pt idx="27">
                  <c:v>34.957599999999999</c:v>
                </c:pt>
                <c:pt idx="28">
                  <c:v>34.958599999999997</c:v>
                </c:pt>
                <c:pt idx="29">
                  <c:v>34.959600000000002</c:v>
                </c:pt>
                <c:pt idx="30">
                  <c:v>34.960599999999999</c:v>
                </c:pt>
                <c:pt idx="31">
                  <c:v>34.961599999999997</c:v>
                </c:pt>
                <c:pt idx="32">
                  <c:v>34.962600000000002</c:v>
                </c:pt>
                <c:pt idx="33">
                  <c:v>34.9636</c:v>
                </c:pt>
                <c:pt idx="34">
                  <c:v>34.964599999999997</c:v>
                </c:pt>
                <c:pt idx="35">
                  <c:v>34.965600000000002</c:v>
                </c:pt>
                <c:pt idx="36">
                  <c:v>34.9666</c:v>
                </c:pt>
                <c:pt idx="37">
                  <c:v>34.967599999999997</c:v>
                </c:pt>
                <c:pt idx="38">
                  <c:v>34.968600000000002</c:v>
                </c:pt>
                <c:pt idx="39">
                  <c:v>34.9696</c:v>
                </c:pt>
                <c:pt idx="40">
                  <c:v>34.970599999999997</c:v>
                </c:pt>
                <c:pt idx="41">
                  <c:v>34.971600000000002</c:v>
                </c:pt>
                <c:pt idx="42">
                  <c:v>34.9726</c:v>
                </c:pt>
                <c:pt idx="43">
                  <c:v>34.973599999999998</c:v>
                </c:pt>
                <c:pt idx="44">
                  <c:v>34.974600000000002</c:v>
                </c:pt>
                <c:pt idx="45">
                  <c:v>34.9756</c:v>
                </c:pt>
                <c:pt idx="46">
                  <c:v>34.976599999999998</c:v>
                </c:pt>
                <c:pt idx="47">
                  <c:v>34.977600000000002</c:v>
                </c:pt>
                <c:pt idx="48">
                  <c:v>34.9786</c:v>
                </c:pt>
                <c:pt idx="49">
                  <c:v>34.979599999999998</c:v>
                </c:pt>
                <c:pt idx="50">
                  <c:v>34.980600000000003</c:v>
                </c:pt>
                <c:pt idx="51">
                  <c:v>34.9816</c:v>
                </c:pt>
                <c:pt idx="52">
                  <c:v>34.982599999999998</c:v>
                </c:pt>
                <c:pt idx="53">
                  <c:v>34.983600000000003</c:v>
                </c:pt>
                <c:pt idx="54">
                  <c:v>34.9846</c:v>
                </c:pt>
                <c:pt idx="55">
                  <c:v>34.985599999999998</c:v>
                </c:pt>
                <c:pt idx="56">
                  <c:v>34.986600000000003</c:v>
                </c:pt>
                <c:pt idx="57">
                  <c:v>34.9876</c:v>
                </c:pt>
                <c:pt idx="58">
                  <c:v>34.988599999999998</c:v>
                </c:pt>
                <c:pt idx="59">
                  <c:v>34.989600000000003</c:v>
                </c:pt>
                <c:pt idx="60">
                  <c:v>34.990600000000001</c:v>
                </c:pt>
                <c:pt idx="61">
                  <c:v>34.991599999999998</c:v>
                </c:pt>
                <c:pt idx="62">
                  <c:v>34.992600000000003</c:v>
                </c:pt>
                <c:pt idx="63">
                  <c:v>34.993600000000001</c:v>
                </c:pt>
                <c:pt idx="64">
                  <c:v>34.994599999999998</c:v>
                </c:pt>
                <c:pt idx="65">
                  <c:v>34.995600000000003</c:v>
                </c:pt>
                <c:pt idx="66">
                  <c:v>34.996600000000001</c:v>
                </c:pt>
                <c:pt idx="67">
                  <c:v>34.997599999999998</c:v>
                </c:pt>
                <c:pt idx="68">
                  <c:v>34.998600000000003</c:v>
                </c:pt>
                <c:pt idx="69">
                  <c:v>34.999600000000001</c:v>
                </c:pt>
                <c:pt idx="70">
                  <c:v>35.000599999999999</c:v>
                </c:pt>
                <c:pt idx="71">
                  <c:v>35.001600000000003</c:v>
                </c:pt>
                <c:pt idx="72">
                  <c:v>35.002600000000001</c:v>
                </c:pt>
                <c:pt idx="73">
                  <c:v>35.003599999999999</c:v>
                </c:pt>
                <c:pt idx="74">
                  <c:v>35.004600000000003</c:v>
                </c:pt>
                <c:pt idx="75">
                  <c:v>35.005600000000001</c:v>
                </c:pt>
                <c:pt idx="76">
                  <c:v>35.006599999999999</c:v>
                </c:pt>
                <c:pt idx="77">
                  <c:v>35.007599999999996</c:v>
                </c:pt>
                <c:pt idx="78">
                  <c:v>35.008600000000001</c:v>
                </c:pt>
                <c:pt idx="79">
                  <c:v>35.009599999999999</c:v>
                </c:pt>
                <c:pt idx="80">
                  <c:v>35.010599999999997</c:v>
                </c:pt>
                <c:pt idx="81">
                  <c:v>35.011600000000001</c:v>
                </c:pt>
                <c:pt idx="82">
                  <c:v>35.012599999999999</c:v>
                </c:pt>
                <c:pt idx="83">
                  <c:v>35.013599999999997</c:v>
                </c:pt>
                <c:pt idx="84">
                  <c:v>35.014600000000002</c:v>
                </c:pt>
                <c:pt idx="85">
                  <c:v>35.015599999999999</c:v>
                </c:pt>
                <c:pt idx="86">
                  <c:v>35.016599999999997</c:v>
                </c:pt>
                <c:pt idx="87">
                  <c:v>35.017600000000002</c:v>
                </c:pt>
                <c:pt idx="88">
                  <c:v>35.018599999999999</c:v>
                </c:pt>
                <c:pt idx="89">
                  <c:v>35.019599999999997</c:v>
                </c:pt>
                <c:pt idx="90">
                  <c:v>35.020600000000002</c:v>
                </c:pt>
                <c:pt idx="91">
                  <c:v>35.021599999999999</c:v>
                </c:pt>
                <c:pt idx="92">
                  <c:v>35.022599999999997</c:v>
                </c:pt>
                <c:pt idx="93">
                  <c:v>35.023600000000002</c:v>
                </c:pt>
                <c:pt idx="94">
                  <c:v>35.0246</c:v>
                </c:pt>
                <c:pt idx="95">
                  <c:v>35.025599999999997</c:v>
                </c:pt>
                <c:pt idx="96">
                  <c:v>35.026600000000002</c:v>
                </c:pt>
                <c:pt idx="97">
                  <c:v>35.0276</c:v>
                </c:pt>
                <c:pt idx="98">
                  <c:v>35.028599999999997</c:v>
                </c:pt>
                <c:pt idx="99">
                  <c:v>35.029600000000002</c:v>
                </c:pt>
                <c:pt idx="100">
                  <c:v>35.0306</c:v>
                </c:pt>
                <c:pt idx="101">
                  <c:v>35.031599999999997</c:v>
                </c:pt>
                <c:pt idx="102">
                  <c:v>35.032600000000002</c:v>
                </c:pt>
                <c:pt idx="103">
                  <c:v>35.0336</c:v>
                </c:pt>
                <c:pt idx="104">
                  <c:v>35.034599999999998</c:v>
                </c:pt>
                <c:pt idx="105">
                  <c:v>35.035600000000002</c:v>
                </c:pt>
                <c:pt idx="106">
                  <c:v>35.0366</c:v>
                </c:pt>
                <c:pt idx="107">
                  <c:v>35.037599999999998</c:v>
                </c:pt>
                <c:pt idx="108">
                  <c:v>35.038600000000002</c:v>
                </c:pt>
                <c:pt idx="109">
                  <c:v>35.0396</c:v>
                </c:pt>
                <c:pt idx="110">
                  <c:v>35.040599999999998</c:v>
                </c:pt>
                <c:pt idx="111">
                  <c:v>35.041600000000003</c:v>
                </c:pt>
                <c:pt idx="112">
                  <c:v>35.0426</c:v>
                </c:pt>
                <c:pt idx="113">
                  <c:v>35.043599999999998</c:v>
                </c:pt>
                <c:pt idx="114">
                  <c:v>35.044600000000003</c:v>
                </c:pt>
                <c:pt idx="115">
                  <c:v>35.0456</c:v>
                </c:pt>
                <c:pt idx="116">
                  <c:v>35.046599999999998</c:v>
                </c:pt>
                <c:pt idx="117">
                  <c:v>35.047600000000003</c:v>
                </c:pt>
                <c:pt idx="118">
                  <c:v>35.0486</c:v>
                </c:pt>
                <c:pt idx="119">
                  <c:v>35.049599999999998</c:v>
                </c:pt>
                <c:pt idx="120">
                  <c:v>35.050600000000003</c:v>
                </c:pt>
                <c:pt idx="121">
                  <c:v>35.051600000000001</c:v>
                </c:pt>
                <c:pt idx="122">
                  <c:v>35.052599999999998</c:v>
                </c:pt>
                <c:pt idx="123">
                  <c:v>35.053600000000003</c:v>
                </c:pt>
                <c:pt idx="124">
                  <c:v>35.054600000000001</c:v>
                </c:pt>
                <c:pt idx="125">
                  <c:v>35.055599999999998</c:v>
                </c:pt>
                <c:pt idx="126">
                  <c:v>35.056600000000003</c:v>
                </c:pt>
                <c:pt idx="127">
                  <c:v>35.057600000000001</c:v>
                </c:pt>
                <c:pt idx="128">
                  <c:v>35.058599999999998</c:v>
                </c:pt>
                <c:pt idx="129">
                  <c:v>35.059600000000003</c:v>
                </c:pt>
                <c:pt idx="130">
                  <c:v>35.060600000000001</c:v>
                </c:pt>
                <c:pt idx="131">
                  <c:v>35.061599999999999</c:v>
                </c:pt>
                <c:pt idx="132">
                  <c:v>35.062600000000003</c:v>
                </c:pt>
                <c:pt idx="133">
                  <c:v>35.063600000000001</c:v>
                </c:pt>
                <c:pt idx="134">
                  <c:v>35.064599999999999</c:v>
                </c:pt>
                <c:pt idx="135">
                  <c:v>35.065600000000003</c:v>
                </c:pt>
                <c:pt idx="136">
                  <c:v>35.066600000000001</c:v>
                </c:pt>
                <c:pt idx="137">
                  <c:v>35.067599999999999</c:v>
                </c:pt>
                <c:pt idx="138">
                  <c:v>35.068600000000004</c:v>
                </c:pt>
                <c:pt idx="139">
                  <c:v>35.069600000000001</c:v>
                </c:pt>
                <c:pt idx="140">
                  <c:v>35.070599999999999</c:v>
                </c:pt>
                <c:pt idx="141">
                  <c:v>35.071599999999997</c:v>
                </c:pt>
                <c:pt idx="142">
                  <c:v>35.072600000000001</c:v>
                </c:pt>
                <c:pt idx="143">
                  <c:v>35.073599999999999</c:v>
                </c:pt>
                <c:pt idx="144">
                  <c:v>35.074599999999997</c:v>
                </c:pt>
                <c:pt idx="145">
                  <c:v>35.075600000000001</c:v>
                </c:pt>
                <c:pt idx="146">
                  <c:v>35.076599999999999</c:v>
                </c:pt>
                <c:pt idx="147">
                  <c:v>35.077599999999997</c:v>
                </c:pt>
                <c:pt idx="148">
                  <c:v>35.078600000000002</c:v>
                </c:pt>
                <c:pt idx="149">
                  <c:v>35.079599999999999</c:v>
                </c:pt>
                <c:pt idx="150">
                  <c:v>35.080599999999997</c:v>
                </c:pt>
                <c:pt idx="151">
                  <c:v>35.081600000000002</c:v>
                </c:pt>
                <c:pt idx="152">
                  <c:v>35.082599999999999</c:v>
                </c:pt>
                <c:pt idx="153">
                  <c:v>35.083599999999997</c:v>
                </c:pt>
                <c:pt idx="154">
                  <c:v>35.084600000000002</c:v>
                </c:pt>
                <c:pt idx="155">
                  <c:v>35.085599999999999</c:v>
                </c:pt>
                <c:pt idx="156">
                  <c:v>35.086599999999997</c:v>
                </c:pt>
                <c:pt idx="157">
                  <c:v>35.087600000000002</c:v>
                </c:pt>
                <c:pt idx="158">
                  <c:v>35.0886</c:v>
                </c:pt>
                <c:pt idx="159">
                  <c:v>35.089599999999997</c:v>
                </c:pt>
                <c:pt idx="160">
                  <c:v>35.090600000000002</c:v>
                </c:pt>
                <c:pt idx="161">
                  <c:v>35.0916</c:v>
                </c:pt>
                <c:pt idx="162">
                  <c:v>35.092599999999997</c:v>
                </c:pt>
                <c:pt idx="163">
                  <c:v>35.093600000000002</c:v>
                </c:pt>
                <c:pt idx="164">
                  <c:v>35.0946</c:v>
                </c:pt>
                <c:pt idx="165">
                  <c:v>35.095599999999997</c:v>
                </c:pt>
                <c:pt idx="166">
                  <c:v>35.096600000000002</c:v>
                </c:pt>
                <c:pt idx="167">
                  <c:v>35.0976</c:v>
                </c:pt>
                <c:pt idx="168">
                  <c:v>35.098599999999998</c:v>
                </c:pt>
                <c:pt idx="169">
                  <c:v>35.099600000000002</c:v>
                </c:pt>
                <c:pt idx="170">
                  <c:v>35.1006</c:v>
                </c:pt>
                <c:pt idx="171">
                  <c:v>35.101599999999998</c:v>
                </c:pt>
                <c:pt idx="172">
                  <c:v>35.102600000000002</c:v>
                </c:pt>
                <c:pt idx="173">
                  <c:v>35.1036</c:v>
                </c:pt>
                <c:pt idx="174">
                  <c:v>35.104599999999998</c:v>
                </c:pt>
                <c:pt idx="175">
                  <c:v>35.105600000000003</c:v>
                </c:pt>
                <c:pt idx="176">
                  <c:v>35.1066</c:v>
                </c:pt>
                <c:pt idx="177">
                  <c:v>35.107599999999998</c:v>
                </c:pt>
                <c:pt idx="178">
                  <c:v>35.108600000000003</c:v>
                </c:pt>
                <c:pt idx="179">
                  <c:v>35.1096</c:v>
                </c:pt>
                <c:pt idx="180">
                  <c:v>35.110599999999998</c:v>
                </c:pt>
                <c:pt idx="181">
                  <c:v>35.111600000000003</c:v>
                </c:pt>
                <c:pt idx="182">
                  <c:v>35.1126</c:v>
                </c:pt>
                <c:pt idx="183">
                  <c:v>35.113599999999998</c:v>
                </c:pt>
                <c:pt idx="184">
                  <c:v>35.114600000000003</c:v>
                </c:pt>
                <c:pt idx="185">
                  <c:v>35.115600000000001</c:v>
                </c:pt>
                <c:pt idx="186">
                  <c:v>35.116599999999998</c:v>
                </c:pt>
                <c:pt idx="187">
                  <c:v>35.117600000000003</c:v>
                </c:pt>
                <c:pt idx="188">
                  <c:v>35.118600000000001</c:v>
                </c:pt>
                <c:pt idx="189">
                  <c:v>35.119599999999998</c:v>
                </c:pt>
                <c:pt idx="190">
                  <c:v>35.120600000000003</c:v>
                </c:pt>
                <c:pt idx="191">
                  <c:v>35.121600000000001</c:v>
                </c:pt>
                <c:pt idx="192">
                  <c:v>35.122599999999998</c:v>
                </c:pt>
                <c:pt idx="193">
                  <c:v>35.123600000000003</c:v>
                </c:pt>
                <c:pt idx="194">
                  <c:v>35.124600000000001</c:v>
                </c:pt>
                <c:pt idx="195">
                  <c:v>35.125599999999999</c:v>
                </c:pt>
                <c:pt idx="196">
                  <c:v>35.126600000000003</c:v>
                </c:pt>
                <c:pt idx="197">
                  <c:v>35.127600000000001</c:v>
                </c:pt>
                <c:pt idx="198">
                  <c:v>35.128599999999999</c:v>
                </c:pt>
                <c:pt idx="199">
                  <c:v>35.129600000000003</c:v>
                </c:pt>
                <c:pt idx="200">
                  <c:v>35.130600000000001</c:v>
                </c:pt>
              </c:numCache>
            </c:numRef>
          </c:xVal>
          <c:yVal>
            <c:numRef>
              <c:f>ω!$Q$20:$Q$220</c:f>
              <c:numCache>
                <c:formatCode>0.00E+00</c:formatCode>
                <c:ptCount val="201"/>
                <c:pt idx="0">
                  <c:v>2.1127832235875686E-2</c:v>
                </c:pt>
                <c:pt idx="1">
                  <c:v>2.5135675521279634E-2</c:v>
                </c:pt>
                <c:pt idx="2">
                  <c:v>2.4284234335090381E-2</c:v>
                </c:pt>
                <c:pt idx="3">
                  <c:v>2.2576118598809484E-2</c:v>
                </c:pt>
                <c:pt idx="4">
                  <c:v>2.0275843425824783E-2</c:v>
                </c:pt>
                <c:pt idx="5">
                  <c:v>2.1705080279666535E-2</c:v>
                </c:pt>
                <c:pt idx="6">
                  <c:v>1.684992819931443E-2</c:v>
                </c:pt>
                <c:pt idx="7">
                  <c:v>2.2843605736383478E-2</c:v>
                </c:pt>
                <c:pt idx="8">
                  <c:v>2.027047957242421E-2</c:v>
                </c:pt>
                <c:pt idx="9">
                  <c:v>2.3128508876764538E-2</c:v>
                </c:pt>
                <c:pt idx="10">
                  <c:v>2.7975459926552426E-2</c:v>
                </c:pt>
                <c:pt idx="11">
                  <c:v>2.5695786216540447E-2</c:v>
                </c:pt>
                <c:pt idx="12">
                  <c:v>2.5981927713423336E-2</c:v>
                </c:pt>
                <c:pt idx="13">
                  <c:v>2.4851965837630795E-2</c:v>
                </c:pt>
                <c:pt idx="14">
                  <c:v>2.5428940511479422E-2</c:v>
                </c:pt>
                <c:pt idx="15">
                  <c:v>2.6287186368150903E-2</c:v>
                </c:pt>
                <c:pt idx="16">
                  <c:v>2.5142029610911092E-2</c:v>
                </c:pt>
                <c:pt idx="17">
                  <c:v>2.5437799535448617E-2</c:v>
                </c:pt>
                <c:pt idx="18">
                  <c:v>2.8017232198786952E-2</c:v>
                </c:pt>
                <c:pt idx="19">
                  <c:v>2.9162061610230119E-2</c:v>
                </c:pt>
                <c:pt idx="20">
                  <c:v>3.2881984726861366E-2</c:v>
                </c:pt>
                <c:pt idx="21">
                  <c:v>3.4597357808362032E-2</c:v>
                </c:pt>
                <c:pt idx="22">
                  <c:v>3.0024934421253945E-2</c:v>
                </c:pt>
                <c:pt idx="23">
                  <c:v>3.2325852835382078E-2</c:v>
                </c:pt>
                <c:pt idx="24">
                  <c:v>3.0305525440630903E-2</c:v>
                </c:pt>
                <c:pt idx="25">
                  <c:v>2.8606910949089195E-2</c:v>
                </c:pt>
                <c:pt idx="26">
                  <c:v>3.8027932059353765E-2</c:v>
                </c:pt>
                <c:pt idx="27">
                  <c:v>3.4886662954573218E-2</c:v>
                </c:pt>
                <c:pt idx="28">
                  <c:v>3.8334174158160796E-2</c:v>
                </c:pt>
                <c:pt idx="29">
                  <c:v>3.4035294600500719E-2</c:v>
                </c:pt>
                <c:pt idx="30">
                  <c:v>3.8043630609504733E-2</c:v>
                </c:pt>
                <c:pt idx="31">
                  <c:v>3.9181819544211904E-2</c:v>
                </c:pt>
                <c:pt idx="32">
                  <c:v>4.2913829573791001E-2</c:v>
                </c:pt>
                <c:pt idx="33">
                  <c:v>4.6054191308996274E-2</c:v>
                </c:pt>
                <c:pt idx="34">
                  <c:v>4.6917623695597085E-2</c:v>
                </c:pt>
                <c:pt idx="35">
                  <c:v>3.7199880307954347E-2</c:v>
                </c:pt>
                <c:pt idx="36">
                  <c:v>3.9484716439078284E-2</c:v>
                </c:pt>
                <c:pt idx="37">
                  <c:v>5.0370950569097295E-2</c:v>
                </c:pt>
                <c:pt idx="38">
                  <c:v>5.2666585052541931E-2</c:v>
                </c:pt>
                <c:pt idx="39">
                  <c:v>4.6955639690136303E-2</c:v>
                </c:pt>
                <c:pt idx="40">
                  <c:v>4.9523988589902042E-2</c:v>
                </c:pt>
                <c:pt idx="41">
                  <c:v>5.1544084667687985E-2</c:v>
                </c:pt>
                <c:pt idx="42">
                  <c:v>4.3236589126759484E-2</c:v>
                </c:pt>
                <c:pt idx="43">
                  <c:v>5.2687573057476476E-2</c:v>
                </c:pt>
                <c:pt idx="44">
                  <c:v>5.698016629217717E-2</c:v>
                </c:pt>
                <c:pt idx="45">
                  <c:v>6.3275616618020794E-2</c:v>
                </c:pt>
                <c:pt idx="46">
                  <c:v>5.5002355361280106E-2</c:v>
                </c:pt>
                <c:pt idx="47">
                  <c:v>5.8183790958880911E-2</c:v>
                </c:pt>
                <c:pt idx="48">
                  <c:v>6.5595294050383654E-2</c:v>
                </c:pt>
                <c:pt idx="49">
                  <c:v>6.5029390849642793E-2</c:v>
                </c:pt>
                <c:pt idx="50">
                  <c:v>6.7060064696913876E-2</c:v>
                </c:pt>
                <c:pt idx="51">
                  <c:v>6.304324110116713E-2</c:v>
                </c:pt>
                <c:pt idx="52">
                  <c:v>6.1913775436672695E-2</c:v>
                </c:pt>
                <c:pt idx="53">
                  <c:v>7.7392154963630416E-2</c:v>
                </c:pt>
                <c:pt idx="54">
                  <c:v>7.4789954133126405E-2</c:v>
                </c:pt>
                <c:pt idx="55">
                  <c:v>8.658591755741929E-2</c:v>
                </c:pt>
                <c:pt idx="56">
                  <c:v>8.0250882602072957E-2</c:v>
                </c:pt>
                <c:pt idx="57">
                  <c:v>8.3670726463918932E-2</c:v>
                </c:pt>
                <c:pt idx="58">
                  <c:v>8.0841441295109701E-2</c:v>
                </c:pt>
                <c:pt idx="59">
                  <c:v>8.9478855357803144E-2</c:v>
                </c:pt>
                <c:pt idx="60">
                  <c:v>9.0593364173684451E-2</c:v>
                </c:pt>
                <c:pt idx="61">
                  <c:v>0.10461331536621138</c:v>
                </c:pt>
                <c:pt idx="62">
                  <c:v>8.9737450296418844E-2</c:v>
                </c:pt>
                <c:pt idx="63">
                  <c:v>0.10698017230060201</c:v>
                </c:pt>
                <c:pt idx="64">
                  <c:v>0.1164646874477917</c:v>
                </c:pt>
                <c:pt idx="65">
                  <c:v>0.11135175782094711</c:v>
                </c:pt>
                <c:pt idx="66">
                  <c:v>0.1293917340486315</c:v>
                </c:pt>
                <c:pt idx="67">
                  <c:v>0.11911119285296105</c:v>
                </c:pt>
                <c:pt idx="68">
                  <c:v>0.11883772229650856</c:v>
                </c:pt>
                <c:pt idx="69">
                  <c:v>0.12426443632762028</c:v>
                </c:pt>
                <c:pt idx="70">
                  <c:v>0.1277081921189237</c:v>
                </c:pt>
                <c:pt idx="71">
                  <c:v>0.13866633930309627</c:v>
                </c:pt>
                <c:pt idx="72">
                  <c:v>0.16157464043830982</c:v>
                </c:pt>
                <c:pt idx="73">
                  <c:v>0.16332397411375288</c:v>
                </c:pt>
                <c:pt idx="74">
                  <c:v>0.18137921906144058</c:v>
                </c:pt>
                <c:pt idx="75">
                  <c:v>0.18309568775791238</c:v>
                </c:pt>
                <c:pt idx="76">
                  <c:v>0.18543043772318749</c:v>
                </c:pt>
                <c:pt idx="77">
                  <c:v>0.19635536876916188</c:v>
                </c:pt>
                <c:pt idx="78">
                  <c:v>0.21763237395833981</c:v>
                </c:pt>
                <c:pt idx="79">
                  <c:v>0.23772334761673586</c:v>
                </c:pt>
                <c:pt idx="80">
                  <c:v>0.24415267274505331</c:v>
                </c:pt>
                <c:pt idx="81">
                  <c:v>0.2608781451098951</c:v>
                </c:pt>
                <c:pt idx="82">
                  <c:v>0.29920816368512815</c:v>
                </c:pt>
                <c:pt idx="83">
                  <c:v>0.33414653806962513</c:v>
                </c:pt>
                <c:pt idx="84">
                  <c:v>0.35412165293648273</c:v>
                </c:pt>
                <c:pt idx="85">
                  <c:v>0.4212840029963717</c:v>
                </c:pt>
                <c:pt idx="86">
                  <c:v>0.49604913228863889</c:v>
                </c:pt>
                <c:pt idx="87">
                  <c:v>0.57837531101313888</c:v>
                </c:pt>
                <c:pt idx="88">
                  <c:v>0.72760215506968506</c:v>
                </c:pt>
                <c:pt idx="89">
                  <c:v>0.98782414110644179</c:v>
                </c:pt>
                <c:pt idx="90">
                  <c:v>1.6725604648419574</c:v>
                </c:pt>
                <c:pt idx="91">
                  <c:v>4.8493048568455395</c:v>
                </c:pt>
                <c:pt idx="92">
                  <c:v>21.653946157238348</c:v>
                </c:pt>
                <c:pt idx="93">
                  <c:v>101.52027881647878</c:v>
                </c:pt>
                <c:pt idx="94">
                  <c:v>364.82792803699107</c:v>
                </c:pt>
                <c:pt idx="95">
                  <c:v>1000.2904761592704</c:v>
                </c:pt>
                <c:pt idx="96">
                  <c:v>2057.9164434623472</c:v>
                </c:pt>
                <c:pt idx="97">
                  <c:v>3503.748661309548</c:v>
                </c:pt>
                <c:pt idx="98">
                  <c:v>5163.9457273206199</c:v>
                </c:pt>
                <c:pt idx="99">
                  <c:v>6720.1313656690145</c:v>
                </c:pt>
                <c:pt idx="100">
                  <c:v>7885.8609392296958</c:v>
                </c:pt>
                <c:pt idx="101">
                  <c:v>8565.9493783493726</c:v>
                </c:pt>
                <c:pt idx="102">
                  <c:v>8817.2211807466119</c:v>
                </c:pt>
                <c:pt idx="103">
                  <c:v>8891.8067816101375</c:v>
                </c:pt>
                <c:pt idx="104">
                  <c:v>8850.0762465228581</c:v>
                </c:pt>
                <c:pt idx="105">
                  <c:v>8804.1611698254383</c:v>
                </c:pt>
                <c:pt idx="106">
                  <c:v>8727.6170888412435</c:v>
                </c:pt>
                <c:pt idx="107">
                  <c:v>8625.7542474102047</c:v>
                </c:pt>
                <c:pt idx="108">
                  <c:v>8499.2691601378283</c:v>
                </c:pt>
                <c:pt idx="109">
                  <c:v>8355.7603495793355</c:v>
                </c:pt>
                <c:pt idx="110">
                  <c:v>8119.4800610910679</c:v>
                </c:pt>
                <c:pt idx="111">
                  <c:v>7842.6858327575728</c:v>
                </c:pt>
                <c:pt idx="112">
                  <c:v>7435.6609132433177</c:v>
                </c:pt>
                <c:pt idx="113">
                  <c:v>6860.8435712142655</c:v>
                </c:pt>
                <c:pt idx="114">
                  <c:v>5948.55873472851</c:v>
                </c:pt>
                <c:pt idx="115">
                  <c:v>4759.6869602631041</c:v>
                </c:pt>
                <c:pt idx="116">
                  <c:v>3465.0981456628688</c:v>
                </c:pt>
                <c:pt idx="117">
                  <c:v>2184.6675529462018</c:v>
                </c:pt>
                <c:pt idx="118">
                  <c:v>1134.3795245553224</c:v>
                </c:pt>
                <c:pt idx="119">
                  <c:v>462.97809260970456</c:v>
                </c:pt>
                <c:pt idx="120">
                  <c:v>152.03359901846341</c:v>
                </c:pt>
                <c:pt idx="121">
                  <c:v>54.777687041822254</c:v>
                </c:pt>
                <c:pt idx="122">
                  <c:v>19.795014252381481</c:v>
                </c:pt>
                <c:pt idx="123">
                  <c:v>11.68208694082074</c:v>
                </c:pt>
                <c:pt idx="124">
                  <c:v>8.3938074963722418</c:v>
                </c:pt>
                <c:pt idx="125">
                  <c:v>6.6274451190429851</c:v>
                </c:pt>
                <c:pt idx="126">
                  <c:v>5.2289393279741603</c:v>
                </c:pt>
                <c:pt idx="127">
                  <c:v>3.9016917680207932</c:v>
                </c:pt>
                <c:pt idx="128">
                  <c:v>2.7500523414719016</c:v>
                </c:pt>
                <c:pt idx="129">
                  <c:v>1.8311484021407114</c:v>
                </c:pt>
                <c:pt idx="130">
                  <c:v>1.1299358181470172</c:v>
                </c:pt>
                <c:pt idx="131">
                  <c:v>0.64940295839637685</c:v>
                </c:pt>
                <c:pt idx="132">
                  <c:v>0.41555128944671765</c:v>
                </c:pt>
                <c:pt idx="133">
                  <c:v>0.2984670175075394</c:v>
                </c:pt>
                <c:pt idx="134">
                  <c:v>0.2496915689219803</c:v>
                </c:pt>
                <c:pt idx="135">
                  <c:v>0.23257888336486021</c:v>
                </c:pt>
                <c:pt idx="136">
                  <c:v>0.20304949772793668</c:v>
                </c:pt>
                <c:pt idx="137">
                  <c:v>0.20665993191636101</c:v>
                </c:pt>
                <c:pt idx="138">
                  <c:v>0.18167407469140279</c:v>
                </c:pt>
                <c:pt idx="139">
                  <c:v>0.17534270342053529</c:v>
                </c:pt>
                <c:pt idx="140">
                  <c:v>0.16807247423467708</c:v>
                </c:pt>
                <c:pt idx="141">
                  <c:v>0.16702538180011819</c:v>
                </c:pt>
                <c:pt idx="142">
                  <c:v>0.14910634252812832</c:v>
                </c:pt>
                <c:pt idx="143">
                  <c:v>0.13989832017019943</c:v>
                </c:pt>
                <c:pt idx="144">
                  <c:v>0.13733851688135618</c:v>
                </c:pt>
                <c:pt idx="145">
                  <c:v>0.14435579106208415</c:v>
                </c:pt>
                <c:pt idx="146">
                  <c:v>0.13877852966311727</c:v>
                </c:pt>
                <c:pt idx="147">
                  <c:v>0.12903161742258218</c:v>
                </c:pt>
                <c:pt idx="148">
                  <c:v>0.1186891862311303</c:v>
                </c:pt>
                <c:pt idx="149">
                  <c:v>0.11510482212468154</c:v>
                </c:pt>
                <c:pt idx="150">
                  <c:v>9.9866487742095778E-2</c:v>
                </c:pt>
                <c:pt idx="151">
                  <c:v>0.10908445846881955</c:v>
                </c:pt>
                <c:pt idx="152">
                  <c:v>0.10537089602733246</c:v>
                </c:pt>
                <c:pt idx="153">
                  <c:v>0.10013912412204033</c:v>
                </c:pt>
                <c:pt idx="154">
                  <c:v>9.6372440355918992E-2</c:v>
                </c:pt>
                <c:pt idx="155">
                  <c:v>8.9774240589306983E-2</c:v>
                </c:pt>
                <c:pt idx="156">
                  <c:v>8.3996358541371774E-2</c:v>
                </c:pt>
                <c:pt idx="157">
                  <c:v>8.6276534182171308E-2</c:v>
                </c:pt>
                <c:pt idx="158">
                  <c:v>8.0562696070183459E-2</c:v>
                </c:pt>
                <c:pt idx="159">
                  <c:v>7.8544623568538668E-2</c:v>
                </c:pt>
                <c:pt idx="160">
                  <c:v>8.435094174648855E-2</c:v>
                </c:pt>
                <c:pt idx="161">
                  <c:v>7.7978956425532431E-2</c:v>
                </c:pt>
                <c:pt idx="162">
                  <c:v>6.7875189714765638E-2</c:v>
                </c:pt>
                <c:pt idx="163">
                  <c:v>7.4535843203626814E-2</c:v>
                </c:pt>
                <c:pt idx="164">
                  <c:v>6.5294843198189956E-2</c:v>
                </c:pt>
                <c:pt idx="165">
                  <c:v>6.67553038389328E-2</c:v>
                </c:pt>
                <c:pt idx="166">
                  <c:v>6.0976901400668325E-2</c:v>
                </c:pt>
                <c:pt idx="167">
                  <c:v>6.2753214280364358E-2</c:v>
                </c:pt>
                <c:pt idx="168">
                  <c:v>6.4171506966380756E-2</c:v>
                </c:pt>
                <c:pt idx="169">
                  <c:v>5.5503458429167138E-2</c:v>
                </c:pt>
                <c:pt idx="170">
                  <c:v>5.95560242942322E-2</c:v>
                </c:pt>
                <c:pt idx="171">
                  <c:v>4.65604575394944E-2</c:v>
                </c:pt>
                <c:pt idx="172">
                  <c:v>4.7432972365521381E-2</c:v>
                </c:pt>
                <c:pt idx="173">
                  <c:v>5.1771168312435473E-2</c:v>
                </c:pt>
                <c:pt idx="174">
                  <c:v>4.8285785231535254E-2</c:v>
                </c:pt>
                <c:pt idx="175">
                  <c:v>4.0790555684532784E-2</c:v>
                </c:pt>
                <c:pt idx="176">
                  <c:v>4.8572355824309736E-2</c:v>
                </c:pt>
                <c:pt idx="177">
                  <c:v>3.4130913979886421E-2</c:v>
                </c:pt>
                <c:pt idx="178">
                  <c:v>4.3103344781948133E-2</c:v>
                </c:pt>
                <c:pt idx="179">
                  <c:v>4.3405539605948888E-2</c:v>
                </c:pt>
                <c:pt idx="180">
                  <c:v>3.876770653517355E-2</c:v>
                </c:pt>
                <c:pt idx="181">
                  <c:v>3.5318058658953051E-2</c:v>
                </c:pt>
                <c:pt idx="182">
                  <c:v>4.1078932967194684E-2</c:v>
                </c:pt>
                <c:pt idx="183">
                  <c:v>3.9639100170436557E-2</c:v>
                </c:pt>
                <c:pt idx="184">
                  <c:v>3.8480983710507732E-2</c:v>
                </c:pt>
                <c:pt idx="185">
                  <c:v>3.7336674840311189E-2</c:v>
                </c:pt>
                <c:pt idx="186">
                  <c:v>3.5022196257557051E-2</c:v>
                </c:pt>
                <c:pt idx="187">
                  <c:v>3.1832404589167806E-2</c:v>
                </c:pt>
                <c:pt idx="188">
                  <c:v>3.4450371677533058E-2</c:v>
                </c:pt>
                <c:pt idx="189">
                  <c:v>3.1856308817606184E-2</c:v>
                </c:pt>
                <c:pt idx="190">
                  <c:v>3.4462850856800051E-2</c:v>
                </c:pt>
                <c:pt idx="191">
                  <c:v>3.2419305742883181E-2</c:v>
                </c:pt>
                <c:pt idx="192">
                  <c:v>3.7928306120690536E-2</c:v>
                </c:pt>
                <c:pt idx="193">
                  <c:v>2.5770927151090604E-2</c:v>
                </c:pt>
                <c:pt idx="194">
                  <c:v>3.1552696012873964E-2</c:v>
                </c:pt>
                <c:pt idx="195">
                  <c:v>2.9829535787261541E-2</c:v>
                </c:pt>
                <c:pt idx="196">
                  <c:v>2.3733114757134983E-2</c:v>
                </c:pt>
                <c:pt idx="197">
                  <c:v>2.9249482038008919E-2</c:v>
                </c:pt>
                <c:pt idx="198">
                  <c:v>5.0947171604084435E-2</c:v>
                </c:pt>
                <c:pt idx="199">
                  <c:v>2.4318346611826091E-2</c:v>
                </c:pt>
                <c:pt idx="200">
                  <c:v>2.1716270440765299E-2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BB-4BB8-A84C-76D9C589E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404048"/>
        <c:axId val="1371401168"/>
      </c:scatterChart>
      <c:valAx>
        <c:axId val="1371404048"/>
        <c:scaling>
          <c:orientation val="minMax"/>
          <c:max val="35.15"/>
          <c:min val="34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角度（</a:t>
                </a:r>
                <a:r>
                  <a:rPr lang="en-US" altLang="ja-JP"/>
                  <a:t>deg</a:t>
                </a:r>
                <a:r>
                  <a:rPr lang="ja-JP" altLang="en-US"/>
                  <a:t>）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1401168"/>
        <c:crosses val="autoZero"/>
        <c:crossBetween val="midCat"/>
      </c:valAx>
      <c:valAx>
        <c:axId val="137140116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散乱強度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14040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292994616444589"/>
          <c:y val="0.18800704160652948"/>
          <c:w val="0.3351751009849418"/>
          <c:h val="0.23241687733201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BG-1 VS BG2(SAME-X)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ω!$G$1</c:f>
              <c:strCache>
                <c:ptCount val="1"/>
                <c:pt idx="0">
                  <c:v>Si_TEOS_omega_BG.dat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ω!$G$20:$G$100</c:f>
              <c:numCache>
                <c:formatCode>General</c:formatCode>
                <c:ptCount val="81"/>
                <c:pt idx="0">
                  <c:v>34.509799999999998</c:v>
                </c:pt>
                <c:pt idx="1">
                  <c:v>34.510300000000001</c:v>
                </c:pt>
                <c:pt idx="2">
                  <c:v>34.510800000000003</c:v>
                </c:pt>
                <c:pt idx="3">
                  <c:v>34.511299999999999</c:v>
                </c:pt>
                <c:pt idx="4">
                  <c:v>34.511800000000001</c:v>
                </c:pt>
                <c:pt idx="5">
                  <c:v>34.512300000000003</c:v>
                </c:pt>
                <c:pt idx="6">
                  <c:v>34.512799999999999</c:v>
                </c:pt>
                <c:pt idx="7">
                  <c:v>34.513300000000001</c:v>
                </c:pt>
                <c:pt idx="8">
                  <c:v>34.513800000000003</c:v>
                </c:pt>
                <c:pt idx="9">
                  <c:v>34.514299999999999</c:v>
                </c:pt>
                <c:pt idx="10">
                  <c:v>34.514800000000001</c:v>
                </c:pt>
                <c:pt idx="11">
                  <c:v>34.515300000000003</c:v>
                </c:pt>
                <c:pt idx="12">
                  <c:v>34.515799999999999</c:v>
                </c:pt>
                <c:pt idx="13">
                  <c:v>34.516300000000001</c:v>
                </c:pt>
                <c:pt idx="14">
                  <c:v>34.516800000000003</c:v>
                </c:pt>
                <c:pt idx="15">
                  <c:v>34.517299999999999</c:v>
                </c:pt>
                <c:pt idx="16">
                  <c:v>34.517800000000001</c:v>
                </c:pt>
                <c:pt idx="17">
                  <c:v>34.518300000000004</c:v>
                </c:pt>
                <c:pt idx="18">
                  <c:v>34.518799999999999</c:v>
                </c:pt>
                <c:pt idx="19">
                  <c:v>34.519300000000001</c:v>
                </c:pt>
                <c:pt idx="20">
                  <c:v>34.519799999999996</c:v>
                </c:pt>
                <c:pt idx="21">
                  <c:v>34.520299999999999</c:v>
                </c:pt>
                <c:pt idx="22">
                  <c:v>34.520800000000001</c:v>
                </c:pt>
                <c:pt idx="23">
                  <c:v>34.521299999999997</c:v>
                </c:pt>
                <c:pt idx="24">
                  <c:v>34.521799999999999</c:v>
                </c:pt>
                <c:pt idx="25">
                  <c:v>34.522300000000001</c:v>
                </c:pt>
                <c:pt idx="26">
                  <c:v>34.522799999999997</c:v>
                </c:pt>
                <c:pt idx="27">
                  <c:v>34.523299999999999</c:v>
                </c:pt>
                <c:pt idx="28">
                  <c:v>34.523800000000001</c:v>
                </c:pt>
                <c:pt idx="29">
                  <c:v>34.524299999999997</c:v>
                </c:pt>
                <c:pt idx="30">
                  <c:v>34.524799999999999</c:v>
                </c:pt>
                <c:pt idx="31">
                  <c:v>34.525300000000001</c:v>
                </c:pt>
                <c:pt idx="32">
                  <c:v>34.525799999999997</c:v>
                </c:pt>
                <c:pt idx="33">
                  <c:v>34.526299999999999</c:v>
                </c:pt>
                <c:pt idx="34">
                  <c:v>34.526800000000001</c:v>
                </c:pt>
                <c:pt idx="35">
                  <c:v>34.527299999999997</c:v>
                </c:pt>
                <c:pt idx="36">
                  <c:v>34.527799999999999</c:v>
                </c:pt>
                <c:pt idx="37">
                  <c:v>34.528300000000002</c:v>
                </c:pt>
                <c:pt idx="38">
                  <c:v>34.528799999999997</c:v>
                </c:pt>
                <c:pt idx="39">
                  <c:v>34.529299999999999</c:v>
                </c:pt>
                <c:pt idx="40">
                  <c:v>34.529800000000002</c:v>
                </c:pt>
                <c:pt idx="41">
                  <c:v>34.530299999999997</c:v>
                </c:pt>
                <c:pt idx="42">
                  <c:v>34.530799999999999</c:v>
                </c:pt>
                <c:pt idx="43">
                  <c:v>34.531300000000002</c:v>
                </c:pt>
                <c:pt idx="44">
                  <c:v>34.531799999999997</c:v>
                </c:pt>
                <c:pt idx="45">
                  <c:v>34.532299999999999</c:v>
                </c:pt>
                <c:pt idx="46">
                  <c:v>34.532800000000002</c:v>
                </c:pt>
                <c:pt idx="47">
                  <c:v>34.533299999999997</c:v>
                </c:pt>
                <c:pt idx="48">
                  <c:v>34.533799999999999</c:v>
                </c:pt>
                <c:pt idx="49">
                  <c:v>34.534300000000002</c:v>
                </c:pt>
                <c:pt idx="50">
                  <c:v>34.534799999999997</c:v>
                </c:pt>
                <c:pt idx="51">
                  <c:v>34.535299999999999</c:v>
                </c:pt>
                <c:pt idx="52">
                  <c:v>34.535800000000002</c:v>
                </c:pt>
                <c:pt idx="53">
                  <c:v>34.536299999999997</c:v>
                </c:pt>
                <c:pt idx="54">
                  <c:v>34.536799999999999</c:v>
                </c:pt>
                <c:pt idx="55">
                  <c:v>34.537300000000002</c:v>
                </c:pt>
                <c:pt idx="56">
                  <c:v>34.537799999999997</c:v>
                </c:pt>
                <c:pt idx="57">
                  <c:v>34.5383</c:v>
                </c:pt>
                <c:pt idx="58">
                  <c:v>34.538800000000002</c:v>
                </c:pt>
                <c:pt idx="59">
                  <c:v>34.539299999999997</c:v>
                </c:pt>
                <c:pt idx="60">
                  <c:v>34.5398</c:v>
                </c:pt>
                <c:pt idx="61">
                  <c:v>34.540300000000002</c:v>
                </c:pt>
                <c:pt idx="62">
                  <c:v>34.540799999999997</c:v>
                </c:pt>
                <c:pt idx="63">
                  <c:v>34.5413</c:v>
                </c:pt>
                <c:pt idx="64">
                  <c:v>34.541800000000002</c:v>
                </c:pt>
                <c:pt idx="65">
                  <c:v>34.542299999999997</c:v>
                </c:pt>
                <c:pt idx="66">
                  <c:v>34.5428</c:v>
                </c:pt>
                <c:pt idx="67">
                  <c:v>34.543300000000002</c:v>
                </c:pt>
                <c:pt idx="68">
                  <c:v>34.543799999999997</c:v>
                </c:pt>
                <c:pt idx="69">
                  <c:v>34.5443</c:v>
                </c:pt>
                <c:pt idx="70">
                  <c:v>34.544800000000002</c:v>
                </c:pt>
                <c:pt idx="71">
                  <c:v>34.545299999999997</c:v>
                </c:pt>
                <c:pt idx="72">
                  <c:v>34.5458</c:v>
                </c:pt>
                <c:pt idx="73">
                  <c:v>34.546300000000002</c:v>
                </c:pt>
                <c:pt idx="74">
                  <c:v>34.546799999999998</c:v>
                </c:pt>
                <c:pt idx="75">
                  <c:v>34.5473</c:v>
                </c:pt>
                <c:pt idx="76">
                  <c:v>34.547800000000002</c:v>
                </c:pt>
                <c:pt idx="77">
                  <c:v>34.548299999999998</c:v>
                </c:pt>
                <c:pt idx="78">
                  <c:v>34.5488</c:v>
                </c:pt>
                <c:pt idx="79">
                  <c:v>34.549300000000002</c:v>
                </c:pt>
                <c:pt idx="80">
                  <c:v>34.549799999999998</c:v>
                </c:pt>
              </c:numCache>
            </c:numRef>
          </c:xVal>
          <c:yVal>
            <c:numRef>
              <c:f>ω!$K$20:$K$100</c:f>
              <c:numCache>
                <c:formatCode>General</c:formatCode>
                <c:ptCount val="81"/>
                <c:pt idx="0">
                  <c:v>0</c:v>
                </c:pt>
                <c:pt idx="1">
                  <c:v>3.7090733429195573E-4</c:v>
                </c:pt>
                <c:pt idx="2">
                  <c:v>0</c:v>
                </c:pt>
                <c:pt idx="3">
                  <c:v>1.855380304165852E-4</c:v>
                </c:pt>
                <c:pt idx="4">
                  <c:v>5.5692164309260666E-4</c:v>
                </c:pt>
                <c:pt idx="5">
                  <c:v>5.569588546460477E-4</c:v>
                </c:pt>
                <c:pt idx="6">
                  <c:v>1.8560785207336313E-4</c:v>
                </c:pt>
                <c:pt idx="7">
                  <c:v>1.8557204792078955E-4</c:v>
                </c:pt>
                <c:pt idx="8">
                  <c:v>1.8559257118964484E-4</c:v>
                </c:pt>
                <c:pt idx="9">
                  <c:v>5.5729295763193288E-4</c:v>
                </c:pt>
                <c:pt idx="10">
                  <c:v>1.858861722678167E-4</c:v>
                </c:pt>
                <c:pt idx="11">
                  <c:v>5.576696087518289E-4</c:v>
                </c:pt>
                <c:pt idx="12">
                  <c:v>3.7179862791434352E-4</c:v>
                </c:pt>
                <c:pt idx="13">
                  <c:v>5.5771242573803437E-4</c:v>
                </c:pt>
                <c:pt idx="14">
                  <c:v>1.8593342259625085E-4</c:v>
                </c:pt>
                <c:pt idx="15">
                  <c:v>3.7172303607986535E-4</c:v>
                </c:pt>
                <c:pt idx="16">
                  <c:v>0</c:v>
                </c:pt>
                <c:pt idx="17">
                  <c:v>3.7180433016336062E-4</c:v>
                </c:pt>
                <c:pt idx="18">
                  <c:v>0</c:v>
                </c:pt>
                <c:pt idx="19">
                  <c:v>3.718656766883413E-4</c:v>
                </c:pt>
                <c:pt idx="20">
                  <c:v>3.7155013838756454E-4</c:v>
                </c:pt>
                <c:pt idx="21">
                  <c:v>3.7148332064036743E-4</c:v>
                </c:pt>
                <c:pt idx="22">
                  <c:v>3.7152981170999176E-4</c:v>
                </c:pt>
                <c:pt idx="23">
                  <c:v>1.8589303833545722E-4</c:v>
                </c:pt>
                <c:pt idx="24">
                  <c:v>3.7160098207450742E-4</c:v>
                </c:pt>
                <c:pt idx="25">
                  <c:v>1.8585240910070182E-4</c:v>
                </c:pt>
                <c:pt idx="26">
                  <c:v>5.5814988791513028E-4</c:v>
                </c:pt>
                <c:pt idx="27">
                  <c:v>7.441436683949962E-4</c:v>
                </c:pt>
                <c:pt idx="28">
                  <c:v>5.5821893179039146E-4</c:v>
                </c:pt>
                <c:pt idx="29">
                  <c:v>2.0455463583658865E-3</c:v>
                </c:pt>
                <c:pt idx="30">
                  <c:v>1.4882999623925203E-3</c:v>
                </c:pt>
                <c:pt idx="31">
                  <c:v>3.7199793020351638E-3</c:v>
                </c:pt>
                <c:pt idx="32">
                  <c:v>4.8374152187166588E-3</c:v>
                </c:pt>
                <c:pt idx="33">
                  <c:v>5.2097531267310225E-3</c:v>
                </c:pt>
                <c:pt idx="34">
                  <c:v>6.5084393166042016E-3</c:v>
                </c:pt>
                <c:pt idx="35">
                  <c:v>9.48037911924564E-3</c:v>
                </c:pt>
                <c:pt idx="36">
                  <c:v>1.3937224473847942E-2</c:v>
                </c:pt>
                <c:pt idx="37">
                  <c:v>1.5795194380865175E-2</c:v>
                </c:pt>
                <c:pt idx="38">
                  <c:v>1.8205356458000029E-2</c:v>
                </c:pt>
                <c:pt idx="39">
                  <c:v>1.9503769131247139E-2</c:v>
                </c:pt>
                <c:pt idx="40">
                  <c:v>2.0616871659045237E-2</c:v>
                </c:pt>
                <c:pt idx="41">
                  <c:v>1.967949747623441E-2</c:v>
                </c:pt>
                <c:pt idx="42">
                  <c:v>2.0252020979830306E-2</c:v>
                </c:pt>
                <c:pt idx="43">
                  <c:v>2.3779090466137794E-2</c:v>
                </c:pt>
                <c:pt idx="44">
                  <c:v>1.9875547125516643E-2</c:v>
                </c:pt>
                <c:pt idx="45">
                  <c:v>1.9129665235501501E-2</c:v>
                </c:pt>
                <c:pt idx="46">
                  <c:v>2.0255400154721524E-2</c:v>
                </c:pt>
                <c:pt idx="47">
                  <c:v>1.6736854837017996E-2</c:v>
                </c:pt>
                <c:pt idx="48">
                  <c:v>1.3203036103237328E-2</c:v>
                </c:pt>
                <c:pt idx="49">
                  <c:v>1.3203976271450394E-2</c:v>
                </c:pt>
                <c:pt idx="50">
                  <c:v>7.0697165399013781E-3</c:v>
                </c:pt>
                <c:pt idx="51">
                  <c:v>6.7002541722808433E-3</c:v>
                </c:pt>
                <c:pt idx="52">
                  <c:v>5.5871585938805412E-3</c:v>
                </c:pt>
                <c:pt idx="53">
                  <c:v>2.9807705832222298E-3</c:v>
                </c:pt>
                <c:pt idx="54">
                  <c:v>4.0994601327781592E-3</c:v>
                </c:pt>
                <c:pt idx="55">
                  <c:v>5.5893107487420182E-4</c:v>
                </c:pt>
                <c:pt idx="56">
                  <c:v>5.5926602672340853E-4</c:v>
                </c:pt>
                <c:pt idx="57">
                  <c:v>3.7287394964437986E-4</c:v>
                </c:pt>
                <c:pt idx="58">
                  <c:v>5.5952665089783788E-4</c:v>
                </c:pt>
                <c:pt idx="59">
                  <c:v>1.8659524049654112E-4</c:v>
                </c:pt>
                <c:pt idx="60">
                  <c:v>1.865570462437793E-4</c:v>
                </c:pt>
                <c:pt idx="61">
                  <c:v>1.8674945045706086E-4</c:v>
                </c:pt>
                <c:pt idx="62">
                  <c:v>3.7376822113069857E-4</c:v>
                </c:pt>
                <c:pt idx="63">
                  <c:v>1.8705726468219483E-4</c:v>
                </c:pt>
                <c:pt idx="64">
                  <c:v>3.7430369219899456E-4</c:v>
                </c:pt>
                <c:pt idx="65">
                  <c:v>0</c:v>
                </c:pt>
                <c:pt idx="66">
                  <c:v>3.7447991293491819E-4</c:v>
                </c:pt>
                <c:pt idx="67">
                  <c:v>1.872341438986515E-4</c:v>
                </c:pt>
                <c:pt idx="68">
                  <c:v>0</c:v>
                </c:pt>
                <c:pt idx="69">
                  <c:v>0</c:v>
                </c:pt>
                <c:pt idx="70">
                  <c:v>1.8708795281552028E-4</c:v>
                </c:pt>
                <c:pt idx="71">
                  <c:v>9.3557128471264176E-4</c:v>
                </c:pt>
                <c:pt idx="72">
                  <c:v>1.8718256878051567E-4</c:v>
                </c:pt>
                <c:pt idx="73">
                  <c:v>1.8721624219221681E-4</c:v>
                </c:pt>
                <c:pt idx="74">
                  <c:v>0</c:v>
                </c:pt>
                <c:pt idx="75">
                  <c:v>1.8740048097457844E-4</c:v>
                </c:pt>
                <c:pt idx="76">
                  <c:v>3.7483569780003874E-4</c:v>
                </c:pt>
                <c:pt idx="77">
                  <c:v>0</c:v>
                </c:pt>
                <c:pt idx="78">
                  <c:v>1.8748277970668395E-4</c:v>
                </c:pt>
                <c:pt idx="79">
                  <c:v>1.8758759520000112E-4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8-4BE7-B432-EF996698C1C0}"/>
            </c:ext>
          </c:extLst>
        </c:ser>
        <c:ser>
          <c:idx val="1"/>
          <c:order val="1"/>
          <c:tx>
            <c:strRef>
              <c:f>ω!$S$1</c:f>
              <c:strCache>
                <c:ptCount val="1"/>
                <c:pt idx="0">
                  <c:v>Si_TEOS_omega_2_BG.dat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ω!$G$20:$G$100</c:f>
              <c:numCache>
                <c:formatCode>General</c:formatCode>
                <c:ptCount val="81"/>
                <c:pt idx="0">
                  <c:v>34.509799999999998</c:v>
                </c:pt>
                <c:pt idx="1">
                  <c:v>34.510300000000001</c:v>
                </c:pt>
                <c:pt idx="2">
                  <c:v>34.510800000000003</c:v>
                </c:pt>
                <c:pt idx="3">
                  <c:v>34.511299999999999</c:v>
                </c:pt>
                <c:pt idx="4">
                  <c:v>34.511800000000001</c:v>
                </c:pt>
                <c:pt idx="5">
                  <c:v>34.512300000000003</c:v>
                </c:pt>
                <c:pt idx="6">
                  <c:v>34.512799999999999</c:v>
                </c:pt>
                <c:pt idx="7">
                  <c:v>34.513300000000001</c:v>
                </c:pt>
                <c:pt idx="8">
                  <c:v>34.513800000000003</c:v>
                </c:pt>
                <c:pt idx="9">
                  <c:v>34.514299999999999</c:v>
                </c:pt>
                <c:pt idx="10">
                  <c:v>34.514800000000001</c:v>
                </c:pt>
                <c:pt idx="11">
                  <c:v>34.515300000000003</c:v>
                </c:pt>
                <c:pt idx="12">
                  <c:v>34.515799999999999</c:v>
                </c:pt>
                <c:pt idx="13">
                  <c:v>34.516300000000001</c:v>
                </c:pt>
                <c:pt idx="14">
                  <c:v>34.516800000000003</c:v>
                </c:pt>
                <c:pt idx="15">
                  <c:v>34.517299999999999</c:v>
                </c:pt>
                <c:pt idx="16">
                  <c:v>34.517800000000001</c:v>
                </c:pt>
                <c:pt idx="17">
                  <c:v>34.518300000000004</c:v>
                </c:pt>
                <c:pt idx="18">
                  <c:v>34.518799999999999</c:v>
                </c:pt>
                <c:pt idx="19">
                  <c:v>34.519300000000001</c:v>
                </c:pt>
                <c:pt idx="20">
                  <c:v>34.519799999999996</c:v>
                </c:pt>
                <c:pt idx="21">
                  <c:v>34.520299999999999</c:v>
                </c:pt>
                <c:pt idx="22">
                  <c:v>34.520800000000001</c:v>
                </c:pt>
                <c:pt idx="23">
                  <c:v>34.521299999999997</c:v>
                </c:pt>
                <c:pt idx="24">
                  <c:v>34.521799999999999</c:v>
                </c:pt>
                <c:pt idx="25">
                  <c:v>34.522300000000001</c:v>
                </c:pt>
                <c:pt idx="26">
                  <c:v>34.522799999999997</c:v>
                </c:pt>
                <c:pt idx="27">
                  <c:v>34.523299999999999</c:v>
                </c:pt>
                <c:pt idx="28">
                  <c:v>34.523800000000001</c:v>
                </c:pt>
                <c:pt idx="29">
                  <c:v>34.524299999999997</c:v>
                </c:pt>
                <c:pt idx="30">
                  <c:v>34.524799999999999</c:v>
                </c:pt>
                <c:pt idx="31">
                  <c:v>34.525300000000001</c:v>
                </c:pt>
                <c:pt idx="32">
                  <c:v>34.525799999999997</c:v>
                </c:pt>
                <c:pt idx="33">
                  <c:v>34.526299999999999</c:v>
                </c:pt>
                <c:pt idx="34">
                  <c:v>34.526800000000001</c:v>
                </c:pt>
                <c:pt idx="35">
                  <c:v>34.527299999999997</c:v>
                </c:pt>
                <c:pt idx="36">
                  <c:v>34.527799999999999</c:v>
                </c:pt>
                <c:pt idx="37">
                  <c:v>34.528300000000002</c:v>
                </c:pt>
                <c:pt idx="38">
                  <c:v>34.528799999999997</c:v>
                </c:pt>
                <c:pt idx="39">
                  <c:v>34.529299999999999</c:v>
                </c:pt>
                <c:pt idx="40">
                  <c:v>34.529800000000002</c:v>
                </c:pt>
                <c:pt idx="41">
                  <c:v>34.530299999999997</c:v>
                </c:pt>
                <c:pt idx="42">
                  <c:v>34.530799999999999</c:v>
                </c:pt>
                <c:pt idx="43">
                  <c:v>34.531300000000002</c:v>
                </c:pt>
                <c:pt idx="44">
                  <c:v>34.531799999999997</c:v>
                </c:pt>
                <c:pt idx="45">
                  <c:v>34.532299999999999</c:v>
                </c:pt>
                <c:pt idx="46">
                  <c:v>34.532800000000002</c:v>
                </c:pt>
                <c:pt idx="47">
                  <c:v>34.533299999999997</c:v>
                </c:pt>
                <c:pt idx="48">
                  <c:v>34.533799999999999</c:v>
                </c:pt>
                <c:pt idx="49">
                  <c:v>34.534300000000002</c:v>
                </c:pt>
                <c:pt idx="50">
                  <c:v>34.534799999999997</c:v>
                </c:pt>
                <c:pt idx="51">
                  <c:v>34.535299999999999</c:v>
                </c:pt>
                <c:pt idx="52">
                  <c:v>34.535800000000002</c:v>
                </c:pt>
                <c:pt idx="53">
                  <c:v>34.536299999999997</c:v>
                </c:pt>
                <c:pt idx="54">
                  <c:v>34.536799999999999</c:v>
                </c:pt>
                <c:pt idx="55">
                  <c:v>34.537300000000002</c:v>
                </c:pt>
                <c:pt idx="56">
                  <c:v>34.537799999999997</c:v>
                </c:pt>
                <c:pt idx="57">
                  <c:v>34.5383</c:v>
                </c:pt>
                <c:pt idx="58">
                  <c:v>34.538800000000002</c:v>
                </c:pt>
                <c:pt idx="59">
                  <c:v>34.539299999999997</c:v>
                </c:pt>
                <c:pt idx="60">
                  <c:v>34.5398</c:v>
                </c:pt>
                <c:pt idx="61">
                  <c:v>34.540300000000002</c:v>
                </c:pt>
                <c:pt idx="62">
                  <c:v>34.540799999999997</c:v>
                </c:pt>
                <c:pt idx="63">
                  <c:v>34.5413</c:v>
                </c:pt>
                <c:pt idx="64">
                  <c:v>34.541800000000002</c:v>
                </c:pt>
                <c:pt idx="65">
                  <c:v>34.542299999999997</c:v>
                </c:pt>
                <c:pt idx="66">
                  <c:v>34.5428</c:v>
                </c:pt>
                <c:pt idx="67">
                  <c:v>34.543300000000002</c:v>
                </c:pt>
                <c:pt idx="68">
                  <c:v>34.543799999999997</c:v>
                </c:pt>
                <c:pt idx="69">
                  <c:v>34.5443</c:v>
                </c:pt>
                <c:pt idx="70">
                  <c:v>34.544800000000002</c:v>
                </c:pt>
                <c:pt idx="71">
                  <c:v>34.545299999999997</c:v>
                </c:pt>
                <c:pt idx="72">
                  <c:v>34.5458</c:v>
                </c:pt>
                <c:pt idx="73">
                  <c:v>34.546300000000002</c:v>
                </c:pt>
                <c:pt idx="74">
                  <c:v>34.546799999999998</c:v>
                </c:pt>
                <c:pt idx="75">
                  <c:v>34.5473</c:v>
                </c:pt>
                <c:pt idx="76">
                  <c:v>34.547800000000002</c:v>
                </c:pt>
                <c:pt idx="77">
                  <c:v>34.548299999999998</c:v>
                </c:pt>
                <c:pt idx="78">
                  <c:v>34.5488</c:v>
                </c:pt>
                <c:pt idx="79">
                  <c:v>34.549300000000002</c:v>
                </c:pt>
                <c:pt idx="80">
                  <c:v>34.549799999999998</c:v>
                </c:pt>
              </c:numCache>
            </c:numRef>
          </c:xVal>
          <c:yVal>
            <c:numRef>
              <c:f>ω!$W$20:$W$100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2.9573942115692015E-4</c:v>
                </c:pt>
                <c:pt idx="5">
                  <c:v>2.9570522754502476E-4</c:v>
                </c:pt>
                <c:pt idx="6">
                  <c:v>8.8723673578861896E-4</c:v>
                </c:pt>
                <c:pt idx="7">
                  <c:v>2.9570074185993522E-4</c:v>
                </c:pt>
                <c:pt idx="8">
                  <c:v>2.9558727220123485E-4</c:v>
                </c:pt>
                <c:pt idx="9">
                  <c:v>5.9144805736076182E-4</c:v>
                </c:pt>
                <c:pt idx="10">
                  <c:v>0</c:v>
                </c:pt>
                <c:pt idx="11">
                  <c:v>2.9581225104071188E-4</c:v>
                </c:pt>
                <c:pt idx="12">
                  <c:v>0</c:v>
                </c:pt>
                <c:pt idx="13">
                  <c:v>2.955198889318049E-4</c:v>
                </c:pt>
                <c:pt idx="14">
                  <c:v>5.9129802659309662E-4</c:v>
                </c:pt>
                <c:pt idx="15">
                  <c:v>2.9555685245902415E-4</c:v>
                </c:pt>
                <c:pt idx="16">
                  <c:v>0</c:v>
                </c:pt>
                <c:pt idx="17">
                  <c:v>0</c:v>
                </c:pt>
                <c:pt idx="18">
                  <c:v>5.911357189088179E-4</c:v>
                </c:pt>
                <c:pt idx="19">
                  <c:v>8.8707903738204292E-4</c:v>
                </c:pt>
                <c:pt idx="20">
                  <c:v>1.1821753142938678E-3</c:v>
                </c:pt>
                <c:pt idx="21">
                  <c:v>8.8669500839478504E-4</c:v>
                </c:pt>
                <c:pt idx="22">
                  <c:v>2.0687695650187382E-3</c:v>
                </c:pt>
                <c:pt idx="23">
                  <c:v>2.3650802989106734E-3</c:v>
                </c:pt>
                <c:pt idx="24">
                  <c:v>3.8423146008575511E-3</c:v>
                </c:pt>
                <c:pt idx="25">
                  <c:v>2.6614252754434699E-3</c:v>
                </c:pt>
                <c:pt idx="26">
                  <c:v>3.2517352737482207E-3</c:v>
                </c:pt>
                <c:pt idx="27">
                  <c:v>4.7318605456817073E-3</c:v>
                </c:pt>
                <c:pt idx="28">
                  <c:v>4.1401150981569537E-3</c:v>
                </c:pt>
                <c:pt idx="29">
                  <c:v>7.0979728160062601E-3</c:v>
                </c:pt>
                <c:pt idx="30">
                  <c:v>5.3240497680341094E-3</c:v>
                </c:pt>
                <c:pt idx="31">
                  <c:v>4.4380663841827551E-3</c:v>
                </c:pt>
                <c:pt idx="32">
                  <c:v>6.214153948858105E-3</c:v>
                </c:pt>
                <c:pt idx="33">
                  <c:v>5.9164413883000715E-3</c:v>
                </c:pt>
                <c:pt idx="34">
                  <c:v>5.3254389027039654E-3</c:v>
                </c:pt>
                <c:pt idx="35">
                  <c:v>7.9923181390189144E-3</c:v>
                </c:pt>
                <c:pt idx="36">
                  <c:v>3.5518706607610105E-3</c:v>
                </c:pt>
                <c:pt idx="37">
                  <c:v>7.6985720066834271E-3</c:v>
                </c:pt>
                <c:pt idx="38">
                  <c:v>6.2206680689434867E-3</c:v>
                </c:pt>
                <c:pt idx="39">
                  <c:v>1.1247128023660879E-2</c:v>
                </c:pt>
                <c:pt idx="40">
                  <c:v>1.1843493328367751E-2</c:v>
                </c:pt>
                <c:pt idx="41">
                  <c:v>7.9950591718771016E-3</c:v>
                </c:pt>
                <c:pt idx="42">
                  <c:v>9.7782763974423696E-3</c:v>
                </c:pt>
                <c:pt idx="43">
                  <c:v>1.2149972984090558E-2</c:v>
                </c:pt>
                <c:pt idx="44">
                  <c:v>9.180904027627057E-3</c:v>
                </c:pt>
                <c:pt idx="45">
                  <c:v>8.8874945397455427E-3</c:v>
                </c:pt>
                <c:pt idx="46">
                  <c:v>1.2738578390648887E-2</c:v>
                </c:pt>
                <c:pt idx="47">
                  <c:v>9.1831295246353004E-3</c:v>
                </c:pt>
                <c:pt idx="48">
                  <c:v>7.1120317767950471E-3</c:v>
                </c:pt>
                <c:pt idx="49">
                  <c:v>7.7053226205245082E-3</c:v>
                </c:pt>
                <c:pt idx="50">
                  <c:v>5.9253297060835007E-3</c:v>
                </c:pt>
                <c:pt idx="51">
                  <c:v>9.7782343851078798E-3</c:v>
                </c:pt>
                <c:pt idx="52">
                  <c:v>8.2957302202460084E-3</c:v>
                </c:pt>
                <c:pt idx="53">
                  <c:v>2.2820272747899883E-2</c:v>
                </c:pt>
                <c:pt idx="54">
                  <c:v>7.4083216491753721E-3</c:v>
                </c:pt>
                <c:pt idx="55">
                  <c:v>8.0000597337793449E-3</c:v>
                </c:pt>
                <c:pt idx="56">
                  <c:v>9.1901394191582862E-3</c:v>
                </c:pt>
                <c:pt idx="57">
                  <c:v>7.1120408392350435E-3</c:v>
                </c:pt>
                <c:pt idx="58">
                  <c:v>9.1934980141896005E-3</c:v>
                </c:pt>
                <c:pt idx="59">
                  <c:v>1.0969362570341038E-2</c:v>
                </c:pt>
                <c:pt idx="60">
                  <c:v>3.8537108819813193E-3</c:v>
                </c:pt>
                <c:pt idx="61">
                  <c:v>8.3088837011780006E-3</c:v>
                </c:pt>
                <c:pt idx="62">
                  <c:v>4.7425499357162176E-3</c:v>
                </c:pt>
                <c:pt idx="63">
                  <c:v>7.410493905565349E-3</c:v>
                </c:pt>
                <c:pt idx="64">
                  <c:v>4.1481524499358737E-3</c:v>
                </c:pt>
                <c:pt idx="65">
                  <c:v>3.8534807038732282E-3</c:v>
                </c:pt>
                <c:pt idx="66">
                  <c:v>4.7441510473647443E-3</c:v>
                </c:pt>
                <c:pt idx="67">
                  <c:v>3.5553528741057846E-3</c:v>
                </c:pt>
                <c:pt idx="68">
                  <c:v>1.7785929794014328E-3</c:v>
                </c:pt>
                <c:pt idx="69">
                  <c:v>2.9647417201508542E-3</c:v>
                </c:pt>
                <c:pt idx="70">
                  <c:v>1.4827382284374128E-3</c:v>
                </c:pt>
                <c:pt idx="71">
                  <c:v>2.3708552190436099E-3</c:v>
                </c:pt>
                <c:pt idx="72">
                  <c:v>1.4821281724286574E-3</c:v>
                </c:pt>
                <c:pt idx="73">
                  <c:v>8.8912208914764847E-4</c:v>
                </c:pt>
                <c:pt idx="74">
                  <c:v>2.370816364832602E-3</c:v>
                </c:pt>
                <c:pt idx="75">
                  <c:v>1.1847849209579626E-3</c:v>
                </c:pt>
                <c:pt idx="76">
                  <c:v>1.4820558165340577E-3</c:v>
                </c:pt>
                <c:pt idx="77">
                  <c:v>5.925983342120085E-4</c:v>
                </c:pt>
                <c:pt idx="78">
                  <c:v>2.9644781406793099E-4</c:v>
                </c:pt>
                <c:pt idx="79">
                  <c:v>2.9653471020329975E-4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C8-4BE7-B432-EF996698C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0528"/>
        <c:axId val="72797648"/>
      </c:scatterChart>
      <c:valAx>
        <c:axId val="72800528"/>
        <c:scaling>
          <c:orientation val="minMax"/>
          <c:max val="34.549999999999997"/>
          <c:min val="34.51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97648"/>
        <c:crosses val="autoZero"/>
        <c:crossBetween val="midCat"/>
      </c:valAx>
      <c:valAx>
        <c:axId val="72797648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8005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Si_TEOS_2thome_VS  Si_TEOS_2thome_2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31683539557541E-2"/>
          <c:y val="0.107065223858477"/>
          <c:w val="0.89432545931758534"/>
          <c:h val="0.82919230939819411"/>
        </c:manualLayout>
      </c:layout>
      <c:scatterChart>
        <c:scatterStyle val="lineMarker"/>
        <c:varyColors val="0"/>
        <c:ser>
          <c:idx val="0"/>
          <c:order val="0"/>
          <c:tx>
            <c:v>Si_TEOS_2thome_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Si_TEOS_2thome!$A$20:$A$220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</c:numRef>
          </c:xVal>
          <c:yVal>
            <c:numRef>
              <c:f>Si_TEOS_2thome!$E$20:$E$220</c:f>
              <c:numCache>
                <c:formatCode>0.00E+00</c:formatCode>
                <c:ptCount val="201"/>
                <c:pt idx="0">
                  <c:v>1.5223430528788186E-2</c:v>
                </c:pt>
                <c:pt idx="1">
                  <c:v>1.8655821511432233E-2</c:v>
                </c:pt>
                <c:pt idx="2">
                  <c:v>1.6863628767664313E-2</c:v>
                </c:pt>
                <c:pt idx="3">
                  <c:v>1.8668410631293667E-2</c:v>
                </c:pt>
                <c:pt idx="4">
                  <c:v>1.6151918194626164E-2</c:v>
                </c:pt>
                <c:pt idx="5">
                  <c:v>1.8127009349821685E-2</c:v>
                </c:pt>
                <c:pt idx="6">
                  <c:v>1.9744074435304213E-2</c:v>
                </c:pt>
                <c:pt idx="7">
                  <c:v>2.260766780680485E-2</c:v>
                </c:pt>
                <c:pt idx="8">
                  <c:v>2.6188757948288038E-2</c:v>
                </c:pt>
                <c:pt idx="9">
                  <c:v>2.3669420394530148E-2</c:v>
                </c:pt>
                <c:pt idx="10">
                  <c:v>2.2068295561651307E-2</c:v>
                </c:pt>
                <c:pt idx="11">
                  <c:v>2.00864420031606E-2</c:v>
                </c:pt>
                <c:pt idx="12">
                  <c:v>2.4751076806357797E-2</c:v>
                </c:pt>
                <c:pt idx="13">
                  <c:v>2.3849954734399822E-2</c:v>
                </c:pt>
                <c:pt idx="14">
                  <c:v>2.3666355167231305E-2</c:v>
                </c:pt>
                <c:pt idx="15">
                  <c:v>2.6887478108887513E-2</c:v>
                </c:pt>
                <c:pt idx="16">
                  <c:v>2.384225205953586E-2</c:v>
                </c:pt>
                <c:pt idx="17">
                  <c:v>2.5862552959414219E-2</c:v>
                </c:pt>
                <c:pt idx="18">
                  <c:v>2.7130554835118541E-2</c:v>
                </c:pt>
                <c:pt idx="19">
                  <c:v>2.6422576700561081E-2</c:v>
                </c:pt>
                <c:pt idx="20">
                  <c:v>2.932418159807219E-2</c:v>
                </c:pt>
                <c:pt idx="21">
                  <c:v>3.1311065575304477E-2</c:v>
                </c:pt>
                <c:pt idx="22">
                  <c:v>3.3467350278680467E-2</c:v>
                </c:pt>
                <c:pt idx="23">
                  <c:v>2.7536485573419235E-2</c:v>
                </c:pt>
                <c:pt idx="24">
                  <c:v>2.5895535969259122E-2</c:v>
                </c:pt>
                <c:pt idx="25">
                  <c:v>2.7896548583216187E-2</c:v>
                </c:pt>
                <c:pt idx="26">
                  <c:v>3.4402566914208448E-2</c:v>
                </c:pt>
                <c:pt idx="27">
                  <c:v>3.3525179671982076E-2</c:v>
                </c:pt>
                <c:pt idx="28">
                  <c:v>3.048990658704483E-2</c:v>
                </c:pt>
                <c:pt idx="29">
                  <c:v>3.7174859386094376E-2</c:v>
                </c:pt>
                <c:pt idx="30">
                  <c:v>3.7357868874710425E-2</c:v>
                </c:pt>
                <c:pt idx="31">
                  <c:v>4.2601054303888844E-2</c:v>
                </c:pt>
                <c:pt idx="32">
                  <c:v>3.7002980924042778E-2</c:v>
                </c:pt>
                <c:pt idx="33">
                  <c:v>3.627621380572351E-2</c:v>
                </c:pt>
                <c:pt idx="34">
                  <c:v>3.8254722134931078E-2</c:v>
                </c:pt>
                <c:pt idx="35">
                  <c:v>3.9901012268821028E-2</c:v>
                </c:pt>
                <c:pt idx="36">
                  <c:v>4.1882653434347793E-2</c:v>
                </c:pt>
                <c:pt idx="37">
                  <c:v>4.5121443372164428E-2</c:v>
                </c:pt>
                <c:pt idx="38">
                  <c:v>4.9308444549764227E-2</c:v>
                </c:pt>
                <c:pt idx="39">
                  <c:v>4.9318219870234915E-2</c:v>
                </c:pt>
                <c:pt idx="40">
                  <c:v>4.4436152907186534E-2</c:v>
                </c:pt>
                <c:pt idx="41">
                  <c:v>4.8596725296116652E-2</c:v>
                </c:pt>
                <c:pt idx="42">
                  <c:v>5.6916932285040286E-2</c:v>
                </c:pt>
                <c:pt idx="43">
                  <c:v>5.1832362508969533E-2</c:v>
                </c:pt>
                <c:pt idx="44">
                  <c:v>5.0411197270090927E-2</c:v>
                </c:pt>
                <c:pt idx="45">
                  <c:v>6.1406644534869138E-2</c:v>
                </c:pt>
                <c:pt idx="46">
                  <c:v>5.9807653887216532E-2</c:v>
                </c:pt>
                <c:pt idx="47">
                  <c:v>7.1185890262758511E-2</c:v>
                </c:pt>
                <c:pt idx="48">
                  <c:v>7.012963173231361E-2</c:v>
                </c:pt>
                <c:pt idx="49">
                  <c:v>6.8677063602985269E-2</c:v>
                </c:pt>
                <c:pt idx="50">
                  <c:v>7.5560268090000382E-2</c:v>
                </c:pt>
                <c:pt idx="51">
                  <c:v>7.8946366259544293E-2</c:v>
                </c:pt>
                <c:pt idx="52">
                  <c:v>8.6197372031869404E-2</c:v>
                </c:pt>
                <c:pt idx="53">
                  <c:v>8.5337863086391352E-2</c:v>
                </c:pt>
                <c:pt idx="54">
                  <c:v>8.9267727793713059E-2</c:v>
                </c:pt>
                <c:pt idx="55">
                  <c:v>9.6860979610384298E-2</c:v>
                </c:pt>
                <c:pt idx="56">
                  <c:v>9.9435648457377943E-2</c:v>
                </c:pt>
                <c:pt idx="57">
                  <c:v>0.11824125142201378</c:v>
                </c:pt>
                <c:pt idx="58">
                  <c:v>0.12210544077965715</c:v>
                </c:pt>
                <c:pt idx="59">
                  <c:v>0.13059577812066706</c:v>
                </c:pt>
                <c:pt idx="60">
                  <c:v>0.12232407490880252</c:v>
                </c:pt>
                <c:pt idx="61">
                  <c:v>0.14607260717231343</c:v>
                </c:pt>
                <c:pt idx="62">
                  <c:v>0.14987978934938648</c:v>
                </c:pt>
                <c:pt idx="63">
                  <c:v>0.15713066089680949</c:v>
                </c:pt>
                <c:pt idx="64">
                  <c:v>0.16774577384246958</c:v>
                </c:pt>
                <c:pt idx="65">
                  <c:v>0.18095722354002308</c:v>
                </c:pt>
                <c:pt idx="66">
                  <c:v>0.19907713991230075</c:v>
                </c:pt>
                <c:pt idx="67">
                  <c:v>0.20946582015681078</c:v>
                </c:pt>
                <c:pt idx="68">
                  <c:v>0.21770004215991334</c:v>
                </c:pt>
                <c:pt idx="69">
                  <c:v>0.23766379532451914</c:v>
                </c:pt>
                <c:pt idx="70">
                  <c:v>0.25427707993852</c:v>
                </c:pt>
                <c:pt idx="71">
                  <c:v>0.26834350090238196</c:v>
                </c:pt>
                <c:pt idx="72">
                  <c:v>0.28580231769550035</c:v>
                </c:pt>
                <c:pt idx="73">
                  <c:v>0.31370618213701151</c:v>
                </c:pt>
                <c:pt idx="74">
                  <c:v>0.32170981038833624</c:v>
                </c:pt>
                <c:pt idx="75">
                  <c:v>0.35909480035625829</c:v>
                </c:pt>
                <c:pt idx="76">
                  <c:v>0.38269102454853243</c:v>
                </c:pt>
                <c:pt idx="77">
                  <c:v>0.44258379148280225</c:v>
                </c:pt>
                <c:pt idx="78">
                  <c:v>0.48713392642327003</c:v>
                </c:pt>
                <c:pt idx="79">
                  <c:v>0.50896025618536245</c:v>
                </c:pt>
                <c:pt idx="80">
                  <c:v>0.57392589903996072</c:v>
                </c:pt>
                <c:pt idx="81">
                  <c:v>0.6708226851563529</c:v>
                </c:pt>
                <c:pt idx="82">
                  <c:v>0.73944563300326827</c:v>
                </c:pt>
                <c:pt idx="83">
                  <c:v>0.81504254416890376</c:v>
                </c:pt>
                <c:pt idx="84">
                  <c:v>0.91151563494959065</c:v>
                </c:pt>
                <c:pt idx="85">
                  <c:v>1.0360812013405063</c:v>
                </c:pt>
                <c:pt idx="86">
                  <c:v>1.2096273495274543</c:v>
                </c:pt>
                <c:pt idx="87">
                  <c:v>1.3977652880510352</c:v>
                </c:pt>
                <c:pt idx="88">
                  <c:v>1.6394620270429743</c:v>
                </c:pt>
                <c:pt idx="89">
                  <c:v>1.9991823935742132</c:v>
                </c:pt>
                <c:pt idx="90">
                  <c:v>2.4233062831701297</c:v>
                </c:pt>
                <c:pt idx="91">
                  <c:v>2.9847744675713948</c:v>
                </c:pt>
                <c:pt idx="92">
                  <c:v>3.8259673712609463</c:v>
                </c:pt>
                <c:pt idx="93">
                  <c:v>5.0423302908913632</c:v>
                </c:pt>
                <c:pt idx="94">
                  <c:v>7.126541114516014</c:v>
                </c:pt>
                <c:pt idx="95">
                  <c:v>10.658680216304107</c:v>
                </c:pt>
                <c:pt idx="96">
                  <c:v>17.606045599046499</c:v>
                </c:pt>
                <c:pt idx="97">
                  <c:v>35.691786032059909</c:v>
                </c:pt>
                <c:pt idx="98">
                  <c:v>121.66034240496381</c:v>
                </c:pt>
                <c:pt idx="99">
                  <c:v>7411.2050255298418</c:v>
                </c:pt>
                <c:pt idx="100">
                  <c:v>17653.435843421412</c:v>
                </c:pt>
                <c:pt idx="101">
                  <c:v>221.58295233692692</c:v>
                </c:pt>
                <c:pt idx="102">
                  <c:v>46.897407303092884</c:v>
                </c:pt>
                <c:pt idx="103">
                  <c:v>21.190627937453559</c:v>
                </c:pt>
                <c:pt idx="104">
                  <c:v>12.037255382752328</c:v>
                </c:pt>
                <c:pt idx="105">
                  <c:v>7.7431707042528997</c:v>
                </c:pt>
                <c:pt idx="106">
                  <c:v>5.3895328340289428</c:v>
                </c:pt>
                <c:pt idx="107">
                  <c:v>3.8624342623135712</c:v>
                </c:pt>
                <c:pt idx="108">
                  <c:v>2.9655089724631312</c:v>
                </c:pt>
                <c:pt idx="109">
                  <c:v>2.3725077314066176</c:v>
                </c:pt>
                <c:pt idx="110">
                  <c:v>1.9323301752254955</c:v>
                </c:pt>
                <c:pt idx="111">
                  <c:v>1.5724132501392598</c:v>
                </c:pt>
                <c:pt idx="112">
                  <c:v>1.3392364260667102</c:v>
                </c:pt>
                <c:pt idx="113">
                  <c:v>1.1591277432674756</c:v>
                </c:pt>
                <c:pt idx="114">
                  <c:v>1.0357853926976237</c:v>
                </c:pt>
                <c:pt idx="115">
                  <c:v>0.89422902624020617</c:v>
                </c:pt>
                <c:pt idx="116">
                  <c:v>0.75629786791527842</c:v>
                </c:pt>
                <c:pt idx="117">
                  <c:v>0.67680544470718607</c:v>
                </c:pt>
                <c:pt idx="118">
                  <c:v>0.60166448937083772</c:v>
                </c:pt>
                <c:pt idx="119">
                  <c:v>0.55416957333145256</c:v>
                </c:pt>
                <c:pt idx="120">
                  <c:v>0.47964175732623993</c:v>
                </c:pt>
                <c:pt idx="121">
                  <c:v>0.43136893697838807</c:v>
                </c:pt>
                <c:pt idx="122">
                  <c:v>0.40819815588844227</c:v>
                </c:pt>
                <c:pt idx="123">
                  <c:v>0.36979820393657686</c:v>
                </c:pt>
                <c:pt idx="124">
                  <c:v>0.33543074483585716</c:v>
                </c:pt>
                <c:pt idx="125">
                  <c:v>0.32124786427797292</c:v>
                </c:pt>
                <c:pt idx="126">
                  <c:v>0.28090716261508986</c:v>
                </c:pt>
                <c:pt idx="127">
                  <c:v>0.26061359384297456</c:v>
                </c:pt>
                <c:pt idx="128">
                  <c:v>0.24401805916559907</c:v>
                </c:pt>
                <c:pt idx="129">
                  <c:v>0.22137524743715156</c:v>
                </c:pt>
                <c:pt idx="130">
                  <c:v>0.2051095119353353</c:v>
                </c:pt>
                <c:pt idx="131">
                  <c:v>0.19363273757287855</c:v>
                </c:pt>
                <c:pt idx="132">
                  <c:v>0.18058604265098702</c:v>
                </c:pt>
                <c:pt idx="133">
                  <c:v>0.16923691422621767</c:v>
                </c:pt>
                <c:pt idx="134">
                  <c:v>0.15651348226517575</c:v>
                </c:pt>
                <c:pt idx="135">
                  <c:v>0.13680459758552688</c:v>
                </c:pt>
                <c:pt idx="136">
                  <c:v>0.13719092006102765</c:v>
                </c:pt>
                <c:pt idx="137">
                  <c:v>0.12806492760105448</c:v>
                </c:pt>
                <c:pt idx="138">
                  <c:v>0.10776649726224612</c:v>
                </c:pt>
                <c:pt idx="139">
                  <c:v>0.12101100539256894</c:v>
                </c:pt>
                <c:pt idx="140">
                  <c:v>0.10304439824386721</c:v>
                </c:pt>
                <c:pt idx="141">
                  <c:v>0.10071605821227018</c:v>
                </c:pt>
                <c:pt idx="142">
                  <c:v>9.9761732373282563E-2</c:v>
                </c:pt>
                <c:pt idx="143">
                  <c:v>9.4275115252243677E-2</c:v>
                </c:pt>
                <c:pt idx="144">
                  <c:v>8.8423063092802956E-2</c:v>
                </c:pt>
                <c:pt idx="145">
                  <c:v>8.7529439098536138E-2</c:v>
                </c:pt>
                <c:pt idx="146">
                  <c:v>8.2686595794863413E-2</c:v>
                </c:pt>
                <c:pt idx="147">
                  <c:v>7.0833936352212246E-2</c:v>
                </c:pt>
                <c:pt idx="148">
                  <c:v>7.5985959479196272E-2</c:v>
                </c:pt>
                <c:pt idx="149">
                  <c:v>6.7904715444374777E-2</c:v>
                </c:pt>
                <c:pt idx="150">
                  <c:v>6.8297084701403596E-2</c:v>
                </c:pt>
                <c:pt idx="151">
                  <c:v>6.2784576125035532E-2</c:v>
                </c:pt>
                <c:pt idx="152">
                  <c:v>5.9660446412401411E-2</c:v>
                </c:pt>
                <c:pt idx="153">
                  <c:v>5.6912885166871596E-2</c:v>
                </c:pt>
                <c:pt idx="154">
                  <c:v>5.5279388435705692E-2</c:v>
                </c:pt>
                <c:pt idx="155">
                  <c:v>5.6036283383615826E-2</c:v>
                </c:pt>
                <c:pt idx="156">
                  <c:v>4.9057483105829254E-2</c:v>
                </c:pt>
                <c:pt idx="157">
                  <c:v>4.8332426917251259E-2</c:v>
                </c:pt>
                <c:pt idx="158">
                  <c:v>4.4690758086765203E-2</c:v>
                </c:pt>
                <c:pt idx="159">
                  <c:v>4.7993404021022944E-2</c:v>
                </c:pt>
                <c:pt idx="160">
                  <c:v>4.2521542109706309E-2</c:v>
                </c:pt>
                <c:pt idx="161">
                  <c:v>4.1431772805610612E-2</c:v>
                </c:pt>
                <c:pt idx="162">
                  <c:v>3.925837985252608E-2</c:v>
                </c:pt>
                <c:pt idx="163">
                  <c:v>4.0541644441376402E-2</c:v>
                </c:pt>
                <c:pt idx="164">
                  <c:v>3.7265893545624346E-2</c:v>
                </c:pt>
                <c:pt idx="165">
                  <c:v>3.5449377710052118E-2</c:v>
                </c:pt>
                <c:pt idx="166">
                  <c:v>2.8829375672142204E-2</c:v>
                </c:pt>
                <c:pt idx="167">
                  <c:v>3.3425107905247387E-2</c:v>
                </c:pt>
                <c:pt idx="168">
                  <c:v>3.3816062526781765E-2</c:v>
                </c:pt>
                <c:pt idx="169">
                  <c:v>2.941434062350607E-2</c:v>
                </c:pt>
                <c:pt idx="170">
                  <c:v>2.79479261002409E-2</c:v>
                </c:pt>
                <c:pt idx="171">
                  <c:v>3.1834744333236097E-2</c:v>
                </c:pt>
                <c:pt idx="172">
                  <c:v>2.8713111474237898E-2</c:v>
                </c:pt>
                <c:pt idx="173">
                  <c:v>2.5044848694493065E-2</c:v>
                </c:pt>
                <c:pt idx="174">
                  <c:v>2.5970764618174411E-2</c:v>
                </c:pt>
                <c:pt idx="175">
                  <c:v>2.4487085317884252E-2</c:v>
                </c:pt>
                <c:pt idx="176">
                  <c:v>2.5765926204252464E-2</c:v>
                </c:pt>
                <c:pt idx="177">
                  <c:v>2.1173170779352567E-2</c:v>
                </c:pt>
                <c:pt idx="178">
                  <c:v>2.1172522903652811E-2</c:v>
                </c:pt>
                <c:pt idx="179">
                  <c:v>2.2106579837424898E-2</c:v>
                </c:pt>
                <c:pt idx="180">
                  <c:v>2.4130644710407947E-2</c:v>
                </c:pt>
                <c:pt idx="181">
                  <c:v>1.8062667244401694E-2</c:v>
                </c:pt>
                <c:pt idx="182">
                  <c:v>2.0287361250586718E-2</c:v>
                </c:pt>
                <c:pt idx="183">
                  <c:v>1.5683516236959846E-2</c:v>
                </c:pt>
                <c:pt idx="184">
                  <c:v>1.8457418311434898E-2</c:v>
                </c:pt>
                <c:pt idx="185">
                  <c:v>1.9752341450862642E-2</c:v>
                </c:pt>
                <c:pt idx="186">
                  <c:v>1.6445826928700061E-2</c:v>
                </c:pt>
                <c:pt idx="187">
                  <c:v>1.4971063429567884E-2</c:v>
                </c:pt>
                <c:pt idx="188">
                  <c:v>1.5171028368157936E-2</c:v>
                </c:pt>
                <c:pt idx="189">
                  <c:v>1.8510563089848348E-2</c:v>
                </c:pt>
                <c:pt idx="190">
                  <c:v>1.4255785335569801E-2</c:v>
                </c:pt>
                <c:pt idx="191">
                  <c:v>1.5547852746212603E-2</c:v>
                </c:pt>
                <c:pt idx="192">
                  <c:v>1.2777779670782172E-2</c:v>
                </c:pt>
                <c:pt idx="193">
                  <c:v>1.2784860353657031E-2</c:v>
                </c:pt>
                <c:pt idx="194">
                  <c:v>1.3719373006113927E-2</c:v>
                </c:pt>
                <c:pt idx="195">
                  <c:v>1.4088197230905517E-2</c:v>
                </c:pt>
                <c:pt idx="196">
                  <c:v>9.6424737618090173E-3</c:v>
                </c:pt>
                <c:pt idx="197">
                  <c:v>8.8905071258248095E-3</c:v>
                </c:pt>
                <c:pt idx="198">
                  <c:v>1.0370515941686736E-2</c:v>
                </c:pt>
                <c:pt idx="199">
                  <c:v>8.6988819456593064E-3</c:v>
                </c:pt>
                <c:pt idx="200">
                  <c:v>7.584551563388814E-3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E-4574-9CB8-33FABC4E8B05}"/>
            </c:ext>
          </c:extLst>
        </c:ser>
        <c:ser>
          <c:idx val="1"/>
          <c:order val="1"/>
          <c:tx>
            <c:v>Si_TEOS_2thome_2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Si_TEOS_2thome!$G$20:$G$220</c:f>
              <c:numCache>
                <c:formatCode>General</c:formatCode>
                <c:ptCount val="201"/>
                <c:pt idx="0">
                  <c:v>68.584599999999995</c:v>
                </c:pt>
                <c:pt idx="1">
                  <c:v>68.5946</c:v>
                </c:pt>
                <c:pt idx="2">
                  <c:v>68.604600000000005</c:v>
                </c:pt>
                <c:pt idx="3">
                  <c:v>68.614599999999996</c:v>
                </c:pt>
                <c:pt idx="4">
                  <c:v>68.624600000000001</c:v>
                </c:pt>
                <c:pt idx="5">
                  <c:v>68.634600000000006</c:v>
                </c:pt>
                <c:pt idx="6">
                  <c:v>68.644599999999997</c:v>
                </c:pt>
                <c:pt idx="7">
                  <c:v>68.654600000000002</c:v>
                </c:pt>
                <c:pt idx="8">
                  <c:v>68.664599999999993</c:v>
                </c:pt>
                <c:pt idx="9">
                  <c:v>68.674599999999998</c:v>
                </c:pt>
                <c:pt idx="10">
                  <c:v>68.684600000000003</c:v>
                </c:pt>
                <c:pt idx="11">
                  <c:v>68.694599999999994</c:v>
                </c:pt>
                <c:pt idx="12">
                  <c:v>68.704599999999999</c:v>
                </c:pt>
                <c:pt idx="13">
                  <c:v>68.714600000000004</c:v>
                </c:pt>
                <c:pt idx="14">
                  <c:v>68.724599999999995</c:v>
                </c:pt>
                <c:pt idx="15">
                  <c:v>68.7346</c:v>
                </c:pt>
                <c:pt idx="16">
                  <c:v>68.744600000000005</c:v>
                </c:pt>
                <c:pt idx="17">
                  <c:v>68.754599999999996</c:v>
                </c:pt>
                <c:pt idx="18">
                  <c:v>68.764600000000002</c:v>
                </c:pt>
                <c:pt idx="19">
                  <c:v>68.774600000000007</c:v>
                </c:pt>
                <c:pt idx="20">
                  <c:v>68.784599999999998</c:v>
                </c:pt>
                <c:pt idx="21">
                  <c:v>68.794600000000003</c:v>
                </c:pt>
                <c:pt idx="22">
                  <c:v>68.804599999999994</c:v>
                </c:pt>
                <c:pt idx="23">
                  <c:v>68.814599999999999</c:v>
                </c:pt>
                <c:pt idx="24">
                  <c:v>68.824600000000004</c:v>
                </c:pt>
                <c:pt idx="25">
                  <c:v>68.834599999999995</c:v>
                </c:pt>
                <c:pt idx="26">
                  <c:v>68.8446</c:v>
                </c:pt>
                <c:pt idx="27">
                  <c:v>68.854600000000005</c:v>
                </c:pt>
                <c:pt idx="28">
                  <c:v>68.864599999999996</c:v>
                </c:pt>
                <c:pt idx="29">
                  <c:v>68.874600000000001</c:v>
                </c:pt>
                <c:pt idx="30">
                  <c:v>68.884600000000006</c:v>
                </c:pt>
                <c:pt idx="31">
                  <c:v>68.894599999999997</c:v>
                </c:pt>
                <c:pt idx="32">
                  <c:v>68.904600000000002</c:v>
                </c:pt>
                <c:pt idx="33">
                  <c:v>68.914599999999993</c:v>
                </c:pt>
                <c:pt idx="34">
                  <c:v>68.924599999999998</c:v>
                </c:pt>
                <c:pt idx="35">
                  <c:v>68.934600000000003</c:v>
                </c:pt>
                <c:pt idx="36">
                  <c:v>68.944599999999994</c:v>
                </c:pt>
                <c:pt idx="37">
                  <c:v>68.954599999999999</c:v>
                </c:pt>
                <c:pt idx="38">
                  <c:v>68.964600000000004</c:v>
                </c:pt>
                <c:pt idx="39">
                  <c:v>68.974599999999995</c:v>
                </c:pt>
                <c:pt idx="40">
                  <c:v>68.9846</c:v>
                </c:pt>
                <c:pt idx="41">
                  <c:v>68.994600000000005</c:v>
                </c:pt>
                <c:pt idx="42">
                  <c:v>69.004599999999996</c:v>
                </c:pt>
                <c:pt idx="43">
                  <c:v>69.014600000000002</c:v>
                </c:pt>
                <c:pt idx="44">
                  <c:v>69.024600000000007</c:v>
                </c:pt>
                <c:pt idx="45">
                  <c:v>69.034599999999998</c:v>
                </c:pt>
                <c:pt idx="46">
                  <c:v>69.044600000000003</c:v>
                </c:pt>
                <c:pt idx="47">
                  <c:v>69.054599999999994</c:v>
                </c:pt>
                <c:pt idx="48">
                  <c:v>69.064599999999999</c:v>
                </c:pt>
                <c:pt idx="49">
                  <c:v>69.074600000000004</c:v>
                </c:pt>
                <c:pt idx="50">
                  <c:v>69.084599999999995</c:v>
                </c:pt>
                <c:pt idx="51">
                  <c:v>69.0946</c:v>
                </c:pt>
                <c:pt idx="52">
                  <c:v>69.104600000000005</c:v>
                </c:pt>
                <c:pt idx="53">
                  <c:v>69.114599999999996</c:v>
                </c:pt>
                <c:pt idx="54">
                  <c:v>69.124600000000001</c:v>
                </c:pt>
                <c:pt idx="55">
                  <c:v>69.134600000000006</c:v>
                </c:pt>
                <c:pt idx="56">
                  <c:v>69.144599999999997</c:v>
                </c:pt>
                <c:pt idx="57">
                  <c:v>69.154600000000002</c:v>
                </c:pt>
                <c:pt idx="58">
                  <c:v>69.164599999999993</c:v>
                </c:pt>
                <c:pt idx="59">
                  <c:v>69.174599999999998</c:v>
                </c:pt>
                <c:pt idx="60">
                  <c:v>69.184600000000003</c:v>
                </c:pt>
                <c:pt idx="61">
                  <c:v>69.194599999999994</c:v>
                </c:pt>
                <c:pt idx="62">
                  <c:v>69.204599999999999</c:v>
                </c:pt>
                <c:pt idx="63">
                  <c:v>69.214600000000004</c:v>
                </c:pt>
                <c:pt idx="64">
                  <c:v>69.224599999999995</c:v>
                </c:pt>
                <c:pt idx="65">
                  <c:v>69.2346</c:v>
                </c:pt>
                <c:pt idx="66">
                  <c:v>69.244600000000005</c:v>
                </c:pt>
                <c:pt idx="67">
                  <c:v>69.254599999999996</c:v>
                </c:pt>
                <c:pt idx="68">
                  <c:v>69.264600000000002</c:v>
                </c:pt>
                <c:pt idx="69">
                  <c:v>69.274600000000007</c:v>
                </c:pt>
                <c:pt idx="70">
                  <c:v>69.284599999999998</c:v>
                </c:pt>
                <c:pt idx="71">
                  <c:v>69.294600000000003</c:v>
                </c:pt>
                <c:pt idx="72">
                  <c:v>69.304599999999994</c:v>
                </c:pt>
                <c:pt idx="73">
                  <c:v>69.314599999999999</c:v>
                </c:pt>
                <c:pt idx="74">
                  <c:v>69.324600000000004</c:v>
                </c:pt>
                <c:pt idx="75">
                  <c:v>69.334599999999995</c:v>
                </c:pt>
                <c:pt idx="76">
                  <c:v>69.3446</c:v>
                </c:pt>
                <c:pt idx="77">
                  <c:v>69.354600000000005</c:v>
                </c:pt>
                <c:pt idx="78">
                  <c:v>69.364599999999996</c:v>
                </c:pt>
                <c:pt idx="79">
                  <c:v>69.374600000000001</c:v>
                </c:pt>
                <c:pt idx="80">
                  <c:v>69.384600000000006</c:v>
                </c:pt>
                <c:pt idx="81">
                  <c:v>69.394599999999997</c:v>
                </c:pt>
                <c:pt idx="82">
                  <c:v>69.404600000000002</c:v>
                </c:pt>
                <c:pt idx="83">
                  <c:v>69.414599999999993</c:v>
                </c:pt>
                <c:pt idx="84">
                  <c:v>69.424599999999998</c:v>
                </c:pt>
                <c:pt idx="85">
                  <c:v>69.434600000000003</c:v>
                </c:pt>
                <c:pt idx="86">
                  <c:v>69.444599999999994</c:v>
                </c:pt>
                <c:pt idx="87">
                  <c:v>69.454599999999999</c:v>
                </c:pt>
                <c:pt idx="88">
                  <c:v>69.464600000000004</c:v>
                </c:pt>
                <c:pt idx="89">
                  <c:v>69.474599999999995</c:v>
                </c:pt>
                <c:pt idx="90">
                  <c:v>69.4846</c:v>
                </c:pt>
                <c:pt idx="91">
                  <c:v>69.494600000000005</c:v>
                </c:pt>
                <c:pt idx="92">
                  <c:v>69.504599999999996</c:v>
                </c:pt>
                <c:pt idx="93">
                  <c:v>69.514600000000002</c:v>
                </c:pt>
                <c:pt idx="94">
                  <c:v>69.524600000000007</c:v>
                </c:pt>
                <c:pt idx="95">
                  <c:v>69.534599999999998</c:v>
                </c:pt>
                <c:pt idx="96">
                  <c:v>69.544600000000003</c:v>
                </c:pt>
                <c:pt idx="97">
                  <c:v>69.554599999999994</c:v>
                </c:pt>
                <c:pt idx="98">
                  <c:v>69.564599999999999</c:v>
                </c:pt>
                <c:pt idx="99">
                  <c:v>69.574600000000004</c:v>
                </c:pt>
                <c:pt idx="100">
                  <c:v>69.584599999999995</c:v>
                </c:pt>
                <c:pt idx="101">
                  <c:v>69.5946</c:v>
                </c:pt>
                <c:pt idx="102">
                  <c:v>69.604600000000005</c:v>
                </c:pt>
                <c:pt idx="103">
                  <c:v>69.614599999999996</c:v>
                </c:pt>
                <c:pt idx="104">
                  <c:v>69.624600000000001</c:v>
                </c:pt>
                <c:pt idx="105">
                  <c:v>69.634600000000006</c:v>
                </c:pt>
                <c:pt idx="106">
                  <c:v>69.644599999999997</c:v>
                </c:pt>
                <c:pt idx="107">
                  <c:v>69.654600000000002</c:v>
                </c:pt>
                <c:pt idx="108">
                  <c:v>69.664599999999993</c:v>
                </c:pt>
                <c:pt idx="109">
                  <c:v>69.674599999999998</c:v>
                </c:pt>
                <c:pt idx="110">
                  <c:v>69.684600000000003</c:v>
                </c:pt>
                <c:pt idx="111">
                  <c:v>69.694599999999994</c:v>
                </c:pt>
                <c:pt idx="112">
                  <c:v>69.704599999999999</c:v>
                </c:pt>
                <c:pt idx="113">
                  <c:v>69.714600000000004</c:v>
                </c:pt>
                <c:pt idx="114">
                  <c:v>69.724599999999995</c:v>
                </c:pt>
                <c:pt idx="115">
                  <c:v>69.7346</c:v>
                </c:pt>
                <c:pt idx="116">
                  <c:v>69.744600000000005</c:v>
                </c:pt>
                <c:pt idx="117">
                  <c:v>69.754599999999996</c:v>
                </c:pt>
                <c:pt idx="118">
                  <c:v>69.764600000000002</c:v>
                </c:pt>
                <c:pt idx="119">
                  <c:v>69.774600000000007</c:v>
                </c:pt>
                <c:pt idx="120">
                  <c:v>69.784599999999998</c:v>
                </c:pt>
                <c:pt idx="121">
                  <c:v>69.794600000000003</c:v>
                </c:pt>
                <c:pt idx="122">
                  <c:v>69.804599999999994</c:v>
                </c:pt>
                <c:pt idx="123">
                  <c:v>69.814599999999999</c:v>
                </c:pt>
                <c:pt idx="124">
                  <c:v>69.824600000000004</c:v>
                </c:pt>
                <c:pt idx="125">
                  <c:v>69.834599999999995</c:v>
                </c:pt>
                <c:pt idx="126">
                  <c:v>69.8446</c:v>
                </c:pt>
                <c:pt idx="127">
                  <c:v>69.854600000000005</c:v>
                </c:pt>
                <c:pt idx="128">
                  <c:v>69.864599999999996</c:v>
                </c:pt>
                <c:pt idx="129">
                  <c:v>69.874600000000001</c:v>
                </c:pt>
                <c:pt idx="130">
                  <c:v>69.884600000000006</c:v>
                </c:pt>
                <c:pt idx="131">
                  <c:v>69.894599999999997</c:v>
                </c:pt>
                <c:pt idx="132">
                  <c:v>69.904600000000002</c:v>
                </c:pt>
                <c:pt idx="133">
                  <c:v>69.914599999999993</c:v>
                </c:pt>
                <c:pt idx="134">
                  <c:v>69.924599999999998</c:v>
                </c:pt>
                <c:pt idx="135">
                  <c:v>69.934600000000003</c:v>
                </c:pt>
                <c:pt idx="136">
                  <c:v>69.944599999999994</c:v>
                </c:pt>
                <c:pt idx="137">
                  <c:v>69.954599999999999</c:v>
                </c:pt>
                <c:pt idx="138">
                  <c:v>69.964600000000004</c:v>
                </c:pt>
                <c:pt idx="139">
                  <c:v>69.974599999999995</c:v>
                </c:pt>
                <c:pt idx="140">
                  <c:v>69.9846</c:v>
                </c:pt>
                <c:pt idx="141">
                  <c:v>69.994600000000005</c:v>
                </c:pt>
                <c:pt idx="142">
                  <c:v>70.004599999999996</c:v>
                </c:pt>
                <c:pt idx="143">
                  <c:v>70.014600000000002</c:v>
                </c:pt>
                <c:pt idx="144">
                  <c:v>70.024600000000007</c:v>
                </c:pt>
                <c:pt idx="145">
                  <c:v>70.034599999999998</c:v>
                </c:pt>
                <c:pt idx="146">
                  <c:v>70.044600000000003</c:v>
                </c:pt>
                <c:pt idx="147">
                  <c:v>70.054599999999994</c:v>
                </c:pt>
                <c:pt idx="148">
                  <c:v>70.064599999999999</c:v>
                </c:pt>
                <c:pt idx="149">
                  <c:v>70.074600000000004</c:v>
                </c:pt>
                <c:pt idx="150">
                  <c:v>70.084599999999995</c:v>
                </c:pt>
                <c:pt idx="151">
                  <c:v>70.0946</c:v>
                </c:pt>
                <c:pt idx="152">
                  <c:v>70.104600000000005</c:v>
                </c:pt>
                <c:pt idx="153">
                  <c:v>70.114599999999996</c:v>
                </c:pt>
                <c:pt idx="154">
                  <c:v>70.124600000000001</c:v>
                </c:pt>
                <c:pt idx="155">
                  <c:v>70.134600000000006</c:v>
                </c:pt>
                <c:pt idx="156">
                  <c:v>70.144599999999997</c:v>
                </c:pt>
                <c:pt idx="157">
                  <c:v>70.154600000000002</c:v>
                </c:pt>
                <c:pt idx="158">
                  <c:v>70.164599999999993</c:v>
                </c:pt>
                <c:pt idx="159">
                  <c:v>70.174599999999998</c:v>
                </c:pt>
                <c:pt idx="160">
                  <c:v>70.184600000000003</c:v>
                </c:pt>
                <c:pt idx="161">
                  <c:v>70.194599999999994</c:v>
                </c:pt>
                <c:pt idx="162">
                  <c:v>70.204599999999999</c:v>
                </c:pt>
                <c:pt idx="163">
                  <c:v>70.214600000000004</c:v>
                </c:pt>
                <c:pt idx="164">
                  <c:v>70.224599999999995</c:v>
                </c:pt>
                <c:pt idx="165">
                  <c:v>70.2346</c:v>
                </c:pt>
                <c:pt idx="166">
                  <c:v>70.244600000000005</c:v>
                </c:pt>
                <c:pt idx="167">
                  <c:v>70.254599999999996</c:v>
                </c:pt>
                <c:pt idx="168">
                  <c:v>70.264600000000002</c:v>
                </c:pt>
                <c:pt idx="169">
                  <c:v>70.274600000000007</c:v>
                </c:pt>
                <c:pt idx="170">
                  <c:v>70.284599999999998</c:v>
                </c:pt>
                <c:pt idx="171">
                  <c:v>70.294600000000003</c:v>
                </c:pt>
                <c:pt idx="172">
                  <c:v>70.304599999999994</c:v>
                </c:pt>
                <c:pt idx="173">
                  <c:v>70.314599999999999</c:v>
                </c:pt>
                <c:pt idx="174">
                  <c:v>70.324600000000004</c:v>
                </c:pt>
                <c:pt idx="175">
                  <c:v>70.334599999999995</c:v>
                </c:pt>
                <c:pt idx="176">
                  <c:v>70.3446</c:v>
                </c:pt>
                <c:pt idx="177">
                  <c:v>70.354600000000005</c:v>
                </c:pt>
                <c:pt idx="178">
                  <c:v>70.364599999999996</c:v>
                </c:pt>
                <c:pt idx="179">
                  <c:v>70.374600000000001</c:v>
                </c:pt>
                <c:pt idx="180">
                  <c:v>70.384600000000006</c:v>
                </c:pt>
                <c:pt idx="181">
                  <c:v>70.394599999999997</c:v>
                </c:pt>
                <c:pt idx="182">
                  <c:v>70.404600000000002</c:v>
                </c:pt>
                <c:pt idx="183">
                  <c:v>70.414599999999993</c:v>
                </c:pt>
                <c:pt idx="184">
                  <c:v>70.424599999999998</c:v>
                </c:pt>
                <c:pt idx="185">
                  <c:v>70.434600000000003</c:v>
                </c:pt>
                <c:pt idx="186">
                  <c:v>70.444599999999994</c:v>
                </c:pt>
                <c:pt idx="187">
                  <c:v>70.454599999999999</c:v>
                </c:pt>
                <c:pt idx="188">
                  <c:v>70.464600000000004</c:v>
                </c:pt>
                <c:pt idx="189">
                  <c:v>70.474599999999995</c:v>
                </c:pt>
                <c:pt idx="190">
                  <c:v>70.4846</c:v>
                </c:pt>
                <c:pt idx="191">
                  <c:v>70.494600000000005</c:v>
                </c:pt>
                <c:pt idx="192">
                  <c:v>70.504599999999996</c:v>
                </c:pt>
                <c:pt idx="193">
                  <c:v>70.514600000000002</c:v>
                </c:pt>
                <c:pt idx="194">
                  <c:v>70.524600000000007</c:v>
                </c:pt>
                <c:pt idx="195">
                  <c:v>70.534599999999998</c:v>
                </c:pt>
                <c:pt idx="196">
                  <c:v>70.544600000000003</c:v>
                </c:pt>
                <c:pt idx="197">
                  <c:v>70.554599999999994</c:v>
                </c:pt>
                <c:pt idx="198">
                  <c:v>70.564599999999999</c:v>
                </c:pt>
                <c:pt idx="199">
                  <c:v>70.574600000000004</c:v>
                </c:pt>
                <c:pt idx="200">
                  <c:v>70.584599999999995</c:v>
                </c:pt>
              </c:numCache>
            </c:numRef>
          </c:xVal>
          <c:yVal>
            <c:numRef>
              <c:f>Si_TEOS_2thome!$K$20:$K$220</c:f>
              <c:numCache>
                <c:formatCode>0.00E+00</c:formatCode>
                <c:ptCount val="201"/>
                <c:pt idx="0">
                  <c:v>1.0154896995978371E-2</c:v>
                </c:pt>
                <c:pt idx="1">
                  <c:v>8.4144764509850641E-3</c:v>
                </c:pt>
                <c:pt idx="2">
                  <c:v>1.7695545129108294E-2</c:v>
                </c:pt>
                <c:pt idx="3">
                  <c:v>8.9952536689100731E-3</c:v>
                </c:pt>
                <c:pt idx="4">
                  <c:v>9.5748185753221238E-3</c:v>
                </c:pt>
                <c:pt idx="5">
                  <c:v>8.4143741535030805E-3</c:v>
                </c:pt>
                <c:pt idx="6">
                  <c:v>8.9965542326654619E-3</c:v>
                </c:pt>
                <c:pt idx="7">
                  <c:v>1.3926929232224061E-2</c:v>
                </c:pt>
                <c:pt idx="8">
                  <c:v>1.0450678241760474E-2</c:v>
                </c:pt>
                <c:pt idx="9">
                  <c:v>1.2192138346632247E-2</c:v>
                </c:pt>
                <c:pt idx="10">
                  <c:v>1.1900518630407043E-2</c:v>
                </c:pt>
                <c:pt idx="11">
                  <c:v>9.5793993449548673E-3</c:v>
                </c:pt>
                <c:pt idx="12">
                  <c:v>1.1034554212866482E-2</c:v>
                </c:pt>
                <c:pt idx="13">
                  <c:v>1.4809792176509491E-2</c:v>
                </c:pt>
                <c:pt idx="14">
                  <c:v>1.4522371262736736E-2</c:v>
                </c:pt>
                <c:pt idx="15">
                  <c:v>1.3073080641530349E-2</c:v>
                </c:pt>
                <c:pt idx="16">
                  <c:v>1.3065767703135304E-2</c:v>
                </c:pt>
                <c:pt idx="17">
                  <c:v>1.4815611005965462E-2</c:v>
                </c:pt>
                <c:pt idx="18">
                  <c:v>1.2203303905065965E-2</c:v>
                </c:pt>
                <c:pt idx="19">
                  <c:v>1.1332151341520415E-2</c:v>
                </c:pt>
                <c:pt idx="20">
                  <c:v>1.4525182672328583E-2</c:v>
                </c:pt>
                <c:pt idx="21">
                  <c:v>1.9174180815081644E-2</c:v>
                </c:pt>
                <c:pt idx="22">
                  <c:v>1.2503119964586511E-2</c:v>
                </c:pt>
                <c:pt idx="23">
                  <c:v>1.3954807182504371E-2</c:v>
                </c:pt>
                <c:pt idx="24">
                  <c:v>1.4833357265452556E-2</c:v>
                </c:pt>
                <c:pt idx="25">
                  <c:v>1.5695997137050121E-2</c:v>
                </c:pt>
                <c:pt idx="26">
                  <c:v>1.8032384184249548E-2</c:v>
                </c:pt>
                <c:pt idx="27">
                  <c:v>1.3378076601354314E-2</c:v>
                </c:pt>
                <c:pt idx="28">
                  <c:v>1.5712242042084018E-2</c:v>
                </c:pt>
                <c:pt idx="29">
                  <c:v>2.2991342449934168E-2</c:v>
                </c:pt>
                <c:pt idx="30">
                  <c:v>1.6592698647860987E-2</c:v>
                </c:pt>
                <c:pt idx="31">
                  <c:v>2.1831902732411087E-2</c:v>
                </c:pt>
                <c:pt idx="32">
                  <c:v>2.1543968284250883E-2</c:v>
                </c:pt>
                <c:pt idx="33">
                  <c:v>2.2423443669586655E-2</c:v>
                </c:pt>
                <c:pt idx="34">
                  <c:v>2.2422211524271259E-2</c:v>
                </c:pt>
                <c:pt idx="35">
                  <c:v>1.8647246569423803E-2</c:v>
                </c:pt>
                <c:pt idx="36">
                  <c:v>2.0691949275464111E-2</c:v>
                </c:pt>
                <c:pt idx="37">
                  <c:v>2.0689952810297351E-2</c:v>
                </c:pt>
                <c:pt idx="38">
                  <c:v>2.3609330290741613E-2</c:v>
                </c:pt>
                <c:pt idx="39">
                  <c:v>2.3316889971064611E-2</c:v>
                </c:pt>
                <c:pt idx="40">
                  <c:v>2.0697039562507725E-2</c:v>
                </c:pt>
                <c:pt idx="41">
                  <c:v>2.2757668006587586E-2</c:v>
                </c:pt>
                <c:pt idx="42">
                  <c:v>2.88741201814963E-2</c:v>
                </c:pt>
                <c:pt idx="43">
                  <c:v>2.5680443475578379E-2</c:v>
                </c:pt>
                <c:pt idx="44">
                  <c:v>3.1211294895077693E-2</c:v>
                </c:pt>
                <c:pt idx="45">
                  <c:v>2.6255716854148528E-2</c:v>
                </c:pt>
                <c:pt idx="46">
                  <c:v>2.7123058102052636E-2</c:v>
                </c:pt>
                <c:pt idx="47">
                  <c:v>2.8877422575108863E-2</c:v>
                </c:pt>
                <c:pt idx="48">
                  <c:v>3.1507384149317696E-2</c:v>
                </c:pt>
                <c:pt idx="49">
                  <c:v>2.8891766132651497E-2</c:v>
                </c:pt>
                <c:pt idx="50">
                  <c:v>3.7071709734701128E-2</c:v>
                </c:pt>
                <c:pt idx="51">
                  <c:v>3.0051810780611542E-2</c:v>
                </c:pt>
                <c:pt idx="52">
                  <c:v>3.9995376884756594E-2</c:v>
                </c:pt>
                <c:pt idx="53">
                  <c:v>3.7662075017423087E-2</c:v>
                </c:pt>
                <c:pt idx="54">
                  <c:v>3.9140131045248001E-2</c:v>
                </c:pt>
                <c:pt idx="55">
                  <c:v>4.4972470569387392E-2</c:v>
                </c:pt>
                <c:pt idx="56">
                  <c:v>4.7307535424583373E-2</c:v>
                </c:pt>
                <c:pt idx="57">
                  <c:v>4.5845008480158544E-2</c:v>
                </c:pt>
                <c:pt idx="58">
                  <c:v>4.643918359564754E-2</c:v>
                </c:pt>
                <c:pt idx="59">
                  <c:v>4.7299214833033773E-2</c:v>
                </c:pt>
                <c:pt idx="60">
                  <c:v>5.024748052705634E-2</c:v>
                </c:pt>
                <c:pt idx="61">
                  <c:v>5.7244147574477849E-2</c:v>
                </c:pt>
                <c:pt idx="62">
                  <c:v>5.2863185490580146E-2</c:v>
                </c:pt>
                <c:pt idx="63">
                  <c:v>6.6900778491347124E-2</c:v>
                </c:pt>
                <c:pt idx="64">
                  <c:v>6.5141416904104216E-2</c:v>
                </c:pt>
                <c:pt idx="65">
                  <c:v>6.8324972137864731E-2</c:v>
                </c:pt>
                <c:pt idx="66">
                  <c:v>7.446959904195298E-2</c:v>
                </c:pt>
                <c:pt idx="67">
                  <c:v>7.0678579492563426E-2</c:v>
                </c:pt>
                <c:pt idx="68">
                  <c:v>8.1508771176395059E-2</c:v>
                </c:pt>
                <c:pt idx="69">
                  <c:v>8.7348710718422984E-2</c:v>
                </c:pt>
                <c:pt idx="70">
                  <c:v>8.9671441792646037E-2</c:v>
                </c:pt>
                <c:pt idx="71">
                  <c:v>8.7603927459275852E-2</c:v>
                </c:pt>
                <c:pt idx="72">
                  <c:v>0.10716621658315732</c:v>
                </c:pt>
                <c:pt idx="73">
                  <c:v>0.10716271186133834</c:v>
                </c:pt>
                <c:pt idx="74">
                  <c:v>0.11501169747778472</c:v>
                </c:pt>
                <c:pt idx="75">
                  <c:v>0.11536587601223333</c:v>
                </c:pt>
                <c:pt idx="76">
                  <c:v>0.13257382741515786</c:v>
                </c:pt>
                <c:pt idx="77">
                  <c:v>0.14590512169289627</c:v>
                </c:pt>
                <c:pt idx="78">
                  <c:v>0.16089095864935923</c:v>
                </c:pt>
                <c:pt idx="79">
                  <c:v>0.16640054257086387</c:v>
                </c:pt>
                <c:pt idx="80">
                  <c:v>0.1694239390358919</c:v>
                </c:pt>
                <c:pt idx="81">
                  <c:v>0.19394431654212704</c:v>
                </c:pt>
                <c:pt idx="82">
                  <c:v>0.23078233165524389</c:v>
                </c:pt>
                <c:pt idx="83">
                  <c:v>0.2304853609808265</c:v>
                </c:pt>
                <c:pt idx="84">
                  <c:v>0.27089261483611349</c:v>
                </c:pt>
                <c:pt idx="85">
                  <c:v>0.32666169194218814</c:v>
                </c:pt>
                <c:pt idx="86">
                  <c:v>0.3857077019891873</c:v>
                </c:pt>
                <c:pt idx="87">
                  <c:v>0.38457169709062594</c:v>
                </c:pt>
                <c:pt idx="88">
                  <c:v>0.50595498784611304</c:v>
                </c:pt>
                <c:pt idx="89">
                  <c:v>0.56379695963716747</c:v>
                </c:pt>
                <c:pt idx="90">
                  <c:v>0.69622620822452608</c:v>
                </c:pt>
                <c:pt idx="91">
                  <c:v>0.81238245210607585</c:v>
                </c:pt>
                <c:pt idx="92">
                  <c:v>1.0321791879449427</c:v>
                </c:pt>
                <c:pt idx="93">
                  <c:v>1.2853663700768114</c:v>
                </c:pt>
                <c:pt idx="94">
                  <c:v>1.726371543826696</c:v>
                </c:pt>
                <c:pt idx="95">
                  <c:v>2.5131928731910795</c:v>
                </c:pt>
                <c:pt idx="96">
                  <c:v>3.924568965643294</c:v>
                </c:pt>
                <c:pt idx="97">
                  <c:v>7.1619266814913756</c:v>
                </c:pt>
                <c:pt idx="98">
                  <c:v>18.785064338984363</c:v>
                </c:pt>
                <c:pt idx="99">
                  <c:v>518.00874782448318</c:v>
                </c:pt>
                <c:pt idx="100">
                  <c:v>5978.369001148697</c:v>
                </c:pt>
                <c:pt idx="101">
                  <c:v>2515.0230876248238</c:v>
                </c:pt>
                <c:pt idx="102">
                  <c:v>76.920288108944234</c:v>
                </c:pt>
                <c:pt idx="103">
                  <c:v>17.731629117165149</c:v>
                </c:pt>
                <c:pt idx="104">
                  <c:v>5.6927047751184015</c:v>
                </c:pt>
                <c:pt idx="105">
                  <c:v>3.1122939356330792</c:v>
                </c:pt>
                <c:pt idx="106">
                  <c:v>2.0390353274133437</c:v>
                </c:pt>
                <c:pt idx="107">
                  <c:v>1.480418120399714</c:v>
                </c:pt>
                <c:pt idx="108">
                  <c:v>1.1246383361765755</c:v>
                </c:pt>
                <c:pt idx="109">
                  <c:v>0.83732295821606251</c:v>
                </c:pt>
                <c:pt idx="110">
                  <c:v>0.65533232355594084</c:v>
                </c:pt>
                <c:pt idx="111">
                  <c:v>0.54628685285636336</c:v>
                </c:pt>
                <c:pt idx="112">
                  <c:v>0.42265903498125934</c:v>
                </c:pt>
                <c:pt idx="113">
                  <c:v>0.37840295034805599</c:v>
                </c:pt>
                <c:pt idx="114">
                  <c:v>0.32013974846915794</c:v>
                </c:pt>
                <c:pt idx="115">
                  <c:v>0.27056462444839519</c:v>
                </c:pt>
                <c:pt idx="116">
                  <c:v>0.2451995020194391</c:v>
                </c:pt>
                <c:pt idx="117">
                  <c:v>0.20777276446615675</c:v>
                </c:pt>
                <c:pt idx="118">
                  <c:v>0.18201198688153736</c:v>
                </c:pt>
                <c:pt idx="119">
                  <c:v>0.15749417095596321</c:v>
                </c:pt>
                <c:pt idx="120">
                  <c:v>0.14549924487065294</c:v>
                </c:pt>
                <c:pt idx="121">
                  <c:v>0.12318738922484013</c:v>
                </c:pt>
                <c:pt idx="122">
                  <c:v>0.12025754473104035</c:v>
                </c:pt>
                <c:pt idx="123">
                  <c:v>0.10441242509031749</c:v>
                </c:pt>
                <c:pt idx="124">
                  <c:v>9.4202319701308795E-2</c:v>
                </c:pt>
                <c:pt idx="125">
                  <c:v>8.740046612017717E-2</c:v>
                </c:pt>
                <c:pt idx="126">
                  <c:v>8.7144634742506097E-2</c:v>
                </c:pt>
                <c:pt idx="127">
                  <c:v>7.246927889370687E-2</c:v>
                </c:pt>
                <c:pt idx="128">
                  <c:v>6.8424215570696723E-2</c:v>
                </c:pt>
                <c:pt idx="129">
                  <c:v>6.4318958124510869E-2</c:v>
                </c:pt>
                <c:pt idx="130">
                  <c:v>5.7552150249636849E-2</c:v>
                </c:pt>
                <c:pt idx="131">
                  <c:v>4.8488629974624872E-2</c:v>
                </c:pt>
                <c:pt idx="132">
                  <c:v>5.0837426113457908E-2</c:v>
                </c:pt>
                <c:pt idx="133">
                  <c:v>3.5270085233394061E-2</c:v>
                </c:pt>
                <c:pt idx="134">
                  <c:v>3.6438639050919208E-2</c:v>
                </c:pt>
                <c:pt idx="135">
                  <c:v>3.2633419014187925E-2</c:v>
                </c:pt>
                <c:pt idx="136">
                  <c:v>3.3511571780904872E-2</c:v>
                </c:pt>
                <c:pt idx="137">
                  <c:v>3.4082036342909357E-2</c:v>
                </c:pt>
                <c:pt idx="138">
                  <c:v>3.3789212491278343E-2</c:v>
                </c:pt>
                <c:pt idx="139">
                  <c:v>2.4993428933493045E-2</c:v>
                </c:pt>
                <c:pt idx="140">
                  <c:v>2.0865175991881979E-2</c:v>
                </c:pt>
                <c:pt idx="141">
                  <c:v>1.8510266160880008E-2</c:v>
                </c:pt>
                <c:pt idx="142">
                  <c:v>2.1154685617425797E-2</c:v>
                </c:pt>
                <c:pt idx="143">
                  <c:v>1.879298307597909E-2</c:v>
                </c:pt>
                <c:pt idx="144">
                  <c:v>1.791653017550475E-2</c:v>
                </c:pt>
                <c:pt idx="145">
                  <c:v>1.3795396945669764E-2</c:v>
                </c:pt>
                <c:pt idx="146">
                  <c:v>1.1451549360861134E-2</c:v>
                </c:pt>
                <c:pt idx="147">
                  <c:v>1.3798838014530411E-2</c:v>
                </c:pt>
                <c:pt idx="148">
                  <c:v>1.5850094735135673E-2</c:v>
                </c:pt>
                <c:pt idx="149">
                  <c:v>1.056487449222572E-2</c:v>
                </c:pt>
                <c:pt idx="150">
                  <c:v>1.1445933022273961E-2</c:v>
                </c:pt>
                <c:pt idx="151">
                  <c:v>9.9772902202102404E-3</c:v>
                </c:pt>
                <c:pt idx="152">
                  <c:v>1.1443265755469735E-2</c:v>
                </c:pt>
                <c:pt idx="153">
                  <c:v>8.2166657281082418E-3</c:v>
                </c:pt>
                <c:pt idx="154">
                  <c:v>5.5755260464807541E-3</c:v>
                </c:pt>
                <c:pt idx="155">
                  <c:v>8.8070175490099524E-3</c:v>
                </c:pt>
                <c:pt idx="156">
                  <c:v>5.284233022933571E-3</c:v>
                </c:pt>
                <c:pt idx="157">
                  <c:v>5.2867886031170786E-3</c:v>
                </c:pt>
                <c:pt idx="158">
                  <c:v>3.8160874799893912E-3</c:v>
                </c:pt>
                <c:pt idx="159">
                  <c:v>5.579873525411963E-3</c:v>
                </c:pt>
                <c:pt idx="160">
                  <c:v>5.2862184818767586E-3</c:v>
                </c:pt>
                <c:pt idx="161">
                  <c:v>6.1718054294254048E-3</c:v>
                </c:pt>
                <c:pt idx="162">
                  <c:v>4.7023236620544612E-3</c:v>
                </c:pt>
                <c:pt idx="163">
                  <c:v>3.5239977640234188E-3</c:v>
                </c:pt>
                <c:pt idx="164">
                  <c:v>4.7001680545087892E-3</c:v>
                </c:pt>
                <c:pt idx="165">
                  <c:v>2.350073671872021E-3</c:v>
                </c:pt>
                <c:pt idx="166">
                  <c:v>3.5249617079003469E-3</c:v>
                </c:pt>
                <c:pt idx="167">
                  <c:v>2.3511891256562463E-3</c:v>
                </c:pt>
                <c:pt idx="168">
                  <c:v>4.4077485987106041E-3</c:v>
                </c:pt>
                <c:pt idx="169">
                  <c:v>1.7634436716119897E-3</c:v>
                </c:pt>
                <c:pt idx="170">
                  <c:v>1.7635787480530826E-3</c:v>
                </c:pt>
                <c:pt idx="171">
                  <c:v>3.8196846744525353E-3</c:v>
                </c:pt>
                <c:pt idx="172">
                  <c:v>2.3525435966027623E-3</c:v>
                </c:pt>
                <c:pt idx="173">
                  <c:v>2.0598749138015914E-3</c:v>
                </c:pt>
                <c:pt idx="174">
                  <c:v>1.4711563612653945E-3</c:v>
                </c:pt>
                <c:pt idx="175">
                  <c:v>2.3520473293075885E-3</c:v>
                </c:pt>
                <c:pt idx="176">
                  <c:v>2.059303771164752E-3</c:v>
                </c:pt>
                <c:pt idx="177">
                  <c:v>1.4722795814167812E-3</c:v>
                </c:pt>
                <c:pt idx="178">
                  <c:v>1.7659467715976541E-3</c:v>
                </c:pt>
                <c:pt idx="179">
                  <c:v>1.1778639319807137E-3</c:v>
                </c:pt>
                <c:pt idx="180">
                  <c:v>5.0066526633536761E-3</c:v>
                </c:pt>
                <c:pt idx="181">
                  <c:v>1.7663958036088173E-3</c:v>
                </c:pt>
                <c:pt idx="182">
                  <c:v>1.7668346582875515E-3</c:v>
                </c:pt>
                <c:pt idx="183">
                  <c:v>1.4726078736808747E-3</c:v>
                </c:pt>
                <c:pt idx="184">
                  <c:v>8.834448270153188E-4</c:v>
                </c:pt>
                <c:pt idx="185">
                  <c:v>1.4727245522033726E-3</c:v>
                </c:pt>
                <c:pt idx="186">
                  <c:v>1.4730961815431949E-3</c:v>
                </c:pt>
                <c:pt idx="187">
                  <c:v>1.7687891320643115E-3</c:v>
                </c:pt>
                <c:pt idx="188">
                  <c:v>8.846681437282587E-4</c:v>
                </c:pt>
                <c:pt idx="189">
                  <c:v>2.9495502437301853E-4</c:v>
                </c:pt>
                <c:pt idx="190">
                  <c:v>1.4753389133798425E-3</c:v>
                </c:pt>
                <c:pt idx="191">
                  <c:v>1.4746450706272409E-3</c:v>
                </c:pt>
                <c:pt idx="192">
                  <c:v>2.0661558912848984E-3</c:v>
                </c:pt>
                <c:pt idx="193">
                  <c:v>2.6577982043679083E-3</c:v>
                </c:pt>
                <c:pt idx="194">
                  <c:v>5.9046530791939157E-4</c:v>
                </c:pt>
                <c:pt idx="195">
                  <c:v>8.8541360768562625E-4</c:v>
                </c:pt>
                <c:pt idx="196">
                  <c:v>1.7720731723272936E-3</c:v>
                </c:pt>
                <c:pt idx="197">
                  <c:v>1.1804463314797177E-3</c:v>
                </c:pt>
                <c:pt idx="198">
                  <c:v>5.904826885975874E-4</c:v>
                </c:pt>
                <c:pt idx="199">
                  <c:v>2.951022557350836E-4</c:v>
                </c:pt>
                <c:pt idx="200">
                  <c:v>1.1797396815912092E-3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1E-4574-9CB8-33FABC4E8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590048"/>
        <c:axId val="1446591488"/>
      </c:scatterChart>
      <c:valAx>
        <c:axId val="1446590048"/>
        <c:scaling>
          <c:orientation val="minMax"/>
          <c:max val="70.599999999999994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6591488"/>
        <c:crosses val="autoZero"/>
        <c:crossBetween val="midCat"/>
      </c:valAx>
      <c:valAx>
        <c:axId val="1446591488"/>
        <c:scaling>
          <c:logBase val="10"/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65900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4275877190662889"/>
          <c:y val="0.17086445654573415"/>
          <c:w val="0.18478832460253286"/>
          <c:h val="8.1781584928901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452438</xdr:colOff>
      <xdr:row>8</xdr:row>
      <xdr:rowOff>109538</xdr:rowOff>
    </xdr:from>
    <xdr:to>
      <xdr:col>18</xdr:col>
      <xdr:colOff>14287</xdr:colOff>
      <xdr:row>27</xdr:row>
      <xdr:rowOff>135730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9A1BDB-FE8B-CB0B-89A8-84989FCB5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46</xdr:row>
      <xdr:rowOff>71438</xdr:rowOff>
    </xdr:from>
    <xdr:to>
      <xdr:col>16</xdr:col>
      <xdr:colOff>376237</xdr:colOff>
      <xdr:row>66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08284EB-5922-4406-B4E7-EF846A8A5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400050</xdr:colOff>
      <xdr:row>2</xdr:row>
      <xdr:rowOff>0</xdr:rowOff>
    </xdr:from>
    <xdr:to>
      <xdr:col>11</xdr:col>
      <xdr:colOff>595313</xdr:colOff>
      <xdr:row>12</xdr:row>
      <xdr:rowOff>173830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0E88A3D-3807-4F46-996D-31BE98EF7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352424</xdr:colOff>
      <xdr:row>2</xdr:row>
      <xdr:rowOff>80963</xdr:rowOff>
    </xdr:from>
    <xdr:to>
      <xdr:col>20</xdr:col>
      <xdr:colOff>223837</xdr:colOff>
      <xdr:row>32</xdr:row>
      <xdr:rowOff>35719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FBFDE4F-5FEC-7944-7891-FD96DBAC5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1"/>
  <sheetViews>
    <sheetView topLeftCell="A4" workbookViewId="0">
      <selection activeCell="M1" sqref="M1"/>
    </sheetView>
  </sheetViews>
  <sheetFormatPr defaultRowHeight="13.9" x14ac:dyDescent="0.4"/>
  <sheetData>
    <row r="1" spans="1:22" x14ac:dyDescent="0.4">
      <c r="A1" s="1" t="s">
        <v>56</v>
      </c>
      <c r="B1" s="1"/>
      <c r="C1" s="1"/>
      <c r="D1" s="1"/>
      <c r="G1" s="3" t="s">
        <v>40</v>
      </c>
      <c r="H1" s="4"/>
      <c r="I1" s="4"/>
      <c r="J1" s="4"/>
      <c r="K1" s="5"/>
      <c r="M1" s="1" t="s">
        <v>57</v>
      </c>
      <c r="N1" s="1"/>
      <c r="O1" s="1"/>
      <c r="P1" s="1"/>
      <c r="S1" s="3" t="s">
        <v>50</v>
      </c>
      <c r="T1" s="4"/>
      <c r="U1" s="4"/>
      <c r="V1" s="11"/>
    </row>
    <row r="2" spans="1:22" x14ac:dyDescent="0.4">
      <c r="A2" s="1" t="s">
        <v>34</v>
      </c>
      <c r="B2" s="1"/>
      <c r="C2" s="1"/>
      <c r="D2" s="1"/>
      <c r="G2" s="6" t="s">
        <v>41</v>
      </c>
      <c r="H2" s="1"/>
      <c r="I2" s="1"/>
      <c r="J2" s="1"/>
      <c r="K2" s="7"/>
      <c r="M2" s="1" t="s">
        <v>47</v>
      </c>
      <c r="N2" s="1"/>
      <c r="O2" s="1"/>
      <c r="P2" s="1"/>
      <c r="S2" s="6" t="s">
        <v>51</v>
      </c>
      <c r="T2" s="1"/>
      <c r="U2" s="1"/>
      <c r="V2" s="12"/>
    </row>
    <row r="3" spans="1:22" x14ac:dyDescent="0.4">
      <c r="A3" s="1" t="s">
        <v>35</v>
      </c>
      <c r="B3" s="1"/>
      <c r="C3" s="1"/>
      <c r="D3" s="1"/>
      <c r="G3" s="6" t="s">
        <v>42</v>
      </c>
      <c r="H3" s="1"/>
      <c r="I3" s="1"/>
      <c r="J3" s="1"/>
      <c r="K3" s="7"/>
      <c r="M3" s="1" t="s">
        <v>25</v>
      </c>
      <c r="N3" s="1"/>
      <c r="O3" s="1"/>
      <c r="P3" s="1"/>
      <c r="S3" s="6" t="s">
        <v>52</v>
      </c>
      <c r="T3" s="1"/>
      <c r="U3" s="1"/>
      <c r="V3" s="12"/>
    </row>
    <row r="4" spans="1:22" x14ac:dyDescent="0.4">
      <c r="A4" s="1" t="s">
        <v>3</v>
      </c>
      <c r="B4" s="1"/>
      <c r="C4" s="1"/>
      <c r="D4" s="1"/>
      <c r="G4" s="6" t="s">
        <v>43</v>
      </c>
      <c r="H4" s="1"/>
      <c r="I4" s="1"/>
      <c r="J4" s="1"/>
      <c r="K4" s="7"/>
      <c r="M4" s="1" t="s">
        <v>26</v>
      </c>
      <c r="N4" s="1"/>
      <c r="O4" s="1"/>
      <c r="P4" s="1"/>
      <c r="S4" s="6" t="s">
        <v>53</v>
      </c>
      <c r="T4" s="1"/>
      <c r="U4" s="1"/>
      <c r="V4" s="12"/>
    </row>
    <row r="5" spans="1:22" x14ac:dyDescent="0.4">
      <c r="A5" s="1" t="s">
        <v>4</v>
      </c>
      <c r="B5" s="1"/>
      <c r="C5" s="1"/>
      <c r="D5" s="1"/>
      <c r="G5" s="6" t="s">
        <v>4</v>
      </c>
      <c r="H5" s="1"/>
      <c r="I5" s="1"/>
      <c r="J5" s="1"/>
      <c r="K5" s="7"/>
      <c r="M5" s="1" t="s">
        <v>27</v>
      </c>
      <c r="N5" s="1"/>
      <c r="O5" s="1"/>
      <c r="P5" s="1"/>
      <c r="S5" s="6" t="s">
        <v>27</v>
      </c>
      <c r="T5" s="1"/>
      <c r="U5" s="1"/>
      <c r="V5" s="12"/>
    </row>
    <row r="6" spans="1:22" x14ac:dyDescent="0.4">
      <c r="A6" s="1" t="s">
        <v>5</v>
      </c>
      <c r="B6" s="1"/>
      <c r="C6" s="1"/>
      <c r="D6" s="1"/>
      <c r="G6" s="6" t="s">
        <v>5</v>
      </c>
      <c r="H6" s="1"/>
      <c r="I6" s="1"/>
      <c r="J6" s="1"/>
      <c r="K6" s="7"/>
      <c r="M6" s="1" t="s">
        <v>5</v>
      </c>
      <c r="N6" s="1"/>
      <c r="O6" s="1"/>
      <c r="P6" s="1"/>
      <c r="S6" s="6" t="s">
        <v>5</v>
      </c>
      <c r="T6" s="1"/>
      <c r="U6" s="1"/>
      <c r="V6" s="12"/>
    </row>
    <row r="7" spans="1:22" x14ac:dyDescent="0.4">
      <c r="A7" s="1" t="s">
        <v>6</v>
      </c>
      <c r="B7" s="1"/>
      <c r="C7" s="1"/>
      <c r="D7" s="1"/>
      <c r="G7" s="6" t="s">
        <v>6</v>
      </c>
      <c r="H7" s="1"/>
      <c r="I7" s="1"/>
      <c r="J7" s="1"/>
      <c r="K7" s="7"/>
      <c r="M7" s="1" t="s">
        <v>28</v>
      </c>
      <c r="N7" s="1"/>
      <c r="O7" s="1"/>
      <c r="P7" s="1"/>
      <c r="S7" s="6" t="s">
        <v>28</v>
      </c>
      <c r="T7" s="1"/>
      <c r="U7" s="1"/>
      <c r="V7" s="12"/>
    </row>
    <row r="8" spans="1:22" x14ac:dyDescent="0.4">
      <c r="A8" s="1" t="s">
        <v>7</v>
      </c>
      <c r="B8" s="1"/>
      <c r="C8" s="1"/>
      <c r="D8" s="1"/>
      <c r="G8" s="6" t="s">
        <v>7</v>
      </c>
      <c r="H8" s="1"/>
      <c r="I8" s="1"/>
      <c r="J8" s="1"/>
      <c r="K8" s="7"/>
      <c r="M8" s="1" t="s">
        <v>7</v>
      </c>
      <c r="N8" s="1"/>
      <c r="O8" s="1"/>
      <c r="P8" s="1"/>
      <c r="S8" s="6" t="s">
        <v>7</v>
      </c>
      <c r="T8" s="1"/>
      <c r="U8" s="1"/>
      <c r="V8" s="12"/>
    </row>
    <row r="9" spans="1:22" x14ac:dyDescent="0.4">
      <c r="A9" s="1" t="s">
        <v>8</v>
      </c>
      <c r="B9" s="1"/>
      <c r="C9" s="1"/>
      <c r="D9" s="1"/>
      <c r="G9" s="6" t="s">
        <v>8</v>
      </c>
      <c r="H9" s="1"/>
      <c r="I9" s="1"/>
      <c r="J9" s="1"/>
      <c r="K9" s="7"/>
      <c r="M9" s="1" t="s">
        <v>29</v>
      </c>
      <c r="N9" s="1"/>
      <c r="O9" s="1"/>
      <c r="P9" s="1"/>
      <c r="S9" s="6" t="s">
        <v>29</v>
      </c>
      <c r="T9" s="1"/>
      <c r="U9" s="1"/>
      <c r="V9" s="12"/>
    </row>
    <row r="10" spans="1:22" x14ac:dyDescent="0.4">
      <c r="A10" s="1" t="s">
        <v>9</v>
      </c>
      <c r="B10" s="1"/>
      <c r="C10" s="1"/>
      <c r="D10" s="1"/>
      <c r="G10" s="6" t="s">
        <v>9</v>
      </c>
      <c r="H10" s="1"/>
      <c r="I10" s="1"/>
      <c r="J10" s="1"/>
      <c r="K10" s="7"/>
      <c r="M10" s="1" t="s">
        <v>9</v>
      </c>
      <c r="N10" s="1"/>
      <c r="O10" s="1"/>
      <c r="P10" s="1"/>
      <c r="S10" s="6" t="s">
        <v>9</v>
      </c>
      <c r="T10" s="1"/>
      <c r="U10" s="1"/>
      <c r="V10" s="12"/>
    </row>
    <row r="11" spans="1:22" x14ac:dyDescent="0.4">
      <c r="A11" s="1" t="s">
        <v>10</v>
      </c>
      <c r="B11" s="1"/>
      <c r="C11" s="1"/>
      <c r="D11" s="1"/>
      <c r="G11" s="6" t="s">
        <v>10</v>
      </c>
      <c r="H11" s="1"/>
      <c r="I11" s="1"/>
      <c r="J11" s="1"/>
      <c r="K11" s="7"/>
      <c r="M11" s="1" t="s">
        <v>10</v>
      </c>
      <c r="N11" s="1"/>
      <c r="O11" s="1"/>
      <c r="P11" s="1"/>
      <c r="S11" s="6" t="s">
        <v>10</v>
      </c>
      <c r="T11" s="1"/>
      <c r="U11" s="1"/>
      <c r="V11" s="12"/>
    </row>
    <row r="12" spans="1:22" x14ac:dyDescent="0.4">
      <c r="A12" s="1" t="s">
        <v>11</v>
      </c>
      <c r="B12" s="1"/>
      <c r="C12" s="1"/>
      <c r="D12" s="1"/>
      <c r="G12" s="6" t="s">
        <v>11</v>
      </c>
      <c r="H12" s="1"/>
      <c r="I12" s="1"/>
      <c r="J12" s="1"/>
      <c r="K12" s="7"/>
      <c r="M12" s="1" t="s">
        <v>11</v>
      </c>
      <c r="N12" s="1"/>
      <c r="O12" s="1"/>
      <c r="P12" s="1"/>
      <c r="S12" s="6" t="s">
        <v>11</v>
      </c>
      <c r="T12" s="1"/>
      <c r="U12" s="1"/>
      <c r="V12" s="12"/>
    </row>
    <row r="13" spans="1:22" x14ac:dyDescent="0.4">
      <c r="A13" s="1" t="s">
        <v>12</v>
      </c>
      <c r="B13" s="1"/>
      <c r="C13" s="1"/>
      <c r="D13" s="1"/>
      <c r="G13" s="6" t="s">
        <v>12</v>
      </c>
      <c r="H13" s="1"/>
      <c r="I13" s="1"/>
      <c r="J13" s="1"/>
      <c r="K13" s="7"/>
      <c r="M13" s="1" t="s">
        <v>12</v>
      </c>
      <c r="N13" s="1"/>
      <c r="O13" s="1"/>
      <c r="P13" s="1"/>
      <c r="S13" s="6" t="s">
        <v>12</v>
      </c>
      <c r="T13" s="1"/>
      <c r="U13" s="1"/>
      <c r="V13" s="12"/>
    </row>
    <row r="14" spans="1:22" x14ac:dyDescent="0.4">
      <c r="A14" s="1" t="s">
        <v>13</v>
      </c>
      <c r="B14" s="1"/>
      <c r="C14" s="1"/>
      <c r="D14" s="1"/>
      <c r="G14" s="6" t="s">
        <v>13</v>
      </c>
      <c r="H14" s="1"/>
      <c r="I14" s="1"/>
      <c r="J14" s="1"/>
      <c r="K14" s="7"/>
      <c r="M14" s="1" t="s">
        <v>13</v>
      </c>
      <c r="N14" s="1"/>
      <c r="O14" s="1"/>
      <c r="P14" s="1"/>
      <c r="S14" s="6" t="s">
        <v>13</v>
      </c>
      <c r="T14" s="1"/>
      <c r="U14" s="1"/>
      <c r="V14" s="12"/>
    </row>
    <row r="15" spans="1:22" x14ac:dyDescent="0.4">
      <c r="A15" s="1" t="s">
        <v>14</v>
      </c>
      <c r="B15" s="1"/>
      <c r="C15" s="1"/>
      <c r="D15" s="1"/>
      <c r="G15" s="6" t="s">
        <v>14</v>
      </c>
      <c r="H15" s="1"/>
      <c r="I15" s="1"/>
      <c r="J15" s="1"/>
      <c r="K15" s="7"/>
      <c r="M15" s="1" t="s">
        <v>14</v>
      </c>
      <c r="N15" s="1"/>
      <c r="O15" s="1"/>
      <c r="P15" s="1"/>
      <c r="S15" s="6" t="s">
        <v>14</v>
      </c>
      <c r="T15" s="1"/>
      <c r="U15" s="1"/>
      <c r="V15" s="12"/>
    </row>
    <row r="16" spans="1:22" x14ac:dyDescent="0.4">
      <c r="A16" s="1" t="s">
        <v>36</v>
      </c>
      <c r="B16" s="1"/>
      <c r="C16" s="1"/>
      <c r="D16" s="1"/>
      <c r="G16" s="6" t="s">
        <v>36</v>
      </c>
      <c r="H16" s="1"/>
      <c r="I16" s="1"/>
      <c r="J16" s="1"/>
      <c r="K16" s="7"/>
      <c r="M16" s="1" t="s">
        <v>36</v>
      </c>
      <c r="N16" s="1"/>
      <c r="O16" s="1"/>
      <c r="P16" s="1"/>
      <c r="S16" s="6" t="s">
        <v>36</v>
      </c>
      <c r="T16" s="1"/>
      <c r="U16" s="1"/>
      <c r="V16" s="12"/>
    </row>
    <row r="17" spans="1:23" x14ac:dyDescent="0.4">
      <c r="A17" s="1" t="s">
        <v>37</v>
      </c>
      <c r="B17" s="1" t="s">
        <v>38</v>
      </c>
      <c r="C17" s="1"/>
      <c r="D17" s="1"/>
      <c r="G17" s="6" t="s">
        <v>44</v>
      </c>
      <c r="H17" s="1" t="s">
        <v>45</v>
      </c>
      <c r="I17" s="1"/>
      <c r="J17" s="1"/>
      <c r="K17" s="7"/>
      <c r="M17" s="1" t="s">
        <v>48</v>
      </c>
      <c r="N17" s="1" t="s">
        <v>49</v>
      </c>
      <c r="O17" s="1"/>
      <c r="P17" s="1"/>
      <c r="S17" s="6" t="s">
        <v>54</v>
      </c>
      <c r="T17" s="1" t="s">
        <v>55</v>
      </c>
      <c r="U17" s="1"/>
      <c r="V17" s="12"/>
    </row>
    <row r="18" spans="1:23" x14ac:dyDescent="0.4">
      <c r="A18" s="1" t="s">
        <v>39</v>
      </c>
      <c r="B18" s="1" t="s">
        <v>19</v>
      </c>
      <c r="C18" s="1"/>
      <c r="D18" s="1"/>
      <c r="G18" s="6" t="s">
        <v>46</v>
      </c>
      <c r="H18" s="1" t="s">
        <v>19</v>
      </c>
      <c r="I18" s="1"/>
      <c r="J18" s="1"/>
      <c r="K18" s="7"/>
      <c r="M18" s="1" t="s">
        <v>39</v>
      </c>
      <c r="N18" s="1" t="s">
        <v>19</v>
      </c>
      <c r="O18" s="1"/>
      <c r="P18" s="1"/>
      <c r="S18" s="6" t="s">
        <v>46</v>
      </c>
      <c r="T18" s="1" t="s">
        <v>19</v>
      </c>
      <c r="U18" s="1"/>
      <c r="V18" s="12"/>
    </row>
    <row r="19" spans="1:23" x14ac:dyDescent="0.4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32</v>
      </c>
      <c r="G19" s="6" t="s">
        <v>20</v>
      </c>
      <c r="H19" s="1" t="s">
        <v>21</v>
      </c>
      <c r="I19" s="1" t="s">
        <v>22</v>
      </c>
      <c r="J19" s="1" t="s">
        <v>23</v>
      </c>
      <c r="K19" s="7" t="s">
        <v>32</v>
      </c>
      <c r="M19" s="1" t="s">
        <v>20</v>
      </c>
      <c r="N19" s="1" t="s">
        <v>21</v>
      </c>
      <c r="O19" s="1" t="s">
        <v>22</v>
      </c>
      <c r="P19" s="1" t="s">
        <v>23</v>
      </c>
      <c r="Q19" s="1" t="s">
        <v>32</v>
      </c>
      <c r="S19" s="6" t="s">
        <v>20</v>
      </c>
      <c r="T19" s="1" t="s">
        <v>21</v>
      </c>
      <c r="U19" s="1" t="s">
        <v>22</v>
      </c>
      <c r="V19" s="12" t="s">
        <v>23</v>
      </c>
      <c r="W19" s="1" t="s">
        <v>32</v>
      </c>
    </row>
    <row r="20" spans="1:23" x14ac:dyDescent="0.4">
      <c r="A20" s="1">
        <v>34.930599999999998</v>
      </c>
      <c r="B20" s="1">
        <v>143</v>
      </c>
      <c r="C20" s="1">
        <v>5750.1853000000001</v>
      </c>
      <c r="D20" s="2">
        <v>1</v>
      </c>
      <c r="E20" s="15">
        <f>B20/C20*D20</f>
        <v>2.4868763794446764E-2</v>
      </c>
      <c r="G20" s="6">
        <v>34.509799999999998</v>
      </c>
      <c r="H20" s="1">
        <v>0</v>
      </c>
      <c r="I20" s="1">
        <v>5392.0169999999998</v>
      </c>
      <c r="J20" s="2">
        <v>1</v>
      </c>
      <c r="K20" s="7">
        <f>H20/I20</f>
        <v>0</v>
      </c>
      <c r="M20" s="1">
        <v>34.334800000000001</v>
      </c>
      <c r="N20" s="1">
        <v>74</v>
      </c>
      <c r="O20" s="1">
        <v>3502.489</v>
      </c>
      <c r="P20" s="2">
        <v>1</v>
      </c>
      <c r="Q20" s="15">
        <f>N20/O20*P20</f>
        <v>2.1127832235875686E-2</v>
      </c>
      <c r="S20" s="6">
        <v>33.9148</v>
      </c>
      <c r="T20" s="1">
        <v>0</v>
      </c>
      <c r="U20" s="1">
        <v>3383.5192999999999</v>
      </c>
      <c r="V20" s="13">
        <v>1</v>
      </c>
      <c r="W20">
        <f>T20/U20</f>
        <v>0</v>
      </c>
    </row>
    <row r="21" spans="1:23" x14ac:dyDescent="0.4">
      <c r="A21" s="1">
        <v>34.931600000000003</v>
      </c>
      <c r="B21" s="1">
        <v>127</v>
      </c>
      <c r="C21" s="1">
        <v>5749.07</v>
      </c>
      <c r="D21" s="2">
        <v>1</v>
      </c>
      <c r="E21" s="15">
        <f t="shared" ref="E21:E84" si="0">B21/C21*D21</f>
        <v>2.2090529424759135E-2</v>
      </c>
      <c r="G21" s="6">
        <v>34.510300000000001</v>
      </c>
      <c r="H21" s="1">
        <v>2</v>
      </c>
      <c r="I21" s="1">
        <v>5392.1823999999997</v>
      </c>
      <c r="J21" s="2">
        <v>1</v>
      </c>
      <c r="K21" s="7">
        <f t="shared" ref="K21:K84" si="1">H21/I21</f>
        <v>3.7090733429195573E-4</v>
      </c>
      <c r="M21" s="1">
        <v>34.335799999999999</v>
      </c>
      <c r="N21" s="1">
        <v>88</v>
      </c>
      <c r="O21" s="1">
        <v>3501</v>
      </c>
      <c r="P21" s="2">
        <v>1</v>
      </c>
      <c r="Q21" s="15">
        <f t="shared" ref="Q21:Q84" si="2">N21/O21*P21</f>
        <v>2.5135675521279634E-2</v>
      </c>
      <c r="S21" s="6">
        <v>33.915300000000002</v>
      </c>
      <c r="T21" s="1">
        <v>0</v>
      </c>
      <c r="U21" s="1">
        <v>3383.3661000000002</v>
      </c>
      <c r="V21" s="13">
        <v>1</v>
      </c>
      <c r="W21">
        <f t="shared" ref="W21:W84" si="3">T21/U21</f>
        <v>0</v>
      </c>
    </row>
    <row r="22" spans="1:23" x14ac:dyDescent="0.4">
      <c r="A22" s="1">
        <v>34.932600000000001</v>
      </c>
      <c r="B22" s="1">
        <v>124</v>
      </c>
      <c r="C22" s="1">
        <v>5747.5569999999998</v>
      </c>
      <c r="D22" s="2">
        <v>1</v>
      </c>
      <c r="E22" s="15">
        <f t="shared" si="0"/>
        <v>2.157438369032269E-2</v>
      </c>
      <c r="G22" s="6">
        <v>34.510800000000003</v>
      </c>
      <c r="H22" s="1">
        <v>0</v>
      </c>
      <c r="I22" s="1">
        <v>5390.8729999999996</v>
      </c>
      <c r="J22" s="2">
        <v>1</v>
      </c>
      <c r="K22" s="7">
        <f t="shared" si="1"/>
        <v>0</v>
      </c>
      <c r="M22" s="1">
        <v>34.336799999999997</v>
      </c>
      <c r="N22" s="1">
        <v>85</v>
      </c>
      <c r="O22" s="1">
        <v>3500.2132999999999</v>
      </c>
      <c r="P22" s="2">
        <v>1</v>
      </c>
      <c r="Q22" s="15">
        <f t="shared" si="2"/>
        <v>2.4284234335090381E-2</v>
      </c>
      <c r="S22" s="6">
        <v>33.915799999999997</v>
      </c>
      <c r="T22" s="1">
        <v>0</v>
      </c>
      <c r="U22" s="1">
        <v>3382.5061999999998</v>
      </c>
      <c r="V22" s="13">
        <v>1</v>
      </c>
      <c r="W22">
        <f t="shared" si="3"/>
        <v>0</v>
      </c>
    </row>
    <row r="23" spans="1:23" x14ac:dyDescent="0.4">
      <c r="A23" s="1">
        <v>34.933599999999998</v>
      </c>
      <c r="B23" s="1">
        <v>158</v>
      </c>
      <c r="C23" s="1">
        <v>5747.9822999999997</v>
      </c>
      <c r="D23" s="2">
        <v>1</v>
      </c>
      <c r="E23" s="15">
        <f t="shared" si="0"/>
        <v>2.7487906495467115E-2</v>
      </c>
      <c r="G23" s="6">
        <v>34.511299999999999</v>
      </c>
      <c r="H23" s="1">
        <v>1</v>
      </c>
      <c r="I23" s="1">
        <v>5389.7305999999999</v>
      </c>
      <c r="J23" s="2">
        <v>1</v>
      </c>
      <c r="K23" s="7">
        <f t="shared" si="1"/>
        <v>1.855380304165852E-4</v>
      </c>
      <c r="M23" s="1">
        <v>34.337800000000001</v>
      </c>
      <c r="N23" s="1">
        <v>79</v>
      </c>
      <c r="O23" s="1">
        <v>3499.2728999999999</v>
      </c>
      <c r="P23" s="2">
        <v>1</v>
      </c>
      <c r="Q23" s="15">
        <f t="shared" si="2"/>
        <v>2.2576118598809484E-2</v>
      </c>
      <c r="S23" s="6">
        <v>33.9163</v>
      </c>
      <c r="T23" s="1">
        <v>0</v>
      </c>
      <c r="U23" s="1">
        <v>3382.1369</v>
      </c>
      <c r="V23" s="13">
        <v>1</v>
      </c>
      <c r="W23">
        <f t="shared" si="3"/>
        <v>0</v>
      </c>
    </row>
    <row r="24" spans="1:23" x14ac:dyDescent="0.4">
      <c r="A24" s="1">
        <v>34.934600000000003</v>
      </c>
      <c r="B24" s="1">
        <v>128</v>
      </c>
      <c r="C24" s="1">
        <v>5747.9839000000002</v>
      </c>
      <c r="D24" s="2">
        <v>1</v>
      </c>
      <c r="E24" s="15">
        <f t="shared" si="0"/>
        <v>2.2268677544486512E-2</v>
      </c>
      <c r="G24" s="6">
        <v>34.511800000000001</v>
      </c>
      <c r="H24" s="1">
        <v>3</v>
      </c>
      <c r="I24" s="1">
        <v>5386.7542000000003</v>
      </c>
      <c r="J24" s="2">
        <v>1</v>
      </c>
      <c r="K24" s="7">
        <f t="shared" si="1"/>
        <v>5.5692164309260666E-4</v>
      </c>
      <c r="M24" s="1">
        <v>34.338799999999999</v>
      </c>
      <c r="N24" s="1">
        <v>71</v>
      </c>
      <c r="O24" s="1">
        <v>3501.7039</v>
      </c>
      <c r="P24" s="2">
        <v>1</v>
      </c>
      <c r="Q24" s="15">
        <f t="shared" si="2"/>
        <v>2.0275843425824783E-2</v>
      </c>
      <c r="S24" s="6">
        <v>33.916800000000002</v>
      </c>
      <c r="T24" s="1">
        <v>1</v>
      </c>
      <c r="U24" s="1">
        <v>3381.3551000000002</v>
      </c>
      <c r="V24" s="13">
        <v>1</v>
      </c>
      <c r="W24">
        <f t="shared" si="3"/>
        <v>2.9573942115692015E-4</v>
      </c>
    </row>
    <row r="25" spans="1:23" x14ac:dyDescent="0.4">
      <c r="A25" s="1">
        <v>34.935600000000001</v>
      </c>
      <c r="B25" s="1">
        <v>156</v>
      </c>
      <c r="C25" s="1">
        <v>5743.8411999999998</v>
      </c>
      <c r="D25" s="2">
        <v>1</v>
      </c>
      <c r="E25" s="15">
        <f t="shared" si="0"/>
        <v>2.7159525231999798E-2</v>
      </c>
      <c r="G25" s="6">
        <v>34.512300000000003</v>
      </c>
      <c r="H25" s="1">
        <v>3</v>
      </c>
      <c r="I25" s="1">
        <v>5386.3942999999999</v>
      </c>
      <c r="J25" s="2">
        <v>1</v>
      </c>
      <c r="K25" s="7">
        <f t="shared" si="1"/>
        <v>5.569588546460477E-4</v>
      </c>
      <c r="M25" s="1">
        <v>34.339799999999997</v>
      </c>
      <c r="N25" s="1">
        <v>76</v>
      </c>
      <c r="O25" s="1">
        <v>3501.4843999999998</v>
      </c>
      <c r="P25" s="2">
        <v>1</v>
      </c>
      <c r="Q25" s="15">
        <f t="shared" si="2"/>
        <v>2.1705080279666535E-2</v>
      </c>
      <c r="S25" s="6">
        <v>33.917299999999997</v>
      </c>
      <c r="T25" s="1">
        <v>1</v>
      </c>
      <c r="U25" s="1">
        <v>3381.7460999999998</v>
      </c>
      <c r="V25" s="13">
        <v>1</v>
      </c>
      <c r="W25">
        <f t="shared" si="3"/>
        <v>2.9570522754502476E-4</v>
      </c>
    </row>
    <row r="26" spans="1:23" x14ac:dyDescent="0.4">
      <c r="A26" s="1">
        <v>34.936599999999999</v>
      </c>
      <c r="B26" s="1">
        <v>150</v>
      </c>
      <c r="C26" s="1">
        <v>5743.7669999999998</v>
      </c>
      <c r="D26" s="2">
        <v>1</v>
      </c>
      <c r="E26" s="15">
        <f t="shared" si="0"/>
        <v>2.6115265469508077E-2</v>
      </c>
      <c r="G26" s="6">
        <v>34.512799999999999</v>
      </c>
      <c r="H26" s="1">
        <v>1</v>
      </c>
      <c r="I26" s="1">
        <v>5387.7030999999997</v>
      </c>
      <c r="J26" s="2">
        <v>1</v>
      </c>
      <c r="K26" s="7">
        <f t="shared" si="1"/>
        <v>1.8560785207336313E-4</v>
      </c>
      <c r="M26" s="1">
        <v>34.340800000000002</v>
      </c>
      <c r="N26" s="1">
        <v>59</v>
      </c>
      <c r="O26" s="1">
        <v>3501.4985999999999</v>
      </c>
      <c r="P26" s="2">
        <v>1</v>
      </c>
      <c r="Q26" s="15">
        <f t="shared" si="2"/>
        <v>1.684992819931443E-2</v>
      </c>
      <c r="S26" s="6">
        <v>33.9178</v>
      </c>
      <c r="T26" s="1">
        <v>3</v>
      </c>
      <c r="U26" s="1">
        <v>3381.2847000000002</v>
      </c>
      <c r="V26" s="13">
        <v>1</v>
      </c>
      <c r="W26">
        <f t="shared" si="3"/>
        <v>8.8723673578861896E-4</v>
      </c>
    </row>
    <row r="27" spans="1:23" x14ac:dyDescent="0.4">
      <c r="A27" s="1">
        <v>34.937600000000003</v>
      </c>
      <c r="B27" s="1">
        <v>151</v>
      </c>
      <c r="C27" s="1">
        <v>5742.3593000000001</v>
      </c>
      <c r="D27" s="2">
        <v>1</v>
      </c>
      <c r="E27" s="15">
        <f t="shared" si="0"/>
        <v>2.6295811897385103E-2</v>
      </c>
      <c r="G27" s="6">
        <v>34.513300000000001</v>
      </c>
      <c r="H27" s="1">
        <v>1</v>
      </c>
      <c r="I27" s="1">
        <v>5388.7425999999996</v>
      </c>
      <c r="J27" s="2">
        <v>1</v>
      </c>
      <c r="K27" s="7">
        <f t="shared" si="1"/>
        <v>1.8557204792078955E-4</v>
      </c>
      <c r="M27" s="1">
        <v>34.341799999999999</v>
      </c>
      <c r="N27" s="1">
        <v>80</v>
      </c>
      <c r="O27" s="1">
        <v>3502.0740999999998</v>
      </c>
      <c r="P27" s="2">
        <v>1</v>
      </c>
      <c r="Q27" s="15">
        <f t="shared" si="2"/>
        <v>2.2843605736383478E-2</v>
      </c>
      <c r="S27" s="6">
        <v>33.918300000000002</v>
      </c>
      <c r="T27" s="1">
        <v>1</v>
      </c>
      <c r="U27" s="1">
        <v>3381.7973999999999</v>
      </c>
      <c r="V27" s="13">
        <v>1</v>
      </c>
      <c r="W27">
        <f t="shared" si="3"/>
        <v>2.9570074185993522E-4</v>
      </c>
    </row>
    <row r="28" spans="1:23" x14ac:dyDescent="0.4">
      <c r="A28" s="1">
        <v>34.938600000000001</v>
      </c>
      <c r="B28" s="1">
        <v>135</v>
      </c>
      <c r="C28" s="1">
        <v>5740.6716999999999</v>
      </c>
      <c r="D28" s="2">
        <v>1</v>
      </c>
      <c r="E28" s="15">
        <f t="shared" si="0"/>
        <v>2.3516411851247303E-2</v>
      </c>
      <c r="G28" s="6">
        <v>34.513800000000003</v>
      </c>
      <c r="H28" s="1">
        <v>1</v>
      </c>
      <c r="I28" s="1">
        <v>5388.1467000000002</v>
      </c>
      <c r="J28" s="2">
        <v>1</v>
      </c>
      <c r="K28" s="7">
        <f t="shared" si="1"/>
        <v>1.8559257118964484E-4</v>
      </c>
      <c r="M28" s="1">
        <v>34.342799999999997</v>
      </c>
      <c r="N28" s="1">
        <v>71</v>
      </c>
      <c r="O28" s="1">
        <v>3502.6305000000002</v>
      </c>
      <c r="P28" s="2">
        <v>1</v>
      </c>
      <c r="Q28" s="15">
        <f t="shared" si="2"/>
        <v>2.027047957242421E-2</v>
      </c>
      <c r="S28" s="6">
        <v>33.918799999999997</v>
      </c>
      <c r="T28" s="1">
        <v>1</v>
      </c>
      <c r="U28" s="1">
        <v>3383.0956000000001</v>
      </c>
      <c r="V28" s="13">
        <v>1</v>
      </c>
      <c r="W28">
        <f t="shared" si="3"/>
        <v>2.9558727220123485E-4</v>
      </c>
    </row>
    <row r="29" spans="1:23" x14ac:dyDescent="0.4">
      <c r="A29" s="1">
        <v>34.939599999999999</v>
      </c>
      <c r="B29" s="1">
        <v>152</v>
      </c>
      <c r="C29" s="1">
        <v>5740.0514999999996</v>
      </c>
      <c r="D29" s="2">
        <v>1</v>
      </c>
      <c r="E29" s="15">
        <f t="shared" si="0"/>
        <v>2.6480598649681105E-2</v>
      </c>
      <c r="G29" s="6">
        <v>34.514299999999999</v>
      </c>
      <c r="H29" s="1">
        <v>3</v>
      </c>
      <c r="I29" s="1">
        <v>5383.1651000000002</v>
      </c>
      <c r="J29" s="2">
        <v>1</v>
      </c>
      <c r="K29" s="7">
        <f t="shared" si="1"/>
        <v>5.5729295763193288E-4</v>
      </c>
      <c r="M29" s="1">
        <v>34.343800000000002</v>
      </c>
      <c r="N29" s="1">
        <v>81</v>
      </c>
      <c r="O29" s="1">
        <v>3502.1713</v>
      </c>
      <c r="P29" s="2">
        <v>1</v>
      </c>
      <c r="Q29" s="15">
        <f t="shared" si="2"/>
        <v>2.3128508876764538E-2</v>
      </c>
      <c r="S29" s="6">
        <v>33.9193</v>
      </c>
      <c r="T29" s="1">
        <v>2</v>
      </c>
      <c r="U29" s="1">
        <v>3381.5311000000002</v>
      </c>
      <c r="V29" s="13">
        <v>1</v>
      </c>
      <c r="W29">
        <f t="shared" si="3"/>
        <v>5.9144805736076182E-4</v>
      </c>
    </row>
    <row r="30" spans="1:23" x14ac:dyDescent="0.4">
      <c r="A30" s="1">
        <v>34.940600000000003</v>
      </c>
      <c r="B30" s="1">
        <v>148</v>
      </c>
      <c r="C30" s="1">
        <v>5740.8096999999998</v>
      </c>
      <c r="D30" s="2">
        <v>1</v>
      </c>
      <c r="E30" s="15">
        <f t="shared" si="0"/>
        <v>2.5780335481247533E-2</v>
      </c>
      <c r="G30" s="6">
        <v>34.514800000000001</v>
      </c>
      <c r="H30" s="1">
        <v>1</v>
      </c>
      <c r="I30" s="1">
        <v>5379.6363000000001</v>
      </c>
      <c r="J30" s="2">
        <v>1</v>
      </c>
      <c r="K30" s="7">
        <f t="shared" si="1"/>
        <v>1.858861722678167E-4</v>
      </c>
      <c r="M30" s="1">
        <v>34.344799999999999</v>
      </c>
      <c r="N30" s="1">
        <v>98</v>
      </c>
      <c r="O30" s="1">
        <v>3503.0702000000001</v>
      </c>
      <c r="P30" s="2">
        <v>1</v>
      </c>
      <c r="Q30" s="15">
        <f t="shared" si="2"/>
        <v>2.7975459926552426E-2</v>
      </c>
      <c r="S30" s="6">
        <v>33.919800000000002</v>
      </c>
      <c r="T30" s="1">
        <v>0</v>
      </c>
      <c r="U30" s="1">
        <v>3381.9101000000001</v>
      </c>
      <c r="V30" s="13">
        <v>1</v>
      </c>
      <c r="W30">
        <f t="shared" si="3"/>
        <v>0</v>
      </c>
    </row>
    <row r="31" spans="1:23" x14ac:dyDescent="0.4">
      <c r="A31" s="1">
        <v>34.941600000000001</v>
      </c>
      <c r="B31" s="1">
        <v>184</v>
      </c>
      <c r="C31" s="1">
        <v>5741.6081999999997</v>
      </c>
      <c r="D31" s="2">
        <v>1</v>
      </c>
      <c r="E31" s="15">
        <f t="shared" si="0"/>
        <v>3.2046770450132774E-2</v>
      </c>
      <c r="G31" s="6">
        <v>34.515300000000003</v>
      </c>
      <c r="H31" s="1">
        <v>3</v>
      </c>
      <c r="I31" s="1">
        <v>5379.5293000000001</v>
      </c>
      <c r="J31" s="2">
        <v>1</v>
      </c>
      <c r="K31" s="7">
        <f t="shared" si="1"/>
        <v>5.576696087518289E-4</v>
      </c>
      <c r="M31" s="1">
        <v>34.345799999999997</v>
      </c>
      <c r="N31" s="1">
        <v>90</v>
      </c>
      <c r="O31" s="1">
        <v>3502.5198</v>
      </c>
      <c r="P31" s="2">
        <v>1</v>
      </c>
      <c r="Q31" s="15">
        <f t="shared" si="2"/>
        <v>2.5695786216540447E-2</v>
      </c>
      <c r="S31" s="6">
        <v>33.920299999999997</v>
      </c>
      <c r="T31" s="1">
        <v>1</v>
      </c>
      <c r="U31" s="1">
        <v>3380.5225999999998</v>
      </c>
      <c r="V31" s="13">
        <v>1</v>
      </c>
      <c r="W31">
        <f t="shared" si="3"/>
        <v>2.9581225104071188E-4</v>
      </c>
    </row>
    <row r="32" spans="1:23" x14ac:dyDescent="0.4">
      <c r="A32" s="1">
        <v>34.942599999999999</v>
      </c>
      <c r="B32" s="1">
        <v>154</v>
      </c>
      <c r="C32" s="1">
        <v>5737.8490000000002</v>
      </c>
      <c r="D32" s="2">
        <v>1</v>
      </c>
      <c r="E32" s="15">
        <f t="shared" si="0"/>
        <v>2.6839326026181588E-2</v>
      </c>
      <c r="G32" s="6">
        <v>34.515799999999999</v>
      </c>
      <c r="H32" s="1">
        <v>2</v>
      </c>
      <c r="I32" s="1">
        <v>5379.2560000000003</v>
      </c>
      <c r="J32" s="2">
        <v>1</v>
      </c>
      <c r="K32" s="7">
        <f t="shared" si="1"/>
        <v>3.7179862791434352E-4</v>
      </c>
      <c r="M32" s="1">
        <v>34.346800000000002</v>
      </c>
      <c r="N32" s="1">
        <v>91</v>
      </c>
      <c r="O32" s="1">
        <v>3502.4344999999998</v>
      </c>
      <c r="P32" s="2">
        <v>1</v>
      </c>
      <c r="Q32" s="15">
        <f t="shared" si="2"/>
        <v>2.5981927713423336E-2</v>
      </c>
      <c r="S32" s="6">
        <v>33.9208</v>
      </c>
      <c r="T32" s="1">
        <v>0</v>
      </c>
      <c r="U32" s="1">
        <v>3383.2345999999998</v>
      </c>
      <c r="V32" s="13">
        <v>1</v>
      </c>
      <c r="W32">
        <f t="shared" si="3"/>
        <v>0</v>
      </c>
    </row>
    <row r="33" spans="1:23" x14ac:dyDescent="0.4">
      <c r="A33" s="1">
        <v>34.943600000000004</v>
      </c>
      <c r="B33" s="1">
        <v>151</v>
      </c>
      <c r="C33" s="1">
        <v>5736.5221000000001</v>
      </c>
      <c r="D33" s="2">
        <v>1</v>
      </c>
      <c r="E33" s="15">
        <f t="shared" si="0"/>
        <v>2.6322569209661025E-2</v>
      </c>
      <c r="G33" s="6">
        <v>34.516300000000001</v>
      </c>
      <c r="H33" s="1">
        <v>3</v>
      </c>
      <c r="I33" s="1">
        <v>5379.1162999999997</v>
      </c>
      <c r="J33" s="2">
        <v>1</v>
      </c>
      <c r="K33" s="7">
        <f t="shared" si="1"/>
        <v>5.5771242573803437E-4</v>
      </c>
      <c r="M33" s="1">
        <v>34.347799999999999</v>
      </c>
      <c r="N33" s="1">
        <v>87</v>
      </c>
      <c r="O33" s="1">
        <v>3500.7291</v>
      </c>
      <c r="P33" s="2">
        <v>1</v>
      </c>
      <c r="Q33" s="15">
        <f t="shared" si="2"/>
        <v>2.4851965837630795E-2</v>
      </c>
      <c r="S33" s="6">
        <v>33.921300000000002</v>
      </c>
      <c r="T33" s="1">
        <v>1</v>
      </c>
      <c r="U33" s="1">
        <v>3383.8670000000002</v>
      </c>
      <c r="V33" s="13">
        <v>1</v>
      </c>
      <c r="W33">
        <f t="shared" si="3"/>
        <v>2.955198889318049E-4</v>
      </c>
    </row>
    <row r="34" spans="1:23" x14ac:dyDescent="0.4">
      <c r="A34" s="1">
        <v>34.944600000000001</v>
      </c>
      <c r="B34" s="1">
        <v>176</v>
      </c>
      <c r="C34" s="1">
        <v>5733.6860999999999</v>
      </c>
      <c r="D34" s="2">
        <v>1</v>
      </c>
      <c r="E34" s="15">
        <f t="shared" si="0"/>
        <v>3.0695785735462569E-2</v>
      </c>
      <c r="G34" s="6">
        <v>34.516800000000003</v>
      </c>
      <c r="H34" s="1">
        <v>1</v>
      </c>
      <c r="I34" s="1">
        <v>5378.2691999999997</v>
      </c>
      <c r="J34" s="2">
        <v>1</v>
      </c>
      <c r="K34" s="7">
        <f t="shared" si="1"/>
        <v>1.8593342259625085E-4</v>
      </c>
      <c r="M34" s="1">
        <v>34.348799999999997</v>
      </c>
      <c r="N34" s="1">
        <v>89</v>
      </c>
      <c r="O34" s="1">
        <v>3499.9492</v>
      </c>
      <c r="P34" s="2">
        <v>1</v>
      </c>
      <c r="Q34" s="15">
        <f t="shared" si="2"/>
        <v>2.5428940511479422E-2</v>
      </c>
      <c r="S34" s="6">
        <v>33.921799999999998</v>
      </c>
      <c r="T34" s="1">
        <v>2</v>
      </c>
      <c r="U34" s="1">
        <v>3382.3890999999999</v>
      </c>
      <c r="V34" s="13">
        <v>1</v>
      </c>
      <c r="W34">
        <f t="shared" si="3"/>
        <v>5.9129802659309662E-4</v>
      </c>
    </row>
    <row r="35" spans="1:23" x14ac:dyDescent="0.4">
      <c r="A35" s="1">
        <v>34.945599999999999</v>
      </c>
      <c r="B35" s="1">
        <v>204</v>
      </c>
      <c r="C35" s="1">
        <v>5732.4634999999998</v>
      </c>
      <c r="D35" s="2">
        <v>1</v>
      </c>
      <c r="E35" s="15">
        <f t="shared" si="0"/>
        <v>3.5586794403488137E-2</v>
      </c>
      <c r="G35" s="6">
        <v>34.517299999999999</v>
      </c>
      <c r="H35" s="1">
        <v>2</v>
      </c>
      <c r="I35" s="1">
        <v>5380.3499000000002</v>
      </c>
      <c r="J35" s="2">
        <v>1</v>
      </c>
      <c r="K35" s="7">
        <f t="shared" si="1"/>
        <v>3.7172303607986535E-4</v>
      </c>
      <c r="M35" s="1">
        <v>34.349800000000002</v>
      </c>
      <c r="N35" s="1">
        <v>92</v>
      </c>
      <c r="O35" s="1">
        <v>3499.8040000000001</v>
      </c>
      <c r="P35" s="2">
        <v>1</v>
      </c>
      <c r="Q35" s="15">
        <f t="shared" si="2"/>
        <v>2.6287186368150903E-2</v>
      </c>
      <c r="S35" s="6">
        <v>33.9223</v>
      </c>
      <c r="T35" s="1">
        <v>1</v>
      </c>
      <c r="U35" s="1">
        <v>3383.4438</v>
      </c>
      <c r="V35" s="13">
        <v>1</v>
      </c>
      <c r="W35">
        <f t="shared" si="3"/>
        <v>2.9555685245902415E-4</v>
      </c>
    </row>
    <row r="36" spans="1:23" x14ac:dyDescent="0.4">
      <c r="A36" s="1">
        <v>34.946599999999997</v>
      </c>
      <c r="B36" s="1">
        <v>178</v>
      </c>
      <c r="C36" s="1">
        <v>5728.5910999999996</v>
      </c>
      <c r="D36" s="2">
        <v>1</v>
      </c>
      <c r="E36" s="15">
        <f t="shared" si="0"/>
        <v>3.1072212502651832E-2</v>
      </c>
      <c r="G36" s="6">
        <v>34.517800000000001</v>
      </c>
      <c r="H36" s="1">
        <v>0</v>
      </c>
      <c r="I36" s="1">
        <v>5378.6948000000002</v>
      </c>
      <c r="J36" s="2">
        <v>1</v>
      </c>
      <c r="K36" s="7">
        <f t="shared" si="1"/>
        <v>0</v>
      </c>
      <c r="M36" s="1">
        <v>34.3508</v>
      </c>
      <c r="N36" s="1">
        <v>88</v>
      </c>
      <c r="O36" s="1">
        <v>3500.1152000000002</v>
      </c>
      <c r="P36" s="2">
        <v>1</v>
      </c>
      <c r="Q36" s="15">
        <f t="shared" si="2"/>
        <v>2.5142029610911092E-2</v>
      </c>
      <c r="S36" s="6">
        <v>33.922800000000002</v>
      </c>
      <c r="T36" s="1">
        <v>0</v>
      </c>
      <c r="U36" s="1">
        <v>3382.8923</v>
      </c>
      <c r="V36" s="13">
        <v>1</v>
      </c>
      <c r="W36">
        <f t="shared" si="3"/>
        <v>0</v>
      </c>
    </row>
    <row r="37" spans="1:23" x14ac:dyDescent="0.4">
      <c r="A37" s="1">
        <v>34.947600000000001</v>
      </c>
      <c r="B37" s="1">
        <v>186</v>
      </c>
      <c r="C37" s="1">
        <v>5724.6005999999998</v>
      </c>
      <c r="D37" s="2">
        <v>1</v>
      </c>
      <c r="E37" s="15">
        <f t="shared" si="0"/>
        <v>3.2491349702195818E-2</v>
      </c>
      <c r="G37" s="6">
        <v>34.518300000000004</v>
      </c>
      <c r="H37" s="1">
        <v>2</v>
      </c>
      <c r="I37" s="1">
        <v>5379.1734999999999</v>
      </c>
      <c r="J37" s="2">
        <v>1</v>
      </c>
      <c r="K37" s="7">
        <f t="shared" si="1"/>
        <v>3.7180433016336062E-4</v>
      </c>
      <c r="M37" s="1">
        <v>34.351799999999997</v>
      </c>
      <c r="N37" s="1">
        <v>89</v>
      </c>
      <c r="O37" s="1">
        <v>3498.7303000000002</v>
      </c>
      <c r="P37" s="2">
        <v>1</v>
      </c>
      <c r="Q37" s="15">
        <f t="shared" si="2"/>
        <v>2.5437799535448617E-2</v>
      </c>
      <c r="S37" s="6">
        <v>33.923299999999998</v>
      </c>
      <c r="T37" s="1">
        <v>0</v>
      </c>
      <c r="U37" s="1">
        <v>3383.7015999999999</v>
      </c>
      <c r="V37" s="13">
        <v>1</v>
      </c>
      <c r="W37">
        <f t="shared" si="3"/>
        <v>0</v>
      </c>
    </row>
    <row r="38" spans="1:23" x14ac:dyDescent="0.4">
      <c r="A38" s="1">
        <v>34.948599999999999</v>
      </c>
      <c r="B38" s="1">
        <v>193</v>
      </c>
      <c r="C38" s="1">
        <v>5726.0937999999996</v>
      </c>
      <c r="D38" s="2">
        <v>1</v>
      </c>
      <c r="E38" s="15">
        <f t="shared" si="0"/>
        <v>3.3705350757614209E-2</v>
      </c>
      <c r="G38" s="6">
        <v>34.518799999999999</v>
      </c>
      <c r="H38" s="1">
        <v>0</v>
      </c>
      <c r="I38" s="1">
        <v>5380.1058000000003</v>
      </c>
      <c r="J38" s="2">
        <v>1</v>
      </c>
      <c r="K38" s="7">
        <f t="shared" si="1"/>
        <v>0</v>
      </c>
      <c r="M38" s="1">
        <v>34.352800000000002</v>
      </c>
      <c r="N38" s="1">
        <v>98</v>
      </c>
      <c r="O38" s="1">
        <v>3497.8472999999999</v>
      </c>
      <c r="P38" s="2">
        <v>1</v>
      </c>
      <c r="Q38" s="15">
        <f t="shared" si="2"/>
        <v>2.8017232198786952E-2</v>
      </c>
      <c r="S38" s="6">
        <v>33.9238</v>
      </c>
      <c r="T38" s="1">
        <v>2</v>
      </c>
      <c r="U38" s="1">
        <v>3383.3177999999998</v>
      </c>
      <c r="V38" s="13">
        <v>1</v>
      </c>
      <c r="W38">
        <f t="shared" si="3"/>
        <v>5.911357189088179E-4</v>
      </c>
    </row>
    <row r="39" spans="1:23" x14ac:dyDescent="0.4">
      <c r="A39" s="1">
        <v>34.949599999999997</v>
      </c>
      <c r="B39" s="1">
        <v>181</v>
      </c>
      <c r="C39" s="1">
        <v>5725.9429</v>
      </c>
      <c r="D39" s="2">
        <v>1</v>
      </c>
      <c r="E39" s="15">
        <f t="shared" si="0"/>
        <v>3.1610514313721153E-2</v>
      </c>
      <c r="G39" s="6">
        <v>34.519300000000001</v>
      </c>
      <c r="H39" s="1">
        <v>2</v>
      </c>
      <c r="I39" s="1">
        <v>5378.2861000000003</v>
      </c>
      <c r="J39" s="2">
        <v>1</v>
      </c>
      <c r="K39" s="7">
        <f t="shared" si="1"/>
        <v>3.718656766883413E-4</v>
      </c>
      <c r="M39" s="1">
        <v>34.3538</v>
      </c>
      <c r="N39" s="1">
        <v>102</v>
      </c>
      <c r="O39" s="1">
        <v>3497.6950999999999</v>
      </c>
      <c r="P39" s="2">
        <v>1</v>
      </c>
      <c r="Q39" s="15">
        <f t="shared" si="2"/>
        <v>2.9162061610230119E-2</v>
      </c>
      <c r="S39" s="6">
        <v>33.924300000000002</v>
      </c>
      <c r="T39" s="1">
        <v>3</v>
      </c>
      <c r="U39" s="1">
        <v>3381.8858</v>
      </c>
      <c r="V39" s="13">
        <v>1</v>
      </c>
      <c r="W39">
        <f t="shared" si="3"/>
        <v>8.8707903738204292E-4</v>
      </c>
    </row>
    <row r="40" spans="1:23" x14ac:dyDescent="0.4">
      <c r="A40" s="1">
        <v>34.950600000000001</v>
      </c>
      <c r="B40" s="1">
        <v>186</v>
      </c>
      <c r="C40" s="1">
        <v>5723.9922999999999</v>
      </c>
      <c r="D40" s="2">
        <v>1</v>
      </c>
      <c r="E40" s="15">
        <f t="shared" si="0"/>
        <v>3.249480262228864E-2</v>
      </c>
      <c r="G40" s="6">
        <v>34.519799999999996</v>
      </c>
      <c r="H40" s="1">
        <v>2</v>
      </c>
      <c r="I40" s="1">
        <v>5382.8536000000004</v>
      </c>
      <c r="J40" s="2">
        <v>1</v>
      </c>
      <c r="K40" s="7">
        <f t="shared" si="1"/>
        <v>3.7155013838756454E-4</v>
      </c>
      <c r="M40" s="1">
        <v>34.354799999999997</v>
      </c>
      <c r="N40" s="1">
        <v>115</v>
      </c>
      <c r="O40" s="1">
        <v>3497.3557999999998</v>
      </c>
      <c r="P40" s="2">
        <v>1</v>
      </c>
      <c r="Q40" s="15">
        <f t="shared" si="2"/>
        <v>3.2881984726861366E-2</v>
      </c>
      <c r="S40" s="6">
        <v>33.924799999999998</v>
      </c>
      <c r="T40" s="1">
        <v>4</v>
      </c>
      <c r="U40" s="1">
        <v>3383.5929000000001</v>
      </c>
      <c r="V40" s="13">
        <v>1</v>
      </c>
      <c r="W40">
        <f t="shared" si="3"/>
        <v>1.1821753142938678E-3</v>
      </c>
    </row>
    <row r="41" spans="1:23" x14ac:dyDescent="0.4">
      <c r="A41" s="1">
        <v>34.951599999999999</v>
      </c>
      <c r="B41" s="1">
        <v>222</v>
      </c>
      <c r="C41" s="1">
        <v>5729.1850999999997</v>
      </c>
      <c r="D41" s="2">
        <v>1</v>
      </c>
      <c r="E41" s="15">
        <f t="shared" si="0"/>
        <v>3.874896623605336E-2</v>
      </c>
      <c r="G41" s="6">
        <v>34.520299999999999</v>
      </c>
      <c r="H41" s="1">
        <v>2</v>
      </c>
      <c r="I41" s="1">
        <v>5383.8217999999997</v>
      </c>
      <c r="J41" s="2">
        <v>1</v>
      </c>
      <c r="K41" s="7">
        <f t="shared" si="1"/>
        <v>3.7148332064036743E-4</v>
      </c>
      <c r="M41" s="1">
        <v>34.355800000000002</v>
      </c>
      <c r="N41" s="1">
        <v>121</v>
      </c>
      <c r="O41" s="1">
        <v>3497.3769000000002</v>
      </c>
      <c r="P41" s="2">
        <v>1</v>
      </c>
      <c r="Q41" s="15">
        <f t="shared" si="2"/>
        <v>3.4597357808362032E-2</v>
      </c>
      <c r="S41" s="6">
        <v>33.9253</v>
      </c>
      <c r="T41" s="1">
        <v>3</v>
      </c>
      <c r="U41" s="1">
        <v>3383.3505</v>
      </c>
      <c r="V41" s="13">
        <v>1</v>
      </c>
      <c r="W41">
        <f t="shared" si="3"/>
        <v>8.8669500839478504E-4</v>
      </c>
    </row>
    <row r="42" spans="1:23" x14ac:dyDescent="0.4">
      <c r="A42" s="1">
        <v>34.952599999999997</v>
      </c>
      <c r="B42" s="1">
        <v>222</v>
      </c>
      <c r="C42" s="1">
        <v>5727.2919000000002</v>
      </c>
      <c r="D42" s="2">
        <v>1</v>
      </c>
      <c r="E42" s="15">
        <f t="shared" si="0"/>
        <v>3.8761775002248443E-2</v>
      </c>
      <c r="G42" s="6">
        <v>34.520800000000001</v>
      </c>
      <c r="H42" s="1">
        <v>2</v>
      </c>
      <c r="I42" s="1">
        <v>5383.1481000000003</v>
      </c>
      <c r="J42" s="2">
        <v>1</v>
      </c>
      <c r="K42" s="7">
        <f t="shared" si="1"/>
        <v>3.7152981170999176E-4</v>
      </c>
      <c r="M42" s="1">
        <v>34.3568</v>
      </c>
      <c r="N42" s="1">
        <v>105</v>
      </c>
      <c r="O42" s="1">
        <v>3497.0934000000002</v>
      </c>
      <c r="P42" s="2">
        <v>1</v>
      </c>
      <c r="Q42" s="15">
        <f t="shared" si="2"/>
        <v>3.0024934421253945E-2</v>
      </c>
      <c r="S42" s="6">
        <v>33.925800000000002</v>
      </c>
      <c r="T42" s="1">
        <v>7</v>
      </c>
      <c r="U42" s="1">
        <v>3383.6538</v>
      </c>
      <c r="V42" s="13">
        <v>1</v>
      </c>
      <c r="W42">
        <f t="shared" si="3"/>
        <v>2.0687695650187382E-3</v>
      </c>
    </row>
    <row r="43" spans="1:23" x14ac:dyDescent="0.4">
      <c r="A43" s="1">
        <v>34.953600000000002</v>
      </c>
      <c r="B43" s="1">
        <v>210</v>
      </c>
      <c r="C43" s="1">
        <v>5723.6701999999996</v>
      </c>
      <c r="D43" s="2">
        <v>1</v>
      </c>
      <c r="E43" s="15">
        <f t="shared" si="0"/>
        <v>3.6689744982161973E-2</v>
      </c>
      <c r="G43" s="6">
        <v>34.521299999999997</v>
      </c>
      <c r="H43" s="1">
        <v>1</v>
      </c>
      <c r="I43" s="1">
        <v>5379.4376000000002</v>
      </c>
      <c r="J43" s="2">
        <v>1</v>
      </c>
      <c r="K43" s="7">
        <f t="shared" si="1"/>
        <v>1.8589303833545722E-4</v>
      </c>
      <c r="M43" s="1">
        <v>34.357799999999997</v>
      </c>
      <c r="N43" s="1">
        <v>113</v>
      </c>
      <c r="O43" s="1">
        <v>3495.6541000000002</v>
      </c>
      <c r="P43" s="2">
        <v>1</v>
      </c>
      <c r="Q43" s="15">
        <f t="shared" si="2"/>
        <v>3.2325852835382078E-2</v>
      </c>
      <c r="S43" s="6">
        <v>33.926299999999998</v>
      </c>
      <c r="T43" s="1">
        <v>8</v>
      </c>
      <c r="U43" s="1">
        <v>3382.549</v>
      </c>
      <c r="V43" s="13">
        <v>1</v>
      </c>
      <c r="W43">
        <f t="shared" si="3"/>
        <v>2.3650802989106734E-3</v>
      </c>
    </row>
    <row r="44" spans="1:23" x14ac:dyDescent="0.4">
      <c r="A44" s="1">
        <v>34.954599999999999</v>
      </c>
      <c r="B44" s="1">
        <v>220</v>
      </c>
      <c r="C44" s="1">
        <v>5724.4318999999996</v>
      </c>
      <c r="D44" s="2">
        <v>1</v>
      </c>
      <c r="E44" s="15">
        <f t="shared" si="0"/>
        <v>3.8431761237302867E-2</v>
      </c>
      <c r="G44" s="6">
        <v>34.521799999999999</v>
      </c>
      <c r="H44" s="1">
        <v>2</v>
      </c>
      <c r="I44" s="1">
        <v>5382.1171000000004</v>
      </c>
      <c r="J44" s="2">
        <v>1</v>
      </c>
      <c r="K44" s="7">
        <f t="shared" si="1"/>
        <v>3.7160098207450742E-4</v>
      </c>
      <c r="M44" s="1">
        <v>34.358800000000002</v>
      </c>
      <c r="N44" s="1">
        <v>106</v>
      </c>
      <c r="O44" s="1">
        <v>3497.712</v>
      </c>
      <c r="P44" s="2">
        <v>1</v>
      </c>
      <c r="Q44" s="15">
        <f t="shared" si="2"/>
        <v>3.0305525440630903E-2</v>
      </c>
      <c r="S44" s="6">
        <v>33.9268</v>
      </c>
      <c r="T44" s="1">
        <v>13</v>
      </c>
      <c r="U44" s="1">
        <v>3383.3773000000001</v>
      </c>
      <c r="V44" s="13">
        <v>1</v>
      </c>
      <c r="W44">
        <f t="shared" si="3"/>
        <v>3.8423146008575511E-3</v>
      </c>
    </row>
    <row r="45" spans="1:23" x14ac:dyDescent="0.4">
      <c r="A45" s="1">
        <v>34.955599999999997</v>
      </c>
      <c r="B45" s="1">
        <v>211</v>
      </c>
      <c r="C45" s="1">
        <v>5722.7245000000003</v>
      </c>
      <c r="D45" s="2">
        <v>1</v>
      </c>
      <c r="E45" s="15">
        <f t="shared" si="0"/>
        <v>3.6870550032593742E-2</v>
      </c>
      <c r="G45" s="6">
        <v>34.522300000000001</v>
      </c>
      <c r="H45" s="1">
        <v>1</v>
      </c>
      <c r="I45" s="1">
        <v>5380.6135999999997</v>
      </c>
      <c r="J45" s="2">
        <v>1</v>
      </c>
      <c r="K45" s="7">
        <f t="shared" si="1"/>
        <v>1.8585240910070182E-4</v>
      </c>
      <c r="M45" s="1">
        <v>34.3598</v>
      </c>
      <c r="N45" s="1">
        <v>100</v>
      </c>
      <c r="O45" s="1">
        <v>3495.6588000000002</v>
      </c>
      <c r="P45" s="2">
        <v>1</v>
      </c>
      <c r="Q45" s="15">
        <f t="shared" si="2"/>
        <v>2.8606910949089195E-2</v>
      </c>
      <c r="S45" s="6">
        <v>33.927300000000002</v>
      </c>
      <c r="T45" s="1">
        <v>9</v>
      </c>
      <c r="U45" s="1">
        <v>3381.6466999999998</v>
      </c>
      <c r="V45" s="13">
        <v>1</v>
      </c>
      <c r="W45">
        <f t="shared" si="3"/>
        <v>2.6614252754434699E-3</v>
      </c>
    </row>
    <row r="46" spans="1:23" x14ac:dyDescent="0.4">
      <c r="A46" s="1">
        <v>34.956600000000002</v>
      </c>
      <c r="B46" s="1">
        <v>236</v>
      </c>
      <c r="C46" s="1">
        <v>5724.9971999999998</v>
      </c>
      <c r="D46" s="2">
        <v>1</v>
      </c>
      <c r="E46" s="15">
        <f t="shared" si="0"/>
        <v>4.1222727584914805E-2</v>
      </c>
      <c r="G46" s="6">
        <v>34.522799999999997</v>
      </c>
      <c r="H46" s="1">
        <v>3</v>
      </c>
      <c r="I46" s="1">
        <v>5374.9003000000002</v>
      </c>
      <c r="J46" s="2">
        <v>1</v>
      </c>
      <c r="K46" s="7">
        <f t="shared" si="1"/>
        <v>5.5814988791513028E-4</v>
      </c>
      <c r="M46" s="1">
        <v>34.360799999999998</v>
      </c>
      <c r="N46" s="1">
        <v>133</v>
      </c>
      <c r="O46" s="1">
        <v>3497.4292</v>
      </c>
      <c r="P46" s="2">
        <v>1</v>
      </c>
      <c r="Q46" s="15">
        <f t="shared" si="2"/>
        <v>3.8027932059353765E-2</v>
      </c>
      <c r="S46" s="6">
        <v>33.927799999999998</v>
      </c>
      <c r="T46" s="1">
        <v>11</v>
      </c>
      <c r="U46" s="1">
        <v>3382.8092000000001</v>
      </c>
      <c r="V46" s="13">
        <v>1</v>
      </c>
      <c r="W46">
        <f t="shared" si="3"/>
        <v>3.2517352737482207E-3</v>
      </c>
    </row>
    <row r="47" spans="1:23" x14ac:dyDescent="0.4">
      <c r="A47" s="1">
        <v>34.957599999999999</v>
      </c>
      <c r="B47" s="1">
        <v>204</v>
      </c>
      <c r="C47" s="1">
        <v>5724.1732000000002</v>
      </c>
      <c r="D47" s="2">
        <v>1</v>
      </c>
      <c r="E47" s="15">
        <f t="shared" si="0"/>
        <v>3.5638334633200826E-2</v>
      </c>
      <c r="G47" s="6">
        <v>34.523299999999999</v>
      </c>
      <c r="H47" s="1">
        <v>4</v>
      </c>
      <c r="I47" s="1">
        <v>5375.3060999999998</v>
      </c>
      <c r="J47" s="2">
        <v>1</v>
      </c>
      <c r="K47" s="7">
        <f t="shared" si="1"/>
        <v>7.441436683949962E-4</v>
      </c>
      <c r="M47" s="1">
        <v>34.361800000000002</v>
      </c>
      <c r="N47" s="1">
        <v>122</v>
      </c>
      <c r="O47" s="1">
        <v>3497.0383999999999</v>
      </c>
      <c r="P47" s="2">
        <v>1</v>
      </c>
      <c r="Q47" s="15">
        <f t="shared" si="2"/>
        <v>3.4886662954573218E-2</v>
      </c>
      <c r="S47" s="6">
        <v>33.9283</v>
      </c>
      <c r="T47" s="1">
        <v>16</v>
      </c>
      <c r="U47" s="1">
        <v>3381.3337999999999</v>
      </c>
      <c r="V47" s="13">
        <v>1</v>
      </c>
      <c r="W47">
        <f t="shared" si="3"/>
        <v>4.7318605456817073E-3</v>
      </c>
    </row>
    <row r="48" spans="1:23" x14ac:dyDescent="0.4">
      <c r="A48" s="1">
        <v>34.958599999999997</v>
      </c>
      <c r="B48" s="1">
        <v>224</v>
      </c>
      <c r="C48" s="1">
        <v>5722.2179999999998</v>
      </c>
      <c r="D48" s="2">
        <v>1</v>
      </c>
      <c r="E48" s="15">
        <f t="shared" si="0"/>
        <v>3.9145659952137445E-2</v>
      </c>
      <c r="G48" s="6">
        <v>34.523800000000001</v>
      </c>
      <c r="H48" s="1">
        <v>3</v>
      </c>
      <c r="I48" s="1">
        <v>5374.2354999999998</v>
      </c>
      <c r="J48" s="2">
        <v>1</v>
      </c>
      <c r="K48" s="7">
        <f t="shared" si="1"/>
        <v>5.5821893179039146E-4</v>
      </c>
      <c r="M48" s="1">
        <v>34.3628</v>
      </c>
      <c r="N48" s="1">
        <v>134</v>
      </c>
      <c r="O48" s="1">
        <v>3495.5754999999999</v>
      </c>
      <c r="P48" s="2">
        <v>1</v>
      </c>
      <c r="Q48" s="15">
        <f t="shared" si="2"/>
        <v>3.8334174158160796E-2</v>
      </c>
      <c r="S48" s="6">
        <v>33.928800000000003</v>
      </c>
      <c r="T48" s="1">
        <v>14</v>
      </c>
      <c r="U48" s="1">
        <v>3381.5484999999999</v>
      </c>
      <c r="V48" s="13">
        <v>1</v>
      </c>
      <c r="W48">
        <f t="shared" si="3"/>
        <v>4.1401150981569537E-3</v>
      </c>
    </row>
    <row r="49" spans="1:23" x14ac:dyDescent="0.4">
      <c r="A49" s="1">
        <v>34.959600000000002</v>
      </c>
      <c r="B49" s="1">
        <v>219</v>
      </c>
      <c r="C49" s="1">
        <v>5719.8308999999999</v>
      </c>
      <c r="D49" s="2">
        <v>1</v>
      </c>
      <c r="E49" s="15">
        <f t="shared" si="0"/>
        <v>3.8287845187870852E-2</v>
      </c>
      <c r="G49" s="6">
        <v>34.524299999999997</v>
      </c>
      <c r="H49" s="1">
        <v>11</v>
      </c>
      <c r="I49" s="1">
        <v>5377.5364</v>
      </c>
      <c r="J49" s="2">
        <v>1</v>
      </c>
      <c r="K49" s="7">
        <f t="shared" si="1"/>
        <v>2.0455463583658865E-3</v>
      </c>
      <c r="M49" s="1">
        <v>34.363799999999998</v>
      </c>
      <c r="N49" s="1">
        <v>119</v>
      </c>
      <c r="O49" s="1">
        <v>3496.3705</v>
      </c>
      <c r="P49" s="2">
        <v>1</v>
      </c>
      <c r="Q49" s="15">
        <f t="shared" si="2"/>
        <v>3.4035294600500719E-2</v>
      </c>
      <c r="S49" s="6">
        <v>33.929299999999998</v>
      </c>
      <c r="T49" s="1">
        <v>24</v>
      </c>
      <c r="U49" s="1">
        <v>3381.2471</v>
      </c>
      <c r="V49" s="13">
        <v>1</v>
      </c>
      <c r="W49">
        <f t="shared" si="3"/>
        <v>7.0979728160062601E-3</v>
      </c>
    </row>
    <row r="50" spans="1:23" x14ac:dyDescent="0.4">
      <c r="A50" s="1">
        <v>34.960599999999999</v>
      </c>
      <c r="B50" s="1">
        <v>229</v>
      </c>
      <c r="C50" s="1">
        <v>5717.2359999999999</v>
      </c>
      <c r="D50" s="2">
        <v>1</v>
      </c>
      <c r="E50" s="15">
        <f t="shared" si="0"/>
        <v>4.005431995460744E-2</v>
      </c>
      <c r="G50" s="6">
        <v>34.524799999999999</v>
      </c>
      <c r="H50" s="1">
        <v>8</v>
      </c>
      <c r="I50" s="1">
        <v>5375.2605000000003</v>
      </c>
      <c r="J50" s="2">
        <v>1</v>
      </c>
      <c r="K50" s="7">
        <f t="shared" si="1"/>
        <v>1.4882999623925203E-3</v>
      </c>
      <c r="M50" s="1">
        <v>34.364800000000002</v>
      </c>
      <c r="N50" s="1">
        <v>133</v>
      </c>
      <c r="O50" s="1">
        <v>3495.9859999999999</v>
      </c>
      <c r="P50" s="2">
        <v>1</v>
      </c>
      <c r="Q50" s="15">
        <f t="shared" si="2"/>
        <v>3.8043630609504733E-2</v>
      </c>
      <c r="S50" s="6">
        <v>33.9298</v>
      </c>
      <c r="T50" s="1">
        <v>18</v>
      </c>
      <c r="U50" s="1">
        <v>3380.8850000000002</v>
      </c>
      <c r="V50" s="13">
        <v>1</v>
      </c>
      <c r="W50">
        <f t="shared" si="3"/>
        <v>5.3240497680341094E-3</v>
      </c>
    </row>
    <row r="51" spans="1:23" x14ac:dyDescent="0.4">
      <c r="A51" s="1">
        <v>34.961599999999997</v>
      </c>
      <c r="B51" s="1">
        <v>256</v>
      </c>
      <c r="C51" s="1">
        <v>5717.1265000000003</v>
      </c>
      <c r="D51" s="2">
        <v>1</v>
      </c>
      <c r="E51" s="15">
        <f t="shared" si="0"/>
        <v>4.4777739306625451E-2</v>
      </c>
      <c r="G51" s="6">
        <v>34.525300000000001</v>
      </c>
      <c r="H51" s="1">
        <v>20</v>
      </c>
      <c r="I51" s="1">
        <v>5376.3739999999998</v>
      </c>
      <c r="J51" s="2">
        <v>1</v>
      </c>
      <c r="K51" s="7">
        <f t="shared" si="1"/>
        <v>3.7199793020351638E-3</v>
      </c>
      <c r="M51" s="1">
        <v>34.3658</v>
      </c>
      <c r="N51" s="1">
        <v>137</v>
      </c>
      <c r="O51" s="1">
        <v>3496.5196000000001</v>
      </c>
      <c r="P51" s="2">
        <v>1</v>
      </c>
      <c r="Q51" s="15">
        <f t="shared" si="2"/>
        <v>3.9181819544211904E-2</v>
      </c>
      <c r="S51" s="6">
        <v>33.930300000000003</v>
      </c>
      <c r="T51" s="1">
        <v>15</v>
      </c>
      <c r="U51" s="1">
        <v>3379.8503000000001</v>
      </c>
      <c r="V51" s="13">
        <v>1</v>
      </c>
      <c r="W51">
        <f t="shared" si="3"/>
        <v>4.4380663841827551E-3</v>
      </c>
    </row>
    <row r="52" spans="1:23" x14ac:dyDescent="0.4">
      <c r="A52" s="1">
        <v>34.962600000000002</v>
      </c>
      <c r="B52" s="1">
        <v>251</v>
      </c>
      <c r="C52" s="1">
        <v>5718.1652000000004</v>
      </c>
      <c r="D52" s="2">
        <v>1</v>
      </c>
      <c r="E52" s="15">
        <f t="shared" si="0"/>
        <v>4.3895199110371971E-2</v>
      </c>
      <c r="G52" s="6">
        <v>34.525799999999997</v>
      </c>
      <c r="H52" s="1">
        <v>26</v>
      </c>
      <c r="I52" s="1">
        <v>5374.7712000000001</v>
      </c>
      <c r="J52" s="2">
        <v>1</v>
      </c>
      <c r="K52" s="7">
        <f t="shared" si="1"/>
        <v>4.8374152187166588E-3</v>
      </c>
      <c r="M52" s="1">
        <v>34.366799999999998</v>
      </c>
      <c r="N52" s="1">
        <v>150</v>
      </c>
      <c r="O52" s="1">
        <v>3495.3766999999998</v>
      </c>
      <c r="P52" s="2">
        <v>1</v>
      </c>
      <c r="Q52" s="15">
        <f t="shared" si="2"/>
        <v>4.2913829573791001E-2</v>
      </c>
      <c r="S52" s="6">
        <v>33.930799999999998</v>
      </c>
      <c r="T52" s="1">
        <v>21</v>
      </c>
      <c r="U52" s="1">
        <v>3379.3820000000001</v>
      </c>
      <c r="V52" s="13">
        <v>1</v>
      </c>
      <c r="W52">
        <f t="shared" si="3"/>
        <v>6.214153948858105E-3</v>
      </c>
    </row>
    <row r="53" spans="1:23" x14ac:dyDescent="0.4">
      <c r="A53" s="1">
        <v>34.9636</v>
      </c>
      <c r="B53" s="1">
        <v>279</v>
      </c>
      <c r="C53" s="1">
        <v>5716.9673000000003</v>
      </c>
      <c r="D53" s="2">
        <v>1</v>
      </c>
      <c r="E53" s="15">
        <f t="shared" si="0"/>
        <v>4.8802098273327536E-2</v>
      </c>
      <c r="G53" s="6">
        <v>34.526299999999999</v>
      </c>
      <c r="H53" s="1">
        <v>28</v>
      </c>
      <c r="I53" s="1">
        <v>5374.5348999999997</v>
      </c>
      <c r="J53" s="2">
        <v>1</v>
      </c>
      <c r="K53" s="7">
        <f t="shared" si="1"/>
        <v>5.2097531267310225E-3</v>
      </c>
      <c r="M53" s="1">
        <v>34.367800000000003</v>
      </c>
      <c r="N53" s="1">
        <v>161</v>
      </c>
      <c r="O53" s="1">
        <v>3495.8816000000002</v>
      </c>
      <c r="P53" s="2">
        <v>1</v>
      </c>
      <c r="Q53" s="15">
        <f t="shared" si="2"/>
        <v>4.6054191308996274E-2</v>
      </c>
      <c r="S53" s="6">
        <v>33.9313</v>
      </c>
      <c r="T53" s="1">
        <v>20</v>
      </c>
      <c r="U53" s="1">
        <v>3380.4104000000002</v>
      </c>
      <c r="V53" s="13">
        <v>1</v>
      </c>
      <c r="W53">
        <f t="shared" si="3"/>
        <v>5.9164413883000715E-3</v>
      </c>
    </row>
    <row r="54" spans="1:23" x14ac:dyDescent="0.4">
      <c r="A54" s="1">
        <v>34.964599999999997</v>
      </c>
      <c r="B54" s="1">
        <v>271</v>
      </c>
      <c r="C54" s="1">
        <v>5717.0844999999999</v>
      </c>
      <c r="D54" s="2">
        <v>1</v>
      </c>
      <c r="E54" s="15">
        <f t="shared" si="0"/>
        <v>4.7401783199111369E-2</v>
      </c>
      <c r="G54" s="6">
        <v>34.526800000000001</v>
      </c>
      <c r="H54" s="1">
        <v>35</v>
      </c>
      <c r="I54" s="1">
        <v>5377.6333000000004</v>
      </c>
      <c r="J54" s="2">
        <v>1</v>
      </c>
      <c r="K54" s="7">
        <f t="shared" si="1"/>
        <v>6.5084393166042016E-3</v>
      </c>
      <c r="M54" s="1">
        <v>34.3688</v>
      </c>
      <c r="N54" s="1">
        <v>164</v>
      </c>
      <c r="O54" s="1">
        <v>3495.4881999999998</v>
      </c>
      <c r="P54" s="2">
        <v>1</v>
      </c>
      <c r="Q54" s="15">
        <f t="shared" si="2"/>
        <v>4.6917623695597085E-2</v>
      </c>
      <c r="S54" s="6">
        <v>33.931800000000003</v>
      </c>
      <c r="T54" s="1">
        <v>18</v>
      </c>
      <c r="U54" s="1">
        <v>3380.0030999999999</v>
      </c>
      <c r="V54" s="13">
        <v>1</v>
      </c>
      <c r="W54">
        <f t="shared" si="3"/>
        <v>5.3254389027039654E-3</v>
      </c>
    </row>
    <row r="55" spans="1:23" x14ac:dyDescent="0.4">
      <c r="A55" s="1">
        <v>34.965600000000002</v>
      </c>
      <c r="B55" s="1">
        <v>274</v>
      </c>
      <c r="C55" s="1">
        <v>5721.0450000000001</v>
      </c>
      <c r="D55" s="2">
        <v>1</v>
      </c>
      <c r="E55" s="15">
        <f t="shared" si="0"/>
        <v>4.7893348155800208E-2</v>
      </c>
      <c r="G55" s="6">
        <v>34.527299999999997</v>
      </c>
      <c r="H55" s="1">
        <v>51</v>
      </c>
      <c r="I55" s="1">
        <v>5379.5316999999995</v>
      </c>
      <c r="J55" s="2">
        <v>1</v>
      </c>
      <c r="K55" s="7">
        <f t="shared" si="1"/>
        <v>9.48037911924564E-3</v>
      </c>
      <c r="M55" s="1">
        <v>34.369799999999998</v>
      </c>
      <c r="N55" s="1">
        <v>130</v>
      </c>
      <c r="O55" s="1">
        <v>3494.6349</v>
      </c>
      <c r="P55" s="2">
        <v>1</v>
      </c>
      <c r="Q55" s="15">
        <f t="shared" si="2"/>
        <v>3.7199880307954347E-2</v>
      </c>
      <c r="S55" s="6">
        <v>33.932299999999998</v>
      </c>
      <c r="T55" s="1">
        <v>27</v>
      </c>
      <c r="U55" s="1">
        <v>3378.2438999999999</v>
      </c>
      <c r="V55" s="13">
        <v>1</v>
      </c>
      <c r="W55">
        <f t="shared" si="3"/>
        <v>7.9923181390189144E-3</v>
      </c>
    </row>
    <row r="56" spans="1:23" x14ac:dyDescent="0.4">
      <c r="A56" s="1">
        <v>34.9666</v>
      </c>
      <c r="B56" s="1">
        <v>269</v>
      </c>
      <c r="C56" s="1">
        <v>5719.1394</v>
      </c>
      <c r="D56" s="2">
        <v>1</v>
      </c>
      <c r="E56" s="15">
        <f t="shared" si="0"/>
        <v>4.7035048664839325E-2</v>
      </c>
      <c r="G56" s="6">
        <v>34.527799999999999</v>
      </c>
      <c r="H56" s="1">
        <v>75</v>
      </c>
      <c r="I56" s="1">
        <v>5381.2722999999996</v>
      </c>
      <c r="J56" s="2">
        <v>1</v>
      </c>
      <c r="K56" s="7">
        <f t="shared" si="1"/>
        <v>1.3937224473847942E-2</v>
      </c>
      <c r="M56" s="1">
        <v>34.370800000000003</v>
      </c>
      <c r="N56" s="1">
        <v>138</v>
      </c>
      <c r="O56" s="1">
        <v>3495.0232000000001</v>
      </c>
      <c r="P56" s="2">
        <v>1</v>
      </c>
      <c r="Q56" s="15">
        <f t="shared" si="2"/>
        <v>3.9484716439078284E-2</v>
      </c>
      <c r="S56" s="6">
        <v>33.9328</v>
      </c>
      <c r="T56" s="1">
        <v>12</v>
      </c>
      <c r="U56" s="1">
        <v>3378.5014000000001</v>
      </c>
      <c r="V56" s="13">
        <v>1</v>
      </c>
      <c r="W56">
        <f t="shared" si="3"/>
        <v>3.5518706607610105E-3</v>
      </c>
    </row>
    <row r="57" spans="1:23" x14ac:dyDescent="0.4">
      <c r="A57" s="1">
        <v>34.967599999999997</v>
      </c>
      <c r="B57" s="1">
        <v>287</v>
      </c>
      <c r="C57" s="1">
        <v>5719.7875000000004</v>
      </c>
      <c r="D57" s="2">
        <v>1</v>
      </c>
      <c r="E57" s="15">
        <f t="shared" si="0"/>
        <v>5.0176689256375341E-2</v>
      </c>
      <c r="G57" s="6">
        <v>34.528300000000002</v>
      </c>
      <c r="H57" s="1">
        <v>85</v>
      </c>
      <c r="I57" s="1">
        <v>5381.3836000000001</v>
      </c>
      <c r="J57" s="2">
        <v>1</v>
      </c>
      <c r="K57" s="7">
        <f t="shared" si="1"/>
        <v>1.5795194380865175E-2</v>
      </c>
      <c r="M57" s="1">
        <v>34.3718</v>
      </c>
      <c r="N57" s="1">
        <v>176</v>
      </c>
      <c r="O57" s="1">
        <v>3494.0774000000001</v>
      </c>
      <c r="P57" s="2">
        <v>1</v>
      </c>
      <c r="Q57" s="15">
        <f t="shared" si="2"/>
        <v>5.0370950569097295E-2</v>
      </c>
      <c r="S57" s="6">
        <v>33.933300000000003</v>
      </c>
      <c r="T57" s="1">
        <v>26</v>
      </c>
      <c r="U57" s="1">
        <v>3377.2496999999998</v>
      </c>
      <c r="V57" s="13">
        <v>1</v>
      </c>
      <c r="W57">
        <f t="shared" si="3"/>
        <v>7.6985720066834271E-3</v>
      </c>
    </row>
    <row r="58" spans="1:23" x14ac:dyDescent="0.4">
      <c r="A58" s="1">
        <v>34.968600000000002</v>
      </c>
      <c r="B58" s="1">
        <v>298</v>
      </c>
      <c r="C58" s="1">
        <v>5717.3173999999999</v>
      </c>
      <c r="D58" s="2">
        <v>1</v>
      </c>
      <c r="E58" s="15">
        <f t="shared" si="0"/>
        <v>5.2122346749543767E-2</v>
      </c>
      <c r="G58" s="6">
        <v>34.528799999999997</v>
      </c>
      <c r="H58" s="1">
        <v>98</v>
      </c>
      <c r="I58" s="1">
        <v>5383.0311000000002</v>
      </c>
      <c r="J58" s="2">
        <v>1</v>
      </c>
      <c r="K58" s="7">
        <f t="shared" si="1"/>
        <v>1.8205356458000029E-2</v>
      </c>
      <c r="M58" s="1">
        <v>34.372799999999998</v>
      </c>
      <c r="N58" s="1">
        <v>184</v>
      </c>
      <c r="O58" s="1">
        <v>3493.6763000000001</v>
      </c>
      <c r="P58" s="2">
        <v>1</v>
      </c>
      <c r="Q58" s="15">
        <f t="shared" si="2"/>
        <v>5.2666585052541931E-2</v>
      </c>
      <c r="S58" s="6">
        <v>33.933799999999998</v>
      </c>
      <c r="T58" s="1">
        <v>21</v>
      </c>
      <c r="U58" s="1">
        <v>3375.8431999999998</v>
      </c>
      <c r="V58" s="13">
        <v>1</v>
      </c>
      <c r="W58">
        <f t="shared" si="3"/>
        <v>6.2206680689434867E-3</v>
      </c>
    </row>
    <row r="59" spans="1:23" x14ac:dyDescent="0.4">
      <c r="A59" s="1">
        <v>34.9696</v>
      </c>
      <c r="B59" s="1">
        <v>314</v>
      </c>
      <c r="C59" s="1">
        <v>5717.7007999999996</v>
      </c>
      <c r="D59" s="2">
        <v>1</v>
      </c>
      <c r="E59" s="15">
        <f t="shared" si="0"/>
        <v>5.4917179296964963E-2</v>
      </c>
      <c r="G59" s="6">
        <v>34.529299999999999</v>
      </c>
      <c r="H59" s="1">
        <v>105</v>
      </c>
      <c r="I59" s="1">
        <v>5383.5748000000003</v>
      </c>
      <c r="J59" s="2">
        <v>1</v>
      </c>
      <c r="K59" s="7">
        <f t="shared" si="1"/>
        <v>1.9503769131247139E-2</v>
      </c>
      <c r="M59" s="1">
        <v>34.373800000000003</v>
      </c>
      <c r="N59" s="1">
        <v>164</v>
      </c>
      <c r="O59" s="1">
        <v>3492.6581999999999</v>
      </c>
      <c r="P59" s="2">
        <v>1</v>
      </c>
      <c r="Q59" s="15">
        <f t="shared" si="2"/>
        <v>4.6955639690136303E-2</v>
      </c>
      <c r="S59" s="6">
        <v>33.9343</v>
      </c>
      <c r="T59" s="1">
        <v>38</v>
      </c>
      <c r="U59" s="1">
        <v>3378.6403</v>
      </c>
      <c r="V59" s="13">
        <v>1</v>
      </c>
      <c r="W59">
        <f t="shared" si="3"/>
        <v>1.1247128023660879E-2</v>
      </c>
    </row>
    <row r="60" spans="1:23" x14ac:dyDescent="0.4">
      <c r="A60" s="1">
        <v>34.970599999999997</v>
      </c>
      <c r="B60" s="1">
        <v>319</v>
      </c>
      <c r="C60" s="1">
        <v>5715.9557999999997</v>
      </c>
      <c r="D60" s="2">
        <v>1</v>
      </c>
      <c r="E60" s="15">
        <f t="shared" si="0"/>
        <v>5.580868907348794E-2</v>
      </c>
      <c r="G60" s="6">
        <v>34.529800000000002</v>
      </c>
      <c r="H60" s="1">
        <v>111</v>
      </c>
      <c r="I60" s="1">
        <v>5383.94</v>
      </c>
      <c r="J60" s="2">
        <v>1</v>
      </c>
      <c r="K60" s="7">
        <f t="shared" si="1"/>
        <v>2.0616871659045237E-2</v>
      </c>
      <c r="M60" s="1">
        <v>34.3748</v>
      </c>
      <c r="N60" s="1">
        <v>173</v>
      </c>
      <c r="O60" s="1">
        <v>3493.2566000000002</v>
      </c>
      <c r="P60" s="2">
        <v>1</v>
      </c>
      <c r="Q60" s="15">
        <f t="shared" si="2"/>
        <v>4.9523988589902042E-2</v>
      </c>
      <c r="S60" s="6">
        <v>33.934800000000003</v>
      </c>
      <c r="T60" s="1">
        <v>40</v>
      </c>
      <c r="U60" s="1">
        <v>3377.3818999999999</v>
      </c>
      <c r="V60" s="13">
        <v>1</v>
      </c>
      <c r="W60">
        <f t="shared" si="3"/>
        <v>1.1843493328367751E-2</v>
      </c>
    </row>
    <row r="61" spans="1:23" x14ac:dyDescent="0.4">
      <c r="A61" s="1">
        <v>34.971600000000002</v>
      </c>
      <c r="B61" s="1">
        <v>340</v>
      </c>
      <c r="C61" s="1">
        <v>5712.1298999999999</v>
      </c>
      <c r="D61" s="2">
        <v>1</v>
      </c>
      <c r="E61" s="15">
        <f t="shared" si="0"/>
        <v>5.9522455888126775E-2</v>
      </c>
      <c r="G61" s="6">
        <v>34.530299999999997</v>
      </c>
      <c r="H61" s="1">
        <v>106</v>
      </c>
      <c r="I61" s="1">
        <v>5386.3163999999997</v>
      </c>
      <c r="J61" s="2">
        <v>1</v>
      </c>
      <c r="K61" s="7">
        <f t="shared" si="1"/>
        <v>1.967949747623441E-2</v>
      </c>
      <c r="M61" s="1">
        <v>34.375799999999998</v>
      </c>
      <c r="N61" s="1">
        <v>180</v>
      </c>
      <c r="O61" s="1">
        <v>3492.1563000000001</v>
      </c>
      <c r="P61" s="2">
        <v>1</v>
      </c>
      <c r="Q61" s="15">
        <f t="shared" si="2"/>
        <v>5.1544084667687985E-2</v>
      </c>
      <c r="S61" s="6">
        <v>33.935299999999998</v>
      </c>
      <c r="T61" s="1">
        <v>27</v>
      </c>
      <c r="U61" s="1">
        <v>3377.0857000000001</v>
      </c>
      <c r="V61" s="13">
        <v>1</v>
      </c>
      <c r="W61">
        <f t="shared" si="3"/>
        <v>7.9950591718771016E-3</v>
      </c>
    </row>
    <row r="62" spans="1:23" x14ac:dyDescent="0.4">
      <c r="A62" s="1">
        <v>34.9726</v>
      </c>
      <c r="B62" s="1">
        <v>365</v>
      </c>
      <c r="C62" s="1">
        <v>5710.3613999999998</v>
      </c>
      <c r="D62" s="2">
        <v>1</v>
      </c>
      <c r="E62" s="15">
        <f t="shared" si="0"/>
        <v>6.3918896621849547E-2</v>
      </c>
      <c r="G62" s="6">
        <v>34.530799999999999</v>
      </c>
      <c r="H62" s="1">
        <v>109</v>
      </c>
      <c r="I62" s="1">
        <v>5382.1788999999999</v>
      </c>
      <c r="J62" s="2">
        <v>1</v>
      </c>
      <c r="K62" s="7">
        <f t="shared" si="1"/>
        <v>2.0252020979830306E-2</v>
      </c>
      <c r="M62" s="1">
        <v>34.376800000000003</v>
      </c>
      <c r="N62" s="1">
        <v>151</v>
      </c>
      <c r="O62" s="1">
        <v>3492.4124000000002</v>
      </c>
      <c r="P62" s="2">
        <v>1</v>
      </c>
      <c r="Q62" s="15">
        <f t="shared" si="2"/>
        <v>4.3236589126759484E-2</v>
      </c>
      <c r="S62" s="6">
        <v>33.9358</v>
      </c>
      <c r="T62" s="1">
        <v>33</v>
      </c>
      <c r="U62" s="1">
        <v>3374.8279000000002</v>
      </c>
      <c r="V62" s="13">
        <v>1</v>
      </c>
      <c r="W62">
        <f t="shared" si="3"/>
        <v>9.7782763974423696E-3</v>
      </c>
    </row>
    <row r="63" spans="1:23" x14ac:dyDescent="0.4">
      <c r="A63" s="1">
        <v>34.973599999999998</v>
      </c>
      <c r="B63" s="1">
        <v>346</v>
      </c>
      <c r="C63" s="1">
        <v>5706.7335000000003</v>
      </c>
      <c r="D63" s="2">
        <v>1</v>
      </c>
      <c r="E63" s="15">
        <f t="shared" si="0"/>
        <v>6.0630131054831976E-2</v>
      </c>
      <c r="G63" s="6">
        <v>34.531300000000002</v>
      </c>
      <c r="H63" s="1">
        <v>128</v>
      </c>
      <c r="I63" s="1">
        <v>5382.8804</v>
      </c>
      <c r="J63" s="2">
        <v>1</v>
      </c>
      <c r="K63" s="7">
        <f t="shared" si="1"/>
        <v>2.3779090466137794E-2</v>
      </c>
      <c r="M63" s="1">
        <v>34.377800000000001</v>
      </c>
      <c r="N63" s="1">
        <v>184</v>
      </c>
      <c r="O63" s="1">
        <v>3492.2846</v>
      </c>
      <c r="P63" s="2">
        <v>1</v>
      </c>
      <c r="Q63" s="15">
        <f t="shared" si="2"/>
        <v>5.2687573057476476E-2</v>
      </c>
      <c r="S63" s="6">
        <v>33.936300000000003</v>
      </c>
      <c r="T63" s="1">
        <v>41</v>
      </c>
      <c r="U63" s="1">
        <v>3374.4931000000001</v>
      </c>
      <c r="V63" s="13">
        <v>1</v>
      </c>
      <c r="W63">
        <f t="shared" si="3"/>
        <v>1.2149972984090558E-2</v>
      </c>
    </row>
    <row r="64" spans="1:23" x14ac:dyDescent="0.4">
      <c r="A64" s="1">
        <v>34.974600000000002</v>
      </c>
      <c r="B64" s="1">
        <v>351</v>
      </c>
      <c r="C64" s="1">
        <v>5703.7505000000001</v>
      </c>
      <c r="D64" s="2">
        <v>1</v>
      </c>
      <c r="E64" s="15">
        <f t="shared" si="0"/>
        <v>6.1538456143900404E-2</v>
      </c>
      <c r="G64" s="6">
        <v>34.531799999999997</v>
      </c>
      <c r="H64" s="1">
        <v>107</v>
      </c>
      <c r="I64" s="1">
        <v>5383.4996000000001</v>
      </c>
      <c r="J64" s="2">
        <v>1</v>
      </c>
      <c r="K64" s="7">
        <f t="shared" si="1"/>
        <v>1.9875547125516643E-2</v>
      </c>
      <c r="M64" s="1">
        <v>34.378799999999998</v>
      </c>
      <c r="N64" s="1">
        <v>199</v>
      </c>
      <c r="O64" s="1">
        <v>3492.4432999999999</v>
      </c>
      <c r="P64" s="2">
        <v>1</v>
      </c>
      <c r="Q64" s="15">
        <f t="shared" si="2"/>
        <v>5.698016629217717E-2</v>
      </c>
      <c r="S64" s="6">
        <v>33.936799999999998</v>
      </c>
      <c r="T64" s="1">
        <v>31</v>
      </c>
      <c r="U64" s="1">
        <v>3376.5738000000001</v>
      </c>
      <c r="V64" s="13">
        <v>1</v>
      </c>
      <c r="W64">
        <f t="shared" si="3"/>
        <v>9.180904027627057E-3</v>
      </c>
    </row>
    <row r="65" spans="1:23" x14ac:dyDescent="0.4">
      <c r="A65" s="1">
        <v>34.9756</v>
      </c>
      <c r="B65" s="1">
        <v>362</v>
      </c>
      <c r="C65" s="1">
        <v>5700.7183999999997</v>
      </c>
      <c r="D65" s="2">
        <v>1</v>
      </c>
      <c r="E65" s="15">
        <f t="shared" si="0"/>
        <v>6.3500768604883198E-2</v>
      </c>
      <c r="G65" s="6">
        <v>34.532299999999999</v>
      </c>
      <c r="H65" s="1">
        <v>103</v>
      </c>
      <c r="I65" s="1">
        <v>5384.3074999999999</v>
      </c>
      <c r="J65" s="2">
        <v>1</v>
      </c>
      <c r="K65" s="7">
        <f t="shared" si="1"/>
        <v>1.9129665235501501E-2</v>
      </c>
      <c r="M65" s="1">
        <v>34.379800000000003</v>
      </c>
      <c r="N65" s="1">
        <v>221</v>
      </c>
      <c r="O65" s="1">
        <v>3492.6565999999998</v>
      </c>
      <c r="P65" s="2">
        <v>1</v>
      </c>
      <c r="Q65" s="15">
        <f t="shared" si="2"/>
        <v>6.3275616618020794E-2</v>
      </c>
      <c r="S65" s="6">
        <v>33.9373</v>
      </c>
      <c r="T65" s="1">
        <v>30</v>
      </c>
      <c r="U65" s="1">
        <v>3375.5295000000001</v>
      </c>
      <c r="V65" s="13">
        <v>1</v>
      </c>
      <c r="W65">
        <f t="shared" si="3"/>
        <v>8.8874945397455427E-3</v>
      </c>
    </row>
    <row r="66" spans="1:23" x14ac:dyDescent="0.4">
      <c r="A66" s="1">
        <v>34.976599999999998</v>
      </c>
      <c r="B66" s="1">
        <v>381</v>
      </c>
      <c r="C66" s="1">
        <v>5692.2470999999996</v>
      </c>
      <c r="D66" s="2">
        <v>1</v>
      </c>
      <c r="E66" s="15">
        <f t="shared" si="0"/>
        <v>6.6933144908624925E-2</v>
      </c>
      <c r="G66" s="6">
        <v>34.532800000000002</v>
      </c>
      <c r="H66" s="1">
        <v>109</v>
      </c>
      <c r="I66" s="1">
        <v>5381.2809999999999</v>
      </c>
      <c r="J66" s="2">
        <v>1</v>
      </c>
      <c r="K66" s="7">
        <f t="shared" si="1"/>
        <v>2.0255400154721524E-2</v>
      </c>
      <c r="M66" s="1">
        <v>34.380800000000001</v>
      </c>
      <c r="N66" s="1">
        <v>192</v>
      </c>
      <c r="O66" s="1">
        <v>3490.7595999999999</v>
      </c>
      <c r="P66" s="2">
        <v>1</v>
      </c>
      <c r="Q66" s="15">
        <f t="shared" si="2"/>
        <v>5.5002355361280106E-2</v>
      </c>
      <c r="S66" s="6">
        <v>33.937800000000003</v>
      </c>
      <c r="T66" s="1">
        <v>43</v>
      </c>
      <c r="U66" s="1">
        <v>3375.5729000000001</v>
      </c>
      <c r="V66" s="13">
        <v>1</v>
      </c>
      <c r="W66">
        <f t="shared" si="3"/>
        <v>1.2738578390648887E-2</v>
      </c>
    </row>
    <row r="67" spans="1:23" x14ac:dyDescent="0.4">
      <c r="A67" s="1">
        <v>34.977600000000002</v>
      </c>
      <c r="B67" s="1">
        <v>411</v>
      </c>
      <c r="C67" s="1">
        <v>5691.6814000000004</v>
      </c>
      <c r="D67" s="2">
        <v>1</v>
      </c>
      <c r="E67" s="15">
        <f t="shared" si="0"/>
        <v>7.2210647630417263E-2</v>
      </c>
      <c r="G67" s="6">
        <v>34.533299999999997</v>
      </c>
      <c r="H67" s="1">
        <v>90</v>
      </c>
      <c r="I67" s="1">
        <v>5377.3544000000002</v>
      </c>
      <c r="J67" s="2">
        <v>1</v>
      </c>
      <c r="K67" s="7">
        <f t="shared" si="1"/>
        <v>1.6736854837017996E-2</v>
      </c>
      <c r="M67" s="1">
        <v>34.381799999999998</v>
      </c>
      <c r="N67" s="1">
        <v>203</v>
      </c>
      <c r="O67" s="1">
        <v>3488.9441999999999</v>
      </c>
      <c r="P67" s="2">
        <v>1</v>
      </c>
      <c r="Q67" s="15">
        <f t="shared" si="2"/>
        <v>5.8183790958880911E-2</v>
      </c>
      <c r="S67" s="6">
        <v>33.938299999999998</v>
      </c>
      <c r="T67" s="1">
        <v>31</v>
      </c>
      <c r="U67" s="1">
        <v>3375.7555000000002</v>
      </c>
      <c r="V67" s="13">
        <v>1</v>
      </c>
      <c r="W67">
        <f t="shared" si="3"/>
        <v>9.1831295246353004E-3</v>
      </c>
    </row>
    <row r="68" spans="1:23" x14ac:dyDescent="0.4">
      <c r="A68" s="1">
        <v>34.9786</v>
      </c>
      <c r="B68" s="1">
        <v>394</v>
      </c>
      <c r="C68" s="1">
        <v>5689.6738999999998</v>
      </c>
      <c r="D68" s="2">
        <v>1</v>
      </c>
      <c r="E68" s="15">
        <f t="shared" si="0"/>
        <v>6.9248256916797993E-2</v>
      </c>
      <c r="G68" s="6">
        <v>34.533799999999999</v>
      </c>
      <c r="H68" s="1">
        <v>71</v>
      </c>
      <c r="I68" s="1">
        <v>5377.5510000000004</v>
      </c>
      <c r="J68" s="2">
        <v>1</v>
      </c>
      <c r="K68" s="7">
        <f t="shared" si="1"/>
        <v>1.3203036103237328E-2</v>
      </c>
      <c r="M68" s="1">
        <v>34.382800000000003</v>
      </c>
      <c r="N68" s="1">
        <v>229</v>
      </c>
      <c r="O68" s="1">
        <v>3491.1041</v>
      </c>
      <c r="P68" s="2">
        <v>1</v>
      </c>
      <c r="Q68" s="15">
        <f t="shared" si="2"/>
        <v>6.5595294050383654E-2</v>
      </c>
      <c r="S68" s="6">
        <v>33.938800000000001</v>
      </c>
      <c r="T68" s="1">
        <v>24</v>
      </c>
      <c r="U68" s="1">
        <v>3374.5630999999998</v>
      </c>
      <c r="V68" s="13">
        <v>1</v>
      </c>
      <c r="W68">
        <f t="shared" si="3"/>
        <v>7.1120317767950471E-3</v>
      </c>
    </row>
    <row r="69" spans="1:23" x14ac:dyDescent="0.4">
      <c r="A69" s="1">
        <v>34.979599999999998</v>
      </c>
      <c r="B69" s="1">
        <v>455</v>
      </c>
      <c r="C69" s="1">
        <v>5695.6575999999995</v>
      </c>
      <c r="D69" s="2">
        <v>1</v>
      </c>
      <c r="E69" s="15">
        <f t="shared" si="0"/>
        <v>7.9885420078622704E-2</v>
      </c>
      <c r="G69" s="6">
        <v>34.534300000000002</v>
      </c>
      <c r="H69" s="1">
        <v>71</v>
      </c>
      <c r="I69" s="1">
        <v>5377.1680999999999</v>
      </c>
      <c r="J69" s="2">
        <v>1</v>
      </c>
      <c r="K69" s="7">
        <f t="shared" si="1"/>
        <v>1.3203976271450394E-2</v>
      </c>
      <c r="M69" s="1">
        <v>34.383800000000001</v>
      </c>
      <c r="N69" s="1">
        <v>227</v>
      </c>
      <c r="O69" s="1">
        <v>3490.7293</v>
      </c>
      <c r="P69" s="2">
        <v>1</v>
      </c>
      <c r="Q69" s="15">
        <f t="shared" si="2"/>
        <v>6.5029390849642793E-2</v>
      </c>
      <c r="S69" s="6">
        <v>33.939300000000003</v>
      </c>
      <c r="T69" s="1">
        <v>26</v>
      </c>
      <c r="U69" s="1">
        <v>3374.2909</v>
      </c>
      <c r="V69" s="13">
        <v>1</v>
      </c>
      <c r="W69">
        <f t="shared" si="3"/>
        <v>7.7053226205245082E-3</v>
      </c>
    </row>
    <row r="70" spans="1:23" x14ac:dyDescent="0.4">
      <c r="A70" s="1">
        <v>34.980600000000003</v>
      </c>
      <c r="B70" s="1">
        <v>451</v>
      </c>
      <c r="C70" s="1">
        <v>5697.1588000000002</v>
      </c>
      <c r="D70" s="2">
        <v>1</v>
      </c>
      <c r="E70" s="15">
        <f t="shared" si="0"/>
        <v>7.9162265935083284E-2</v>
      </c>
      <c r="G70" s="6">
        <v>34.534799999999997</v>
      </c>
      <c r="H70" s="1">
        <v>38</v>
      </c>
      <c r="I70" s="1">
        <v>5375.0387000000001</v>
      </c>
      <c r="J70" s="2">
        <v>1</v>
      </c>
      <c r="K70" s="7">
        <f t="shared" si="1"/>
        <v>7.0697165399013781E-3</v>
      </c>
      <c r="M70" s="1">
        <v>34.384799999999998</v>
      </c>
      <c r="N70" s="1">
        <v>234</v>
      </c>
      <c r="O70" s="1">
        <v>3489.4090999999999</v>
      </c>
      <c r="P70" s="2">
        <v>1</v>
      </c>
      <c r="Q70" s="15">
        <f t="shared" si="2"/>
        <v>6.7060064696913876E-2</v>
      </c>
      <c r="S70" s="6">
        <v>33.939799999999998</v>
      </c>
      <c r="T70" s="1">
        <v>20</v>
      </c>
      <c r="U70" s="1">
        <v>3375.3395999999998</v>
      </c>
      <c r="V70" s="13">
        <v>1</v>
      </c>
      <c r="W70">
        <f t="shared" si="3"/>
        <v>5.9253297060835007E-3</v>
      </c>
    </row>
    <row r="71" spans="1:23" x14ac:dyDescent="0.4">
      <c r="A71" s="1">
        <v>34.9816</v>
      </c>
      <c r="B71" s="1">
        <v>449</v>
      </c>
      <c r="C71" s="1">
        <v>5693.7978999999996</v>
      </c>
      <c r="D71" s="2">
        <v>1</v>
      </c>
      <c r="E71" s="15">
        <f t="shared" si="0"/>
        <v>7.8857733956451112E-2</v>
      </c>
      <c r="G71" s="6">
        <v>34.535299999999999</v>
      </c>
      <c r="H71" s="1">
        <v>36</v>
      </c>
      <c r="I71" s="1">
        <v>5372.9305000000004</v>
      </c>
      <c r="J71" s="2">
        <v>1</v>
      </c>
      <c r="K71" s="7">
        <f t="shared" si="1"/>
        <v>6.7002541722808433E-3</v>
      </c>
      <c r="M71" s="1">
        <v>34.385800000000003</v>
      </c>
      <c r="N71" s="1">
        <v>220</v>
      </c>
      <c r="O71" s="1">
        <v>3489.6682999999998</v>
      </c>
      <c r="P71" s="2">
        <v>1</v>
      </c>
      <c r="Q71" s="15">
        <f t="shared" si="2"/>
        <v>6.304324110116713E-2</v>
      </c>
      <c r="S71" s="6">
        <v>33.940300000000001</v>
      </c>
      <c r="T71" s="1">
        <v>33</v>
      </c>
      <c r="U71" s="1">
        <v>3374.8424</v>
      </c>
      <c r="V71" s="13">
        <v>1</v>
      </c>
      <c r="W71">
        <f t="shared" si="3"/>
        <v>9.7782343851078798E-3</v>
      </c>
    </row>
    <row r="72" spans="1:23" x14ac:dyDescent="0.4">
      <c r="A72" s="1">
        <v>34.982599999999998</v>
      </c>
      <c r="B72" s="1">
        <v>418</v>
      </c>
      <c r="C72" s="1">
        <v>5696.8760000000002</v>
      </c>
      <c r="D72" s="2">
        <v>1</v>
      </c>
      <c r="E72" s="15">
        <f t="shared" si="0"/>
        <v>7.3373547186212223E-2</v>
      </c>
      <c r="G72" s="6">
        <v>34.535800000000002</v>
      </c>
      <c r="H72" s="1">
        <v>30</v>
      </c>
      <c r="I72" s="1">
        <v>5369.4556000000002</v>
      </c>
      <c r="J72" s="2">
        <v>1</v>
      </c>
      <c r="K72" s="7">
        <f t="shared" si="1"/>
        <v>5.5871585938805412E-3</v>
      </c>
      <c r="M72" s="1">
        <v>34.386800000000001</v>
      </c>
      <c r="N72" s="1">
        <v>216</v>
      </c>
      <c r="O72" s="1">
        <v>3488.7228</v>
      </c>
      <c r="P72" s="2">
        <v>1</v>
      </c>
      <c r="Q72" s="15">
        <f t="shared" si="2"/>
        <v>6.1913775436672695E-2</v>
      </c>
      <c r="S72" s="6">
        <v>33.940800000000003</v>
      </c>
      <c r="T72" s="1">
        <v>28</v>
      </c>
      <c r="U72" s="1">
        <v>3375.2303000000002</v>
      </c>
      <c r="V72" s="13">
        <v>1</v>
      </c>
      <c r="W72">
        <f t="shared" si="3"/>
        <v>8.2957302202460084E-3</v>
      </c>
    </row>
    <row r="73" spans="1:23" x14ac:dyDescent="0.4">
      <c r="A73" s="1">
        <v>34.983600000000003</v>
      </c>
      <c r="B73" s="1">
        <v>489</v>
      </c>
      <c r="C73" s="1">
        <v>5698.1135999999997</v>
      </c>
      <c r="D73" s="2">
        <v>1</v>
      </c>
      <c r="E73" s="15">
        <f t="shared" si="0"/>
        <v>8.5817874884066905E-2</v>
      </c>
      <c r="G73" s="6">
        <v>34.536299999999997</v>
      </c>
      <c r="H73" s="1">
        <v>16</v>
      </c>
      <c r="I73" s="1">
        <v>5367.7394999999997</v>
      </c>
      <c r="J73" s="2">
        <v>1</v>
      </c>
      <c r="K73" s="7">
        <f t="shared" si="1"/>
        <v>2.9807705832222298E-3</v>
      </c>
      <c r="M73" s="1">
        <v>34.387799999999999</v>
      </c>
      <c r="N73" s="1">
        <v>270</v>
      </c>
      <c r="O73" s="1">
        <v>3488.7257</v>
      </c>
      <c r="P73" s="2">
        <v>1</v>
      </c>
      <c r="Q73" s="15">
        <f t="shared" si="2"/>
        <v>7.7392154963630416E-2</v>
      </c>
      <c r="S73" s="6">
        <v>33.941299999999998</v>
      </c>
      <c r="T73" s="1">
        <v>77</v>
      </c>
      <c r="U73" s="1">
        <v>3374.1927999999998</v>
      </c>
      <c r="V73" s="13">
        <v>1</v>
      </c>
      <c r="W73">
        <f t="shared" si="3"/>
        <v>2.2820272747899883E-2</v>
      </c>
    </row>
    <row r="74" spans="1:23" x14ac:dyDescent="0.4">
      <c r="A74" s="1">
        <v>34.9846</v>
      </c>
      <c r="B74" s="1">
        <v>516</v>
      </c>
      <c r="C74" s="1">
        <v>5697.0024999999996</v>
      </c>
      <c r="D74" s="2">
        <v>1</v>
      </c>
      <c r="E74" s="15">
        <f t="shared" si="0"/>
        <v>9.0573946562249194E-2</v>
      </c>
      <c r="G74" s="6">
        <v>34.536799999999999</v>
      </c>
      <c r="H74" s="1">
        <v>22</v>
      </c>
      <c r="I74" s="1">
        <v>5366.5603000000001</v>
      </c>
      <c r="J74" s="2">
        <v>1</v>
      </c>
      <c r="K74" s="7">
        <f t="shared" si="1"/>
        <v>4.0994601327781592E-3</v>
      </c>
      <c r="M74" s="1">
        <v>34.388800000000003</v>
      </c>
      <c r="N74" s="1">
        <v>261</v>
      </c>
      <c r="O74" s="1">
        <v>3489.7734999999998</v>
      </c>
      <c r="P74" s="2">
        <v>1</v>
      </c>
      <c r="Q74" s="15">
        <f t="shared" si="2"/>
        <v>7.4789954133126405E-2</v>
      </c>
      <c r="S74" s="6">
        <v>33.941800000000001</v>
      </c>
      <c r="T74" s="1">
        <v>25</v>
      </c>
      <c r="U74" s="1">
        <v>3374.5835000000002</v>
      </c>
      <c r="V74" s="13">
        <v>1</v>
      </c>
      <c r="W74">
        <f t="shared" si="3"/>
        <v>7.4083216491753721E-3</v>
      </c>
    </row>
    <row r="75" spans="1:23" x14ac:dyDescent="0.4">
      <c r="A75" s="1">
        <v>34.985599999999998</v>
      </c>
      <c r="B75" s="1">
        <v>545</v>
      </c>
      <c r="C75" s="1">
        <v>5697.9044000000004</v>
      </c>
      <c r="D75" s="2">
        <v>1</v>
      </c>
      <c r="E75" s="15">
        <f t="shared" si="0"/>
        <v>9.5649200432355447E-2</v>
      </c>
      <c r="G75" s="6">
        <v>34.537300000000002</v>
      </c>
      <c r="H75" s="1">
        <v>3</v>
      </c>
      <c r="I75" s="1">
        <v>5367.3881000000001</v>
      </c>
      <c r="J75" s="2">
        <v>1</v>
      </c>
      <c r="K75" s="7">
        <f t="shared" si="1"/>
        <v>5.5893107487420182E-4</v>
      </c>
      <c r="M75" s="1">
        <v>34.389800000000001</v>
      </c>
      <c r="N75" s="1">
        <v>302</v>
      </c>
      <c r="O75" s="1">
        <v>3487.8651</v>
      </c>
      <c r="P75" s="2">
        <v>1</v>
      </c>
      <c r="Q75" s="15">
        <f t="shared" si="2"/>
        <v>8.658591755741929E-2</v>
      </c>
      <c r="S75" s="6">
        <v>33.942300000000003</v>
      </c>
      <c r="T75" s="1">
        <v>27</v>
      </c>
      <c r="U75" s="1">
        <v>3374.9748</v>
      </c>
      <c r="V75" s="13">
        <v>1</v>
      </c>
      <c r="W75">
        <f t="shared" si="3"/>
        <v>8.0000597337793449E-3</v>
      </c>
    </row>
    <row r="76" spans="1:23" x14ac:dyDescent="0.4">
      <c r="A76" s="1">
        <v>34.986600000000003</v>
      </c>
      <c r="B76" s="1">
        <v>555</v>
      </c>
      <c r="C76" s="1">
        <v>5699.3977999999997</v>
      </c>
      <c r="D76" s="2">
        <v>1</v>
      </c>
      <c r="E76" s="15">
        <f t="shared" si="0"/>
        <v>9.7378709027820448E-2</v>
      </c>
      <c r="G76" s="6">
        <v>34.537799999999997</v>
      </c>
      <c r="H76" s="1">
        <v>3</v>
      </c>
      <c r="I76" s="1">
        <v>5364.1734999999999</v>
      </c>
      <c r="J76" s="2">
        <v>1</v>
      </c>
      <c r="K76" s="7">
        <f t="shared" si="1"/>
        <v>5.5926602672340853E-4</v>
      </c>
      <c r="M76" s="1">
        <v>34.390799999999999</v>
      </c>
      <c r="N76" s="1">
        <v>280</v>
      </c>
      <c r="O76" s="1">
        <v>3489.0581999999999</v>
      </c>
      <c r="P76" s="2">
        <v>1</v>
      </c>
      <c r="Q76" s="15">
        <f t="shared" si="2"/>
        <v>8.0250882602072957E-2</v>
      </c>
      <c r="S76" s="6">
        <v>33.942799999999998</v>
      </c>
      <c r="T76" s="1">
        <v>31</v>
      </c>
      <c r="U76" s="1">
        <v>3373.1806000000001</v>
      </c>
      <c r="V76" s="13">
        <v>1</v>
      </c>
      <c r="W76">
        <f t="shared" si="3"/>
        <v>9.1901394191582862E-3</v>
      </c>
    </row>
    <row r="77" spans="1:23" x14ac:dyDescent="0.4">
      <c r="A77" s="1">
        <v>34.9876</v>
      </c>
      <c r="B77" s="1">
        <v>509</v>
      </c>
      <c r="C77" s="1">
        <v>5697.6405000000004</v>
      </c>
      <c r="D77" s="2">
        <v>1</v>
      </c>
      <c r="E77" s="15">
        <f t="shared" si="0"/>
        <v>8.933522569561908E-2</v>
      </c>
      <c r="G77" s="6">
        <v>34.5383</v>
      </c>
      <c r="H77" s="1">
        <v>2</v>
      </c>
      <c r="I77" s="1">
        <v>5363.7429000000002</v>
      </c>
      <c r="J77" s="2">
        <v>1</v>
      </c>
      <c r="K77" s="7">
        <f t="shared" si="1"/>
        <v>3.7287394964437986E-4</v>
      </c>
      <c r="M77" s="1">
        <v>34.391800000000003</v>
      </c>
      <c r="N77" s="1">
        <v>292</v>
      </c>
      <c r="O77" s="1">
        <v>3489.8705</v>
      </c>
      <c r="P77" s="2">
        <v>1</v>
      </c>
      <c r="Q77" s="15">
        <f t="shared" si="2"/>
        <v>8.3670726463918932E-2</v>
      </c>
      <c r="S77" s="6">
        <v>33.943300000000001</v>
      </c>
      <c r="T77" s="1">
        <v>24</v>
      </c>
      <c r="U77" s="1">
        <v>3374.5587999999998</v>
      </c>
      <c r="V77" s="13">
        <v>1</v>
      </c>
      <c r="W77">
        <f t="shared" si="3"/>
        <v>7.1120408392350435E-3</v>
      </c>
    </row>
    <row r="78" spans="1:23" x14ac:dyDescent="0.4">
      <c r="A78" s="1">
        <v>34.988599999999998</v>
      </c>
      <c r="B78" s="1">
        <v>584</v>
      </c>
      <c r="C78" s="1">
        <v>5696.6706000000004</v>
      </c>
      <c r="D78" s="2">
        <v>1</v>
      </c>
      <c r="E78" s="15">
        <f t="shared" si="0"/>
        <v>0.10251602049800808</v>
      </c>
      <c r="G78" s="6">
        <v>34.538800000000002</v>
      </c>
      <c r="H78" s="1">
        <v>3</v>
      </c>
      <c r="I78" s="1">
        <v>5361.6749</v>
      </c>
      <c r="J78" s="2">
        <v>1</v>
      </c>
      <c r="K78" s="7">
        <f t="shared" si="1"/>
        <v>5.5952665089783788E-4</v>
      </c>
      <c r="M78" s="1">
        <v>34.392800000000001</v>
      </c>
      <c r="N78" s="1">
        <v>282</v>
      </c>
      <c r="O78" s="1">
        <v>3488.3099000000002</v>
      </c>
      <c r="P78" s="2">
        <v>1</v>
      </c>
      <c r="Q78" s="15">
        <f t="shared" si="2"/>
        <v>8.0841441295109701E-2</v>
      </c>
      <c r="S78" s="6">
        <v>33.943800000000003</v>
      </c>
      <c r="T78" s="1">
        <v>31</v>
      </c>
      <c r="U78" s="1">
        <v>3371.9483</v>
      </c>
      <c r="V78" s="13">
        <v>1</v>
      </c>
      <c r="W78">
        <f t="shared" si="3"/>
        <v>9.1934980141896005E-3</v>
      </c>
    </row>
    <row r="79" spans="1:23" x14ac:dyDescent="0.4">
      <c r="A79" s="1">
        <v>34.989600000000003</v>
      </c>
      <c r="B79" s="1">
        <v>620</v>
      </c>
      <c r="C79" s="1">
        <v>5695.8977999999997</v>
      </c>
      <c r="D79" s="2">
        <v>1</v>
      </c>
      <c r="E79" s="15">
        <f t="shared" si="0"/>
        <v>0.10885026764349599</v>
      </c>
      <c r="G79" s="6">
        <v>34.539299999999997</v>
      </c>
      <c r="H79" s="1">
        <v>1</v>
      </c>
      <c r="I79" s="1">
        <v>5359.1935000000003</v>
      </c>
      <c r="J79" s="2">
        <v>1</v>
      </c>
      <c r="K79" s="7">
        <f t="shared" si="1"/>
        <v>1.8659524049654112E-4</v>
      </c>
      <c r="M79" s="1">
        <v>34.393799999999999</v>
      </c>
      <c r="N79" s="1">
        <v>312</v>
      </c>
      <c r="O79" s="1">
        <v>3486.8573000000001</v>
      </c>
      <c r="P79" s="2">
        <v>1</v>
      </c>
      <c r="Q79" s="15">
        <f t="shared" si="2"/>
        <v>8.9478855357803144E-2</v>
      </c>
      <c r="S79" s="6">
        <v>33.944299999999998</v>
      </c>
      <c r="T79" s="1">
        <v>37</v>
      </c>
      <c r="U79" s="1">
        <v>3373.0309999999999</v>
      </c>
      <c r="V79" s="13">
        <v>1</v>
      </c>
      <c r="W79">
        <f t="shared" si="3"/>
        <v>1.0969362570341038E-2</v>
      </c>
    </row>
    <row r="80" spans="1:23" x14ac:dyDescent="0.4">
      <c r="A80" s="1">
        <v>34.990600000000001</v>
      </c>
      <c r="B80" s="1">
        <v>595</v>
      </c>
      <c r="C80" s="1">
        <v>5692.5582999999997</v>
      </c>
      <c r="D80" s="2">
        <v>1</v>
      </c>
      <c r="E80" s="15">
        <f t="shared" si="0"/>
        <v>0.10452242535662745</v>
      </c>
      <c r="G80" s="6">
        <v>34.5398</v>
      </c>
      <c r="H80" s="1">
        <v>1</v>
      </c>
      <c r="I80" s="1">
        <v>5360.2906999999996</v>
      </c>
      <c r="J80" s="2">
        <v>1</v>
      </c>
      <c r="K80" s="7">
        <f t="shared" si="1"/>
        <v>1.865570462437793E-4</v>
      </c>
      <c r="M80" s="1">
        <v>34.394799999999996</v>
      </c>
      <c r="N80" s="1">
        <v>316</v>
      </c>
      <c r="O80" s="1">
        <v>3488.1142</v>
      </c>
      <c r="P80" s="2">
        <v>1</v>
      </c>
      <c r="Q80" s="15">
        <f t="shared" si="2"/>
        <v>9.0593364173684451E-2</v>
      </c>
      <c r="S80" s="6">
        <v>33.944800000000001</v>
      </c>
      <c r="T80" s="1">
        <v>13</v>
      </c>
      <c r="U80" s="1">
        <v>3373.3719000000001</v>
      </c>
      <c r="V80" s="13">
        <v>1</v>
      </c>
      <c r="W80">
        <f t="shared" si="3"/>
        <v>3.8537108819813193E-3</v>
      </c>
    </row>
    <row r="81" spans="1:23" x14ac:dyDescent="0.4">
      <c r="A81" s="1">
        <v>34.991599999999998</v>
      </c>
      <c r="B81" s="1">
        <v>645</v>
      </c>
      <c r="C81" s="1">
        <v>5696.2370000000001</v>
      </c>
      <c r="D81" s="2">
        <v>1</v>
      </c>
      <c r="E81" s="15">
        <f t="shared" si="0"/>
        <v>0.11323264814999798</v>
      </c>
      <c r="G81" s="6">
        <v>34.540300000000002</v>
      </c>
      <c r="H81" s="1">
        <v>1</v>
      </c>
      <c r="I81" s="1">
        <v>5354.7681000000002</v>
      </c>
      <c r="J81" s="2">
        <v>1</v>
      </c>
      <c r="K81" s="7">
        <f t="shared" si="1"/>
        <v>1.8674945045706086E-4</v>
      </c>
      <c r="M81" s="1">
        <v>34.395800000000001</v>
      </c>
      <c r="N81" s="1">
        <v>365</v>
      </c>
      <c r="O81" s="1">
        <v>3489.0396000000001</v>
      </c>
      <c r="P81" s="2">
        <v>1</v>
      </c>
      <c r="Q81" s="15">
        <f t="shared" si="2"/>
        <v>0.10461331536621138</v>
      </c>
      <c r="S81" s="6">
        <v>33.945300000000003</v>
      </c>
      <c r="T81" s="1">
        <v>28</v>
      </c>
      <c r="U81" s="1">
        <v>3369.8870999999999</v>
      </c>
      <c r="V81" s="13">
        <v>1</v>
      </c>
      <c r="W81">
        <f t="shared" si="3"/>
        <v>8.3088837011780006E-3</v>
      </c>
    </row>
    <row r="82" spans="1:23" x14ac:dyDescent="0.4">
      <c r="A82" s="1">
        <v>34.992600000000003</v>
      </c>
      <c r="B82" s="1">
        <v>723</v>
      </c>
      <c r="C82" s="1">
        <v>5692.1072000000004</v>
      </c>
      <c r="D82" s="2">
        <v>1</v>
      </c>
      <c r="E82" s="15">
        <f t="shared" si="0"/>
        <v>0.12701798729300107</v>
      </c>
      <c r="G82" s="6">
        <v>34.540799999999997</v>
      </c>
      <c r="H82" s="1">
        <v>2</v>
      </c>
      <c r="I82" s="1">
        <v>5350.9097000000002</v>
      </c>
      <c r="J82" s="2">
        <v>1</v>
      </c>
      <c r="K82" s="7">
        <f t="shared" si="1"/>
        <v>3.7376822113069857E-4</v>
      </c>
      <c r="M82" s="1">
        <v>34.396799999999999</v>
      </c>
      <c r="N82" s="1">
        <v>313</v>
      </c>
      <c r="O82" s="1">
        <v>3487.9529000000002</v>
      </c>
      <c r="P82" s="2">
        <v>1</v>
      </c>
      <c r="Q82" s="15">
        <f t="shared" si="2"/>
        <v>8.9737450296418844E-2</v>
      </c>
      <c r="S82" s="6">
        <v>33.945799999999998</v>
      </c>
      <c r="T82" s="1">
        <v>16</v>
      </c>
      <c r="U82" s="1">
        <v>3373.7125000000001</v>
      </c>
      <c r="V82" s="13">
        <v>1</v>
      </c>
      <c r="W82">
        <f t="shared" si="3"/>
        <v>4.7425499357162176E-3</v>
      </c>
    </row>
    <row r="83" spans="1:23" x14ac:dyDescent="0.4">
      <c r="A83" s="1">
        <v>34.993600000000001</v>
      </c>
      <c r="B83" s="1">
        <v>728</v>
      </c>
      <c r="C83" s="1">
        <v>5693.0137999999997</v>
      </c>
      <c r="D83" s="2">
        <v>1</v>
      </c>
      <c r="E83" s="15">
        <f t="shared" si="0"/>
        <v>0.12787602938886256</v>
      </c>
      <c r="G83" s="6">
        <v>34.5413</v>
      </c>
      <c r="H83" s="1">
        <v>1</v>
      </c>
      <c r="I83" s="1">
        <v>5345.9565000000002</v>
      </c>
      <c r="J83" s="2">
        <v>1</v>
      </c>
      <c r="K83" s="7">
        <f t="shared" si="1"/>
        <v>1.8705726468219483E-4</v>
      </c>
      <c r="M83" s="1">
        <v>34.397799999999997</v>
      </c>
      <c r="N83" s="1">
        <v>373</v>
      </c>
      <c r="O83" s="1">
        <v>3486.6273999999999</v>
      </c>
      <c r="P83" s="2">
        <v>1</v>
      </c>
      <c r="Q83" s="15">
        <f t="shared" si="2"/>
        <v>0.10698017230060201</v>
      </c>
      <c r="S83" s="6">
        <v>33.946300000000001</v>
      </c>
      <c r="T83" s="1">
        <v>25</v>
      </c>
      <c r="U83" s="1">
        <v>3373.5943000000002</v>
      </c>
      <c r="V83" s="13">
        <v>1</v>
      </c>
      <c r="W83">
        <f t="shared" si="3"/>
        <v>7.410493905565349E-3</v>
      </c>
    </row>
    <row r="84" spans="1:23" x14ac:dyDescent="0.4">
      <c r="A84" s="1">
        <v>34.994599999999998</v>
      </c>
      <c r="B84" s="1">
        <v>731</v>
      </c>
      <c r="C84" s="1">
        <v>5692.0409</v>
      </c>
      <c r="D84" s="2">
        <v>1</v>
      </c>
      <c r="E84" s="15">
        <f t="shared" si="0"/>
        <v>0.12842493805692787</v>
      </c>
      <c r="G84" s="6">
        <v>34.541800000000002</v>
      </c>
      <c r="H84" s="1">
        <v>2</v>
      </c>
      <c r="I84" s="1">
        <v>5343.2547999999997</v>
      </c>
      <c r="J84" s="2">
        <v>1</v>
      </c>
      <c r="K84" s="7">
        <f t="shared" si="1"/>
        <v>3.7430369219899456E-4</v>
      </c>
      <c r="M84" s="1">
        <v>34.398800000000001</v>
      </c>
      <c r="N84" s="1">
        <v>406</v>
      </c>
      <c r="O84" s="1">
        <v>3486.0351999999998</v>
      </c>
      <c r="P84" s="2">
        <v>1</v>
      </c>
      <c r="Q84" s="15">
        <f t="shared" si="2"/>
        <v>0.1164646874477917</v>
      </c>
      <c r="S84" s="6">
        <v>33.946800000000003</v>
      </c>
      <c r="T84" s="1">
        <v>14</v>
      </c>
      <c r="U84" s="1">
        <v>3374.9965000000002</v>
      </c>
      <c r="V84" s="13">
        <v>1</v>
      </c>
      <c r="W84">
        <f t="shared" si="3"/>
        <v>4.1481524499358737E-3</v>
      </c>
    </row>
    <row r="85" spans="1:23" x14ac:dyDescent="0.4">
      <c r="A85" s="1">
        <v>34.995600000000003</v>
      </c>
      <c r="B85" s="1">
        <v>793</v>
      </c>
      <c r="C85" s="1">
        <v>5693.1815999999999</v>
      </c>
      <c r="D85" s="2">
        <v>1</v>
      </c>
      <c r="E85" s="15">
        <f t="shared" ref="E85:E148" si="4">B85/C85*D85</f>
        <v>0.13928942649572254</v>
      </c>
      <c r="G85" s="6">
        <v>34.542299999999997</v>
      </c>
      <c r="H85" s="1">
        <v>0</v>
      </c>
      <c r="I85" s="1">
        <v>5342.7331999999997</v>
      </c>
      <c r="J85" s="2">
        <v>1</v>
      </c>
      <c r="K85" s="7">
        <f t="shared" ref="K85:K100" si="5">H85/I85</f>
        <v>0</v>
      </c>
      <c r="M85" s="1">
        <v>34.399799999999999</v>
      </c>
      <c r="N85" s="1">
        <v>388</v>
      </c>
      <c r="O85" s="1">
        <v>3484.4533000000001</v>
      </c>
      <c r="P85" s="2">
        <v>1</v>
      </c>
      <c r="Q85" s="15">
        <f t="shared" ref="Q85:Q148" si="6">N85/O85*P85</f>
        <v>0.11135175782094711</v>
      </c>
      <c r="S85" s="6">
        <v>33.947299999999998</v>
      </c>
      <c r="T85" s="1">
        <v>13</v>
      </c>
      <c r="U85" s="1">
        <v>3373.5734000000002</v>
      </c>
      <c r="V85" s="13">
        <v>1</v>
      </c>
      <c r="W85">
        <f t="shared" ref="W85:W100" si="7">T85/U85</f>
        <v>3.8534807038732282E-3</v>
      </c>
    </row>
    <row r="86" spans="1:23" x14ac:dyDescent="0.4">
      <c r="A86" s="1">
        <v>34.996600000000001</v>
      </c>
      <c r="B86" s="1">
        <v>806</v>
      </c>
      <c r="C86" s="1">
        <v>5694.9522999999999</v>
      </c>
      <c r="D86" s="2">
        <v>1</v>
      </c>
      <c r="E86" s="15">
        <f t="shared" si="4"/>
        <v>0.14152884125122522</v>
      </c>
      <c r="G86" s="6">
        <v>34.5428</v>
      </c>
      <c r="H86" s="1">
        <v>2</v>
      </c>
      <c r="I86" s="1">
        <v>5340.7403999999997</v>
      </c>
      <c r="J86" s="2">
        <v>1</v>
      </c>
      <c r="K86" s="7">
        <f t="shared" si="5"/>
        <v>3.7447991293491819E-4</v>
      </c>
      <c r="M86" s="1">
        <v>34.400799999999997</v>
      </c>
      <c r="N86" s="1">
        <v>451</v>
      </c>
      <c r="O86" s="1">
        <v>3485.5394999999999</v>
      </c>
      <c r="P86" s="2">
        <v>1</v>
      </c>
      <c r="Q86" s="15">
        <f t="shared" si="6"/>
        <v>0.1293917340486315</v>
      </c>
      <c r="S86" s="6">
        <v>33.947800000000001</v>
      </c>
      <c r="T86" s="1">
        <v>16</v>
      </c>
      <c r="U86" s="1">
        <v>3372.5738999999999</v>
      </c>
      <c r="V86" s="13">
        <v>1</v>
      </c>
      <c r="W86">
        <f t="shared" si="7"/>
        <v>4.7441510473647443E-3</v>
      </c>
    </row>
    <row r="87" spans="1:23" x14ac:dyDescent="0.4">
      <c r="A87" s="1">
        <v>34.997599999999998</v>
      </c>
      <c r="B87" s="1">
        <v>850</v>
      </c>
      <c r="C87" s="1">
        <v>5691.7764999999999</v>
      </c>
      <c r="D87" s="2">
        <v>1</v>
      </c>
      <c r="E87" s="15">
        <f t="shared" si="4"/>
        <v>0.14933826020751167</v>
      </c>
      <c r="G87" s="6">
        <v>34.543300000000002</v>
      </c>
      <c r="H87" s="1">
        <v>1</v>
      </c>
      <c r="I87" s="1">
        <v>5340.9062000000004</v>
      </c>
      <c r="J87" s="2">
        <v>1</v>
      </c>
      <c r="K87" s="7">
        <f t="shared" si="5"/>
        <v>1.872341438986515E-4</v>
      </c>
      <c r="M87" s="1">
        <v>34.401800000000001</v>
      </c>
      <c r="N87" s="1">
        <v>415</v>
      </c>
      <c r="O87" s="1">
        <v>3484.1394</v>
      </c>
      <c r="P87" s="2">
        <v>1</v>
      </c>
      <c r="Q87" s="15">
        <f t="shared" si="6"/>
        <v>0.11911119285296105</v>
      </c>
      <c r="S87" s="6">
        <v>33.948300000000003</v>
      </c>
      <c r="T87" s="1">
        <v>12</v>
      </c>
      <c r="U87" s="1">
        <v>3375.1923999999999</v>
      </c>
      <c r="V87" s="13">
        <v>1</v>
      </c>
      <c r="W87">
        <f t="shared" si="7"/>
        <v>3.5553528741057846E-3</v>
      </c>
    </row>
    <row r="88" spans="1:23" x14ac:dyDescent="0.4">
      <c r="A88" s="1">
        <v>34.998600000000003</v>
      </c>
      <c r="B88" s="1">
        <v>967</v>
      </c>
      <c r="C88" s="1">
        <v>5694.3023999999996</v>
      </c>
      <c r="D88" s="2">
        <v>1</v>
      </c>
      <c r="E88" s="15">
        <f t="shared" si="4"/>
        <v>0.16981887017450989</v>
      </c>
      <c r="G88" s="6">
        <v>34.543799999999997</v>
      </c>
      <c r="H88" s="1">
        <v>0</v>
      </c>
      <c r="I88" s="1">
        <v>5344.0091000000002</v>
      </c>
      <c r="J88" s="2">
        <v>1</v>
      </c>
      <c r="K88" s="7">
        <f t="shared" si="5"/>
        <v>0</v>
      </c>
      <c r="M88" s="1">
        <v>34.402799999999999</v>
      </c>
      <c r="N88" s="1">
        <v>414</v>
      </c>
      <c r="O88" s="1">
        <v>3483.7422999999999</v>
      </c>
      <c r="P88" s="2">
        <v>1</v>
      </c>
      <c r="Q88" s="15">
        <f t="shared" si="6"/>
        <v>0.11883772229650856</v>
      </c>
      <c r="S88" s="6">
        <v>33.948799999999999</v>
      </c>
      <c r="T88" s="1">
        <v>6</v>
      </c>
      <c r="U88" s="1">
        <v>3373.4531000000002</v>
      </c>
      <c r="V88" s="13">
        <v>1</v>
      </c>
      <c r="W88">
        <f t="shared" si="7"/>
        <v>1.7785929794014328E-3</v>
      </c>
    </row>
    <row r="89" spans="1:23" x14ac:dyDescent="0.4">
      <c r="A89" s="1">
        <v>34.999600000000001</v>
      </c>
      <c r="B89" s="1">
        <v>934</v>
      </c>
      <c r="C89" s="1">
        <v>5694.3873999999996</v>
      </c>
      <c r="D89" s="2">
        <v>1</v>
      </c>
      <c r="E89" s="15">
        <f t="shared" si="4"/>
        <v>0.16402115528704633</v>
      </c>
      <c r="G89" s="6">
        <v>34.5443</v>
      </c>
      <c r="H89" s="1">
        <v>0</v>
      </c>
      <c r="I89" s="1">
        <v>5344.9979999999996</v>
      </c>
      <c r="J89" s="2">
        <v>1</v>
      </c>
      <c r="K89" s="7">
        <f t="shared" si="5"/>
        <v>0</v>
      </c>
      <c r="M89" s="1">
        <v>34.403799999999997</v>
      </c>
      <c r="N89" s="1">
        <v>433</v>
      </c>
      <c r="O89" s="1">
        <v>3484.5046000000002</v>
      </c>
      <c r="P89" s="2">
        <v>1</v>
      </c>
      <c r="Q89" s="15">
        <f t="shared" si="6"/>
        <v>0.12426443632762028</v>
      </c>
      <c r="S89" s="6">
        <v>33.949300000000001</v>
      </c>
      <c r="T89" s="1">
        <v>10</v>
      </c>
      <c r="U89" s="1">
        <v>3372.9751000000001</v>
      </c>
      <c r="V89" s="13">
        <v>1</v>
      </c>
      <c r="W89">
        <f t="shared" si="7"/>
        <v>2.9647417201508542E-3</v>
      </c>
    </row>
    <row r="90" spans="1:23" x14ac:dyDescent="0.4">
      <c r="A90" s="1">
        <v>35.000599999999999</v>
      </c>
      <c r="B90" s="1">
        <v>986</v>
      </c>
      <c r="C90" s="1">
        <v>5691.2264999999998</v>
      </c>
      <c r="D90" s="2">
        <v>1</v>
      </c>
      <c r="E90" s="15">
        <f t="shared" si="4"/>
        <v>0.17324912301416928</v>
      </c>
      <c r="G90" s="6">
        <v>34.544800000000002</v>
      </c>
      <c r="H90" s="1">
        <v>1</v>
      </c>
      <c r="I90" s="1">
        <v>5345.0796</v>
      </c>
      <c r="J90" s="2">
        <v>1</v>
      </c>
      <c r="K90" s="7">
        <f t="shared" si="5"/>
        <v>1.8708795281552028E-4</v>
      </c>
      <c r="M90" s="1">
        <v>34.404800000000002</v>
      </c>
      <c r="N90" s="1">
        <v>445</v>
      </c>
      <c r="O90" s="1">
        <v>3484.5063</v>
      </c>
      <c r="P90" s="2">
        <v>1</v>
      </c>
      <c r="Q90" s="15">
        <f t="shared" si="6"/>
        <v>0.1277081921189237</v>
      </c>
      <c r="S90" s="6">
        <v>33.949800000000003</v>
      </c>
      <c r="T90" s="1">
        <v>5</v>
      </c>
      <c r="U90" s="1">
        <v>3372.1394</v>
      </c>
      <c r="V90" s="13">
        <v>1</v>
      </c>
      <c r="W90">
        <f t="shared" si="7"/>
        <v>1.4827382284374128E-3</v>
      </c>
    </row>
    <row r="91" spans="1:23" x14ac:dyDescent="0.4">
      <c r="A91" s="1">
        <v>35.001600000000003</v>
      </c>
      <c r="B91" s="1">
        <v>997</v>
      </c>
      <c r="C91" s="1">
        <v>5690.5582999999997</v>
      </c>
      <c r="D91" s="2">
        <v>1</v>
      </c>
      <c r="E91" s="15">
        <f t="shared" si="4"/>
        <v>0.17520249287315096</v>
      </c>
      <c r="G91" s="6">
        <v>34.545299999999997</v>
      </c>
      <c r="H91" s="1">
        <v>5</v>
      </c>
      <c r="I91" s="1">
        <v>5344.3281999999999</v>
      </c>
      <c r="J91" s="2">
        <v>1</v>
      </c>
      <c r="K91" s="7">
        <f t="shared" si="5"/>
        <v>9.3557128471264176E-4</v>
      </c>
      <c r="M91" s="1">
        <v>34.405799999999999</v>
      </c>
      <c r="N91" s="1">
        <v>483</v>
      </c>
      <c r="O91" s="1">
        <v>3483.1813000000002</v>
      </c>
      <c r="P91" s="2">
        <v>1</v>
      </c>
      <c r="Q91" s="15">
        <f t="shared" si="6"/>
        <v>0.13866633930309627</v>
      </c>
      <c r="S91" s="6">
        <v>33.950299999999999</v>
      </c>
      <c r="T91" s="1">
        <v>8</v>
      </c>
      <c r="U91" s="1">
        <v>3374.3098</v>
      </c>
      <c r="V91" s="13">
        <v>1</v>
      </c>
      <c r="W91">
        <f t="shared" si="7"/>
        <v>2.3708552190436099E-3</v>
      </c>
    </row>
    <row r="92" spans="1:23" x14ac:dyDescent="0.4">
      <c r="A92" s="1">
        <v>35.002600000000001</v>
      </c>
      <c r="B92" s="1">
        <v>1078</v>
      </c>
      <c r="C92" s="1">
        <v>5691.1067000000003</v>
      </c>
      <c r="D92" s="2">
        <v>1</v>
      </c>
      <c r="E92" s="15">
        <f t="shared" si="4"/>
        <v>0.18941834283303807</v>
      </c>
      <c r="G92" s="6">
        <v>34.5458</v>
      </c>
      <c r="H92" s="1">
        <v>1</v>
      </c>
      <c r="I92" s="1">
        <v>5342.3778000000002</v>
      </c>
      <c r="J92" s="2">
        <v>1</v>
      </c>
      <c r="K92" s="7">
        <f t="shared" si="5"/>
        <v>1.8718256878051567E-4</v>
      </c>
      <c r="M92" s="1">
        <v>34.406799999999997</v>
      </c>
      <c r="N92" s="1">
        <v>563</v>
      </c>
      <c r="O92" s="1">
        <v>3484.4576999999999</v>
      </c>
      <c r="P92" s="2">
        <v>1</v>
      </c>
      <c r="Q92" s="15">
        <f t="shared" si="6"/>
        <v>0.16157464043830982</v>
      </c>
      <c r="S92" s="6">
        <v>33.950800000000001</v>
      </c>
      <c r="T92" s="1">
        <v>5</v>
      </c>
      <c r="U92" s="1">
        <v>3373.5273999999999</v>
      </c>
      <c r="V92" s="13">
        <v>1</v>
      </c>
      <c r="W92">
        <f t="shared" si="7"/>
        <v>1.4821281724286574E-3</v>
      </c>
    </row>
    <row r="93" spans="1:23" x14ac:dyDescent="0.4">
      <c r="A93" s="1">
        <v>35.003599999999999</v>
      </c>
      <c r="B93" s="1">
        <v>1130</v>
      </c>
      <c r="C93" s="1">
        <v>5689.1615000000002</v>
      </c>
      <c r="D93" s="2">
        <v>1</v>
      </c>
      <c r="E93" s="15">
        <f t="shared" si="4"/>
        <v>0.19862329448724561</v>
      </c>
      <c r="G93" s="6">
        <v>34.546300000000002</v>
      </c>
      <c r="H93" s="1">
        <v>1</v>
      </c>
      <c r="I93" s="1">
        <v>5341.4169000000002</v>
      </c>
      <c r="J93" s="2">
        <v>1</v>
      </c>
      <c r="K93" s="7">
        <f t="shared" si="5"/>
        <v>1.8721624219221681E-4</v>
      </c>
      <c r="M93" s="1">
        <v>34.407800000000002</v>
      </c>
      <c r="N93" s="1">
        <v>569</v>
      </c>
      <c r="O93" s="1">
        <v>3483.8730999999998</v>
      </c>
      <c r="P93" s="2">
        <v>1</v>
      </c>
      <c r="Q93" s="15">
        <f t="shared" si="6"/>
        <v>0.16332397411375288</v>
      </c>
      <c r="S93" s="6">
        <v>33.951300000000003</v>
      </c>
      <c r="T93" s="1">
        <v>3</v>
      </c>
      <c r="U93" s="1">
        <v>3374.1147999999998</v>
      </c>
      <c r="V93" s="13">
        <v>1</v>
      </c>
      <c r="W93">
        <f t="shared" si="7"/>
        <v>8.8912208914764847E-4</v>
      </c>
    </row>
    <row r="94" spans="1:23" x14ac:dyDescent="0.4">
      <c r="A94" s="1">
        <v>35.004600000000003</v>
      </c>
      <c r="B94" s="1">
        <v>1195</v>
      </c>
      <c r="C94" s="1">
        <v>5685.0137999999997</v>
      </c>
      <c r="D94" s="2">
        <v>1</v>
      </c>
      <c r="E94" s="15">
        <f t="shared" si="4"/>
        <v>0.21020177646710375</v>
      </c>
      <c r="G94" s="6">
        <v>34.546799999999998</v>
      </c>
      <c r="H94" s="1">
        <v>0</v>
      </c>
      <c r="I94" s="1">
        <v>5339.2646999999997</v>
      </c>
      <c r="J94" s="2">
        <v>1</v>
      </c>
      <c r="K94" s="7">
        <f t="shared" si="5"/>
        <v>0</v>
      </c>
      <c r="M94" s="1">
        <v>34.408799999999999</v>
      </c>
      <c r="N94" s="1">
        <v>632</v>
      </c>
      <c r="O94" s="1">
        <v>3484.4124000000002</v>
      </c>
      <c r="P94" s="2">
        <v>1</v>
      </c>
      <c r="Q94" s="15">
        <f t="shared" si="6"/>
        <v>0.18137921906144058</v>
      </c>
      <c r="S94" s="6">
        <v>33.951799999999999</v>
      </c>
      <c r="T94" s="1">
        <v>8</v>
      </c>
      <c r="U94" s="1">
        <v>3374.3651</v>
      </c>
      <c r="V94" s="13">
        <v>1</v>
      </c>
      <c r="W94">
        <f t="shared" si="7"/>
        <v>2.370816364832602E-3</v>
      </c>
    </row>
    <row r="95" spans="1:23" x14ac:dyDescent="0.4">
      <c r="A95" s="1">
        <v>35.005600000000001</v>
      </c>
      <c r="B95" s="1">
        <v>1241</v>
      </c>
      <c r="C95" s="1">
        <v>5683.7771000000002</v>
      </c>
      <c r="D95" s="2">
        <v>1</v>
      </c>
      <c r="E95" s="15">
        <f t="shared" si="4"/>
        <v>0.21834072275635158</v>
      </c>
      <c r="G95" s="6">
        <v>34.5473</v>
      </c>
      <c r="H95" s="1">
        <v>1</v>
      </c>
      <c r="I95" s="1">
        <v>5336.1656000000003</v>
      </c>
      <c r="J95" s="2">
        <v>1</v>
      </c>
      <c r="K95" s="7">
        <f t="shared" si="5"/>
        <v>1.8740048097457844E-4</v>
      </c>
      <c r="M95" s="1">
        <v>34.409799999999997</v>
      </c>
      <c r="N95" s="1">
        <v>638</v>
      </c>
      <c r="O95" s="1">
        <v>3484.5167999999999</v>
      </c>
      <c r="P95" s="2">
        <v>1</v>
      </c>
      <c r="Q95" s="15">
        <f t="shared" si="6"/>
        <v>0.18309568775791238</v>
      </c>
      <c r="S95" s="6">
        <v>33.952300000000001</v>
      </c>
      <c r="T95" s="1">
        <v>4</v>
      </c>
      <c r="U95" s="1">
        <v>3376.1401999999998</v>
      </c>
      <c r="V95" s="13">
        <v>1</v>
      </c>
      <c r="W95">
        <f t="shared" si="7"/>
        <v>1.1847849209579626E-3</v>
      </c>
    </row>
    <row r="96" spans="1:23" x14ac:dyDescent="0.4">
      <c r="A96" s="1">
        <v>35.006599999999999</v>
      </c>
      <c r="B96" s="1">
        <v>1440</v>
      </c>
      <c r="C96" s="1">
        <v>5683.4031000000004</v>
      </c>
      <c r="D96" s="2">
        <v>1</v>
      </c>
      <c r="E96" s="15">
        <f t="shared" si="4"/>
        <v>0.25336932374196719</v>
      </c>
      <c r="G96" s="6">
        <v>34.547800000000002</v>
      </c>
      <c r="H96" s="1">
        <v>2</v>
      </c>
      <c r="I96" s="1">
        <v>5335.6710999999996</v>
      </c>
      <c r="J96" s="2">
        <v>1</v>
      </c>
      <c r="K96" s="7">
        <f t="shared" si="5"/>
        <v>3.7483569780003874E-4</v>
      </c>
      <c r="M96" s="1">
        <v>34.410800000000002</v>
      </c>
      <c r="N96" s="1">
        <v>646</v>
      </c>
      <c r="O96" s="1">
        <v>3483.7862</v>
      </c>
      <c r="P96" s="2">
        <v>1</v>
      </c>
      <c r="Q96" s="15">
        <f t="shared" si="6"/>
        <v>0.18543043772318749</v>
      </c>
      <c r="S96" s="6">
        <v>33.952800000000003</v>
      </c>
      <c r="T96" s="1">
        <v>5</v>
      </c>
      <c r="U96" s="1">
        <v>3373.6921000000002</v>
      </c>
      <c r="V96" s="13">
        <v>1</v>
      </c>
      <c r="W96">
        <f t="shared" si="7"/>
        <v>1.4820558165340577E-3</v>
      </c>
    </row>
    <row r="97" spans="1:23" x14ac:dyDescent="0.4">
      <c r="A97" s="1">
        <v>35.007599999999996</v>
      </c>
      <c r="B97" s="1">
        <v>1517</v>
      </c>
      <c r="C97" s="1">
        <v>5680.3981999999996</v>
      </c>
      <c r="D97" s="2">
        <v>1</v>
      </c>
      <c r="E97" s="15">
        <f t="shared" si="4"/>
        <v>0.26705874246632921</v>
      </c>
      <c r="G97" s="6">
        <v>34.548299999999998</v>
      </c>
      <c r="H97" s="1">
        <v>0</v>
      </c>
      <c r="I97" s="1">
        <v>5334.2098999999998</v>
      </c>
      <c r="J97" s="2">
        <v>1</v>
      </c>
      <c r="K97" s="7">
        <f t="shared" si="5"/>
        <v>0</v>
      </c>
      <c r="M97" s="1">
        <v>34.411799999999999</v>
      </c>
      <c r="N97" s="1">
        <v>684</v>
      </c>
      <c r="O97" s="1">
        <v>3483.48</v>
      </c>
      <c r="P97" s="2">
        <v>1</v>
      </c>
      <c r="Q97" s="15">
        <f t="shared" si="6"/>
        <v>0.19635536876916188</v>
      </c>
      <c r="S97" s="6">
        <v>33.953299999999999</v>
      </c>
      <c r="T97" s="1">
        <v>2</v>
      </c>
      <c r="U97" s="1">
        <v>3374.9672999999998</v>
      </c>
      <c r="V97" s="13">
        <v>1</v>
      </c>
      <c r="W97">
        <f t="shared" si="7"/>
        <v>5.925983342120085E-4</v>
      </c>
    </row>
    <row r="98" spans="1:23" x14ac:dyDescent="0.4">
      <c r="A98" s="1">
        <v>35.008600000000001</v>
      </c>
      <c r="B98" s="1">
        <v>1769</v>
      </c>
      <c r="C98" s="1">
        <v>5681.1755999999996</v>
      </c>
      <c r="D98" s="2">
        <v>1</v>
      </c>
      <c r="E98" s="15">
        <f t="shared" si="4"/>
        <v>0.3113792152455207</v>
      </c>
      <c r="G98" s="6">
        <v>34.5488</v>
      </c>
      <c r="H98" s="1">
        <v>1</v>
      </c>
      <c r="I98" s="1">
        <v>5333.8231999999998</v>
      </c>
      <c r="J98" s="2">
        <v>1</v>
      </c>
      <c r="K98" s="7">
        <f t="shared" si="5"/>
        <v>1.8748277970668395E-4</v>
      </c>
      <c r="M98" s="1">
        <v>34.412799999999997</v>
      </c>
      <c r="N98" s="1">
        <v>758</v>
      </c>
      <c r="O98" s="1">
        <v>3482.9376999999999</v>
      </c>
      <c r="P98" s="2">
        <v>1</v>
      </c>
      <c r="Q98" s="15">
        <f t="shared" si="6"/>
        <v>0.21763237395833981</v>
      </c>
      <c r="S98" s="6">
        <v>33.953800000000001</v>
      </c>
      <c r="T98" s="1">
        <v>1</v>
      </c>
      <c r="U98" s="1">
        <v>3373.2750000000001</v>
      </c>
      <c r="V98" s="13">
        <v>1</v>
      </c>
      <c r="W98">
        <f t="shared" si="7"/>
        <v>2.9644781406793099E-4</v>
      </c>
    </row>
    <row r="99" spans="1:23" x14ac:dyDescent="0.4">
      <c r="A99" s="1">
        <v>35.009599999999999</v>
      </c>
      <c r="B99" s="1">
        <v>2035</v>
      </c>
      <c r="C99" s="1">
        <v>5680.0763999999999</v>
      </c>
      <c r="D99" s="2">
        <v>1</v>
      </c>
      <c r="E99" s="15">
        <f t="shared" si="4"/>
        <v>0.35826982890582248</v>
      </c>
      <c r="G99" s="6">
        <v>34.549300000000002</v>
      </c>
      <c r="H99" s="1">
        <v>1</v>
      </c>
      <c r="I99" s="1">
        <v>5330.8428999999996</v>
      </c>
      <c r="J99" s="2">
        <v>1</v>
      </c>
      <c r="K99" s="7">
        <f t="shared" si="5"/>
        <v>1.8758759520000112E-4</v>
      </c>
      <c r="M99" s="1">
        <v>34.413800000000002</v>
      </c>
      <c r="N99" s="1">
        <v>828</v>
      </c>
      <c r="O99" s="1">
        <v>3483.0403000000001</v>
      </c>
      <c r="P99" s="2">
        <v>1</v>
      </c>
      <c r="Q99" s="15">
        <f t="shared" si="6"/>
        <v>0.23772334761673586</v>
      </c>
      <c r="S99" s="6">
        <v>33.954300000000003</v>
      </c>
      <c r="T99" s="1">
        <v>1</v>
      </c>
      <c r="U99" s="1">
        <v>3372.2865000000002</v>
      </c>
      <c r="V99" s="13">
        <v>1</v>
      </c>
      <c r="W99">
        <f t="shared" si="7"/>
        <v>2.9653471020329975E-4</v>
      </c>
    </row>
    <row r="100" spans="1:23" ht="14.25" thickBot="1" x14ac:dyDescent="0.45">
      <c r="A100" s="1">
        <v>35.010599999999997</v>
      </c>
      <c r="B100" s="1">
        <v>2492</v>
      </c>
      <c r="C100" s="1">
        <v>5683.7070999999996</v>
      </c>
      <c r="D100" s="2">
        <v>1</v>
      </c>
      <c r="E100" s="15">
        <f t="shared" si="4"/>
        <v>0.43844623872331495</v>
      </c>
      <c r="G100" s="8">
        <v>34.549799999999998</v>
      </c>
      <c r="H100" s="9">
        <v>0</v>
      </c>
      <c r="I100" s="9">
        <v>5334.3554000000004</v>
      </c>
      <c r="J100" s="10">
        <v>1</v>
      </c>
      <c r="K100" s="7">
        <f t="shared" si="5"/>
        <v>0</v>
      </c>
      <c r="M100" s="1">
        <v>34.4148</v>
      </c>
      <c r="N100" s="1">
        <v>850</v>
      </c>
      <c r="O100" s="1">
        <v>3481.4281999999998</v>
      </c>
      <c r="P100" s="2">
        <v>1</v>
      </c>
      <c r="Q100" s="15">
        <f t="shared" si="6"/>
        <v>0.24415267274505331</v>
      </c>
      <c r="S100" s="8">
        <v>33.954799999999999</v>
      </c>
      <c r="T100" s="9">
        <v>0</v>
      </c>
      <c r="U100" s="9">
        <v>3375.5128</v>
      </c>
      <c r="V100" s="14">
        <v>1</v>
      </c>
      <c r="W100">
        <f t="shared" si="7"/>
        <v>0</v>
      </c>
    </row>
    <row r="101" spans="1:23" x14ac:dyDescent="0.4">
      <c r="A101" s="1">
        <v>35.011600000000001</v>
      </c>
      <c r="B101" s="1">
        <v>3095</v>
      </c>
      <c r="C101" s="1">
        <v>5683.1729999999998</v>
      </c>
      <c r="D101" s="2">
        <v>1</v>
      </c>
      <c r="E101" s="15">
        <f t="shared" si="4"/>
        <v>0.54459014356944613</v>
      </c>
      <c r="M101" s="1">
        <v>34.415799999999997</v>
      </c>
      <c r="N101" s="1">
        <v>909</v>
      </c>
      <c r="O101" s="1">
        <v>3484.3854000000001</v>
      </c>
      <c r="P101" s="2">
        <v>1</v>
      </c>
      <c r="Q101" s="15">
        <f t="shared" si="6"/>
        <v>0.2608781451098951</v>
      </c>
    </row>
    <row r="102" spans="1:23" x14ac:dyDescent="0.4">
      <c r="A102" s="1">
        <v>35.012599999999999</v>
      </c>
      <c r="B102" s="1">
        <v>3628</v>
      </c>
      <c r="C102" s="1">
        <v>5680.9125999999997</v>
      </c>
      <c r="D102" s="2">
        <v>1</v>
      </c>
      <c r="E102" s="15">
        <f t="shared" si="4"/>
        <v>0.63862978634805967</v>
      </c>
      <c r="M102" s="1">
        <v>34.416800000000002</v>
      </c>
      <c r="N102" s="1">
        <v>1042</v>
      </c>
      <c r="O102" s="1">
        <v>3482.5252999999998</v>
      </c>
      <c r="P102" s="2">
        <v>1</v>
      </c>
      <c r="Q102" s="15">
        <f t="shared" si="6"/>
        <v>0.29920816368512815</v>
      </c>
    </row>
    <row r="103" spans="1:23" x14ac:dyDescent="0.4">
      <c r="A103" s="1">
        <v>35.013599999999997</v>
      </c>
      <c r="B103" s="1">
        <v>4569</v>
      </c>
      <c r="C103" s="1">
        <v>5680.1058999999996</v>
      </c>
      <c r="D103" s="2">
        <v>1</v>
      </c>
      <c r="E103" s="15">
        <f t="shared" si="4"/>
        <v>0.80438641117589027</v>
      </c>
      <c r="M103" s="1">
        <v>34.4178</v>
      </c>
      <c r="N103" s="1">
        <v>1164</v>
      </c>
      <c r="O103" s="1">
        <v>3483.5016000000001</v>
      </c>
      <c r="P103" s="2">
        <v>1</v>
      </c>
      <c r="Q103" s="15">
        <f t="shared" si="6"/>
        <v>0.33414653806962513</v>
      </c>
    </row>
    <row r="104" spans="1:23" x14ac:dyDescent="0.4">
      <c r="A104" s="1">
        <v>35.014600000000002</v>
      </c>
      <c r="B104" s="1">
        <v>5463</v>
      </c>
      <c r="C104" s="1">
        <v>5679.2367999999997</v>
      </c>
      <c r="D104" s="2">
        <v>1</v>
      </c>
      <c r="E104" s="15">
        <f t="shared" si="4"/>
        <v>0.9619250248554525</v>
      </c>
      <c r="M104" s="1">
        <v>34.418799999999997</v>
      </c>
      <c r="N104" s="1">
        <v>1233</v>
      </c>
      <c r="O104" s="1">
        <v>3481.8543</v>
      </c>
      <c r="P104" s="2">
        <v>1</v>
      </c>
      <c r="Q104" s="15">
        <f t="shared" si="6"/>
        <v>0.35412165293648273</v>
      </c>
    </row>
    <row r="105" spans="1:23" x14ac:dyDescent="0.4">
      <c r="A105" s="1">
        <v>35.015599999999999</v>
      </c>
      <c r="B105" s="1">
        <v>6590</v>
      </c>
      <c r="C105" s="1">
        <v>5681.6145999999999</v>
      </c>
      <c r="D105" s="2">
        <v>1</v>
      </c>
      <c r="E105" s="15">
        <f t="shared" si="4"/>
        <v>1.1598815590202123</v>
      </c>
      <c r="M105" s="1">
        <v>34.419800000000002</v>
      </c>
      <c r="N105" s="1">
        <v>1467</v>
      </c>
      <c r="O105" s="1">
        <v>3482.2114999999999</v>
      </c>
      <c r="P105" s="2">
        <v>1</v>
      </c>
      <c r="Q105" s="15">
        <f t="shared" si="6"/>
        <v>0.4212840029963717</v>
      </c>
    </row>
    <row r="106" spans="1:23" x14ac:dyDescent="0.4">
      <c r="A106" s="1">
        <v>35.016599999999997</v>
      </c>
      <c r="B106" s="1">
        <v>8114</v>
      </c>
      <c r="C106" s="1">
        <v>5679.0182000000004</v>
      </c>
      <c r="D106" s="2">
        <v>1</v>
      </c>
      <c r="E106" s="15">
        <f t="shared" si="4"/>
        <v>1.428768092343849</v>
      </c>
      <c r="M106" s="1">
        <v>34.4208</v>
      </c>
      <c r="N106" s="1">
        <v>1728</v>
      </c>
      <c r="O106" s="1">
        <v>3483.5259000000001</v>
      </c>
      <c r="P106" s="2">
        <v>1</v>
      </c>
      <c r="Q106" s="15">
        <f t="shared" si="6"/>
        <v>0.49604913228863889</v>
      </c>
    </row>
    <row r="107" spans="1:23" x14ac:dyDescent="0.4">
      <c r="A107" s="1">
        <v>35.017600000000002</v>
      </c>
      <c r="B107" s="1">
        <v>9865</v>
      </c>
      <c r="C107" s="1">
        <v>5675.0990000000002</v>
      </c>
      <c r="D107" s="2">
        <v>1</v>
      </c>
      <c r="E107" s="15">
        <f t="shared" si="4"/>
        <v>1.7382956667363865</v>
      </c>
      <c r="M107" s="1">
        <v>34.421799999999998</v>
      </c>
      <c r="N107" s="1">
        <v>2014</v>
      </c>
      <c r="O107" s="1">
        <v>3482.1680000000001</v>
      </c>
      <c r="P107" s="2">
        <v>1</v>
      </c>
      <c r="Q107" s="15">
        <f t="shared" si="6"/>
        <v>0.57837531101313888</v>
      </c>
    </row>
    <row r="108" spans="1:23" x14ac:dyDescent="0.4">
      <c r="A108" s="1">
        <v>35.018599999999999</v>
      </c>
      <c r="B108" s="1">
        <v>12165</v>
      </c>
      <c r="C108" s="1">
        <v>5669.0936000000002</v>
      </c>
      <c r="D108" s="2">
        <v>1</v>
      </c>
      <c r="E108" s="15">
        <f t="shared" si="4"/>
        <v>2.1458456780463107</v>
      </c>
      <c r="M108" s="1">
        <v>34.422800000000002</v>
      </c>
      <c r="N108" s="1">
        <v>2533</v>
      </c>
      <c r="O108" s="1">
        <v>3481.2981</v>
      </c>
      <c r="P108" s="2">
        <v>1</v>
      </c>
      <c r="Q108" s="15">
        <f t="shared" si="6"/>
        <v>0.72760215506968506</v>
      </c>
    </row>
    <row r="109" spans="1:23" x14ac:dyDescent="0.4">
      <c r="A109" s="1">
        <v>35.019599999999997</v>
      </c>
      <c r="B109" s="1">
        <v>15832</v>
      </c>
      <c r="C109" s="1">
        <v>5667.4403000000002</v>
      </c>
      <c r="D109" s="2">
        <v>1</v>
      </c>
      <c r="E109" s="15">
        <f t="shared" si="4"/>
        <v>2.793500974328746</v>
      </c>
      <c r="M109" s="1">
        <v>34.4238</v>
      </c>
      <c r="N109" s="1">
        <v>3439</v>
      </c>
      <c r="O109" s="1">
        <v>3481.3888999999999</v>
      </c>
      <c r="P109" s="2">
        <v>1</v>
      </c>
      <c r="Q109" s="15">
        <f t="shared" si="6"/>
        <v>0.98782414110644179</v>
      </c>
    </row>
    <row r="110" spans="1:23" x14ac:dyDescent="0.4">
      <c r="A110" s="1">
        <v>35.020600000000002</v>
      </c>
      <c r="B110" s="1">
        <v>20385</v>
      </c>
      <c r="C110" s="1">
        <v>5662.4808000000003</v>
      </c>
      <c r="D110" s="2">
        <v>1</v>
      </c>
      <c r="E110" s="15">
        <f t="shared" si="4"/>
        <v>3.600012206663906</v>
      </c>
      <c r="M110" s="1">
        <v>34.424799999999998</v>
      </c>
      <c r="N110" s="1">
        <v>5822</v>
      </c>
      <c r="O110" s="1">
        <v>3480.8906000000002</v>
      </c>
      <c r="P110" s="2">
        <v>1</v>
      </c>
      <c r="Q110" s="15">
        <f t="shared" si="6"/>
        <v>1.6725604648419574</v>
      </c>
    </row>
    <row r="111" spans="1:23" x14ac:dyDescent="0.4">
      <c r="A111" s="1">
        <v>35.021599999999999</v>
      </c>
      <c r="B111" s="1">
        <v>28496</v>
      </c>
      <c r="C111" s="1">
        <v>5660.2205000000004</v>
      </c>
      <c r="D111" s="2">
        <v>1</v>
      </c>
      <c r="E111" s="15">
        <f t="shared" si="4"/>
        <v>5.0344328458582135</v>
      </c>
      <c r="M111" s="1">
        <v>34.425800000000002</v>
      </c>
      <c r="N111" s="1">
        <v>16881</v>
      </c>
      <c r="O111" s="1">
        <v>3481.1174999999998</v>
      </c>
      <c r="P111" s="2">
        <v>1</v>
      </c>
      <c r="Q111" s="15">
        <f t="shared" si="6"/>
        <v>4.8493048568455395</v>
      </c>
    </row>
    <row r="112" spans="1:23" x14ac:dyDescent="0.4">
      <c r="A112" s="1">
        <v>35.022599999999997</v>
      </c>
      <c r="B112" s="1">
        <v>45201</v>
      </c>
      <c r="C112" s="1">
        <v>5656.3809000000001</v>
      </c>
      <c r="D112" s="2">
        <v>1</v>
      </c>
      <c r="E112" s="15">
        <f t="shared" si="4"/>
        <v>7.991152081006426</v>
      </c>
      <c r="M112" s="1">
        <v>34.4268</v>
      </c>
      <c r="N112" s="1">
        <v>75369</v>
      </c>
      <c r="O112" s="1">
        <v>3480.6127000000001</v>
      </c>
      <c r="P112" s="2">
        <v>1</v>
      </c>
      <c r="Q112" s="15">
        <f t="shared" si="6"/>
        <v>21.653946157238348</v>
      </c>
    </row>
    <row r="113" spans="1:17" x14ac:dyDescent="0.4">
      <c r="A113" s="1">
        <v>35.023600000000002</v>
      </c>
      <c r="B113" s="1">
        <v>147112</v>
      </c>
      <c r="C113" s="1">
        <v>5655.7597999999998</v>
      </c>
      <c r="D113" s="2">
        <v>1</v>
      </c>
      <c r="E113" s="15">
        <f t="shared" si="4"/>
        <v>26.01100563004815</v>
      </c>
      <c r="M113" s="1">
        <v>34.427799999999998</v>
      </c>
      <c r="N113" s="1">
        <v>353159</v>
      </c>
      <c r="O113" s="1">
        <v>3478.7040000000002</v>
      </c>
      <c r="P113" s="2">
        <v>1</v>
      </c>
      <c r="Q113" s="15">
        <f t="shared" si="6"/>
        <v>101.52027881647878</v>
      </c>
    </row>
    <row r="114" spans="1:17" x14ac:dyDescent="0.4">
      <c r="A114" s="1">
        <v>35.0246</v>
      </c>
      <c r="B114" s="1">
        <v>1088960</v>
      </c>
      <c r="C114" s="1">
        <v>5655.4175999999998</v>
      </c>
      <c r="D114" s="2">
        <v>1</v>
      </c>
      <c r="E114" s="15">
        <f t="shared" si="4"/>
        <v>192.55165171180286</v>
      </c>
      <c r="M114" s="1">
        <v>34.428800000000003</v>
      </c>
      <c r="N114" s="1">
        <v>1269031</v>
      </c>
      <c r="O114" s="1">
        <v>3478.4371000000001</v>
      </c>
      <c r="P114" s="2">
        <v>1</v>
      </c>
      <c r="Q114" s="15">
        <f t="shared" si="6"/>
        <v>364.82792803699107</v>
      </c>
    </row>
    <row r="115" spans="1:17" x14ac:dyDescent="0.4">
      <c r="A115" s="1">
        <v>35.025599999999997</v>
      </c>
      <c r="B115" s="1">
        <v>130883</v>
      </c>
      <c r="C115" s="1">
        <v>5657.6409000000003</v>
      </c>
      <c r="D115" s="2">
        <v>53.984200000000001</v>
      </c>
      <c r="E115" s="15">
        <f t="shared" si="4"/>
        <v>1248.8622331261781</v>
      </c>
      <c r="M115" s="1">
        <v>34.4298</v>
      </c>
      <c r="N115" s="1">
        <v>64467</v>
      </c>
      <c r="O115" s="1">
        <v>3479.1887999999999</v>
      </c>
      <c r="P115" s="2">
        <v>53.984200000000001</v>
      </c>
      <c r="Q115" s="15">
        <f t="shared" si="6"/>
        <v>1000.2904761592704</v>
      </c>
    </row>
    <row r="116" spans="1:17" x14ac:dyDescent="0.4">
      <c r="A116" s="1">
        <v>35.026600000000002</v>
      </c>
      <c r="B116" s="1">
        <v>444213</v>
      </c>
      <c r="C116" s="1">
        <v>5660.2749999999996</v>
      </c>
      <c r="D116" s="2">
        <v>53.984200000000001</v>
      </c>
      <c r="E116" s="15">
        <f t="shared" si="4"/>
        <v>4236.628685814735</v>
      </c>
      <c r="M116" s="1">
        <v>34.430799999999998</v>
      </c>
      <c r="N116" s="1">
        <v>132677</v>
      </c>
      <c r="O116" s="1">
        <v>3480.4434000000001</v>
      </c>
      <c r="P116" s="2">
        <v>53.984200000000001</v>
      </c>
      <c r="Q116" s="15">
        <f t="shared" si="6"/>
        <v>2057.9164434623472</v>
      </c>
    </row>
    <row r="117" spans="1:17" x14ac:dyDescent="0.4">
      <c r="A117" s="1">
        <v>35.0276</v>
      </c>
      <c r="B117" s="1">
        <v>1078068</v>
      </c>
      <c r="C117" s="1">
        <v>5661.6067999999996</v>
      </c>
      <c r="D117" s="2">
        <v>53.984200000000001</v>
      </c>
      <c r="E117" s="15">
        <f t="shared" si="4"/>
        <v>10279.526745940746</v>
      </c>
      <c r="M117" s="1">
        <v>34.431800000000003</v>
      </c>
      <c r="N117" s="1">
        <v>225786</v>
      </c>
      <c r="O117" s="1">
        <v>3478.8101999999999</v>
      </c>
      <c r="P117" s="2">
        <v>53.984200000000001</v>
      </c>
      <c r="Q117" s="15">
        <f t="shared" si="6"/>
        <v>3503.748661309548</v>
      </c>
    </row>
    <row r="118" spans="1:17" x14ac:dyDescent="0.4">
      <c r="A118" s="1">
        <v>35.028599999999997</v>
      </c>
      <c r="B118" s="1">
        <v>1899310</v>
      </c>
      <c r="C118" s="1">
        <v>5658.5168999999996</v>
      </c>
      <c r="D118" s="2">
        <v>53.984200000000001</v>
      </c>
      <c r="E118" s="15">
        <f t="shared" si="4"/>
        <v>18120.07151591259</v>
      </c>
      <c r="M118" s="1">
        <v>34.4328</v>
      </c>
      <c r="N118" s="1">
        <v>332956</v>
      </c>
      <c r="O118" s="1">
        <v>3480.7420999999999</v>
      </c>
      <c r="P118" s="2">
        <v>53.984200000000001</v>
      </c>
      <c r="Q118" s="15">
        <f t="shared" si="6"/>
        <v>5163.9457273206199</v>
      </c>
    </row>
    <row r="119" spans="1:17" x14ac:dyDescent="0.4">
      <c r="A119" s="1">
        <v>35.029600000000002</v>
      </c>
      <c r="B119" s="1">
        <v>50362</v>
      </c>
      <c r="C119" s="1">
        <v>5657.2017999999998</v>
      </c>
      <c r="D119" s="2">
        <v>2400.44</v>
      </c>
      <c r="E119" s="15">
        <f t="shared" si="4"/>
        <v>21369.391362351616</v>
      </c>
      <c r="M119" s="1">
        <v>34.433799999999998</v>
      </c>
      <c r="N119" s="1">
        <v>433183</v>
      </c>
      <c r="O119" s="1">
        <v>3479.8483000000001</v>
      </c>
      <c r="P119" s="2">
        <v>53.984200000000001</v>
      </c>
      <c r="Q119" s="15">
        <f t="shared" si="6"/>
        <v>6720.1313656690145</v>
      </c>
    </row>
    <row r="120" spans="1:17" x14ac:dyDescent="0.4">
      <c r="A120" s="1">
        <v>35.0306</v>
      </c>
      <c r="B120" s="1">
        <v>49318</v>
      </c>
      <c r="C120" s="1">
        <v>5653.6283999999996</v>
      </c>
      <c r="D120" s="2">
        <v>2400.44</v>
      </c>
      <c r="E120" s="15">
        <f t="shared" si="4"/>
        <v>20939.632311172063</v>
      </c>
      <c r="M120" s="1">
        <v>34.434800000000003</v>
      </c>
      <c r="N120" s="1">
        <v>508299</v>
      </c>
      <c r="O120" s="1">
        <v>3479.66</v>
      </c>
      <c r="P120" s="2">
        <v>53.984200000000001</v>
      </c>
      <c r="Q120" s="15">
        <f t="shared" si="6"/>
        <v>7885.8609392296958</v>
      </c>
    </row>
    <row r="121" spans="1:17" x14ac:dyDescent="0.4">
      <c r="A121" s="1">
        <v>35.031599999999997</v>
      </c>
      <c r="B121" s="1">
        <v>36687</v>
      </c>
      <c r="C121" s="1">
        <v>5651.6076999999996</v>
      </c>
      <c r="D121" s="2">
        <v>2400.44</v>
      </c>
      <c r="E121" s="15">
        <f t="shared" si="4"/>
        <v>15582.28153026262</v>
      </c>
      <c r="M121" s="1">
        <v>34.4358</v>
      </c>
      <c r="N121" s="1">
        <v>551831</v>
      </c>
      <c r="O121" s="1">
        <v>3477.7411999999999</v>
      </c>
      <c r="P121" s="2">
        <v>53.984200000000001</v>
      </c>
      <c r="Q121" s="15">
        <f t="shared" si="6"/>
        <v>8565.9493783493726</v>
      </c>
    </row>
    <row r="122" spans="1:17" x14ac:dyDescent="0.4">
      <c r="A122" s="1">
        <v>35.032600000000002</v>
      </c>
      <c r="B122" s="1">
        <v>17285</v>
      </c>
      <c r="C122" s="1">
        <v>5650.3108000000002</v>
      </c>
      <c r="D122" s="2">
        <v>2400.44</v>
      </c>
      <c r="E122" s="15">
        <f t="shared" si="4"/>
        <v>7343.2430301002196</v>
      </c>
      <c r="M122" s="1">
        <v>34.436799999999998</v>
      </c>
      <c r="N122" s="1">
        <v>568258</v>
      </c>
      <c r="O122" s="1">
        <v>3479.2087999999999</v>
      </c>
      <c r="P122" s="2">
        <v>53.984200000000001</v>
      </c>
      <c r="Q122" s="15">
        <f t="shared" si="6"/>
        <v>8817.2211807466119</v>
      </c>
    </row>
    <row r="123" spans="1:17" x14ac:dyDescent="0.4">
      <c r="A123" s="1">
        <v>35.0336</v>
      </c>
      <c r="B123" s="1">
        <v>4415</v>
      </c>
      <c r="C123" s="1">
        <v>5646.1185999999998</v>
      </c>
      <c r="D123" s="2">
        <v>2400.44</v>
      </c>
      <c r="E123" s="15">
        <f t="shared" si="4"/>
        <v>1877.031523921584</v>
      </c>
      <c r="M123" s="1">
        <v>34.437800000000003</v>
      </c>
      <c r="N123" s="1">
        <v>572775</v>
      </c>
      <c r="O123" s="1">
        <v>3477.4485</v>
      </c>
      <c r="P123" s="2">
        <v>53.984200000000001</v>
      </c>
      <c r="Q123" s="15">
        <f t="shared" si="6"/>
        <v>8891.8067816101375</v>
      </c>
    </row>
    <row r="124" spans="1:17" x14ac:dyDescent="0.4">
      <c r="A124" s="1">
        <v>35.034599999999998</v>
      </c>
      <c r="B124" s="1">
        <v>48727</v>
      </c>
      <c r="C124" s="1">
        <v>5643.9632000000001</v>
      </c>
      <c r="D124" s="2">
        <v>53.984200000000001</v>
      </c>
      <c r="E124" s="15">
        <f t="shared" si="4"/>
        <v>466.07109582146103</v>
      </c>
      <c r="M124" s="1">
        <v>34.438800000000001</v>
      </c>
      <c r="N124" s="1">
        <v>570136</v>
      </c>
      <c r="O124" s="1">
        <v>3477.7480999999998</v>
      </c>
      <c r="P124" s="2">
        <v>53.984200000000001</v>
      </c>
      <c r="Q124" s="15">
        <f t="shared" si="6"/>
        <v>8850.0762465228581</v>
      </c>
    </row>
    <row r="125" spans="1:17" x14ac:dyDescent="0.4">
      <c r="A125" s="1">
        <v>35.035600000000002</v>
      </c>
      <c r="B125" s="1">
        <v>15669</v>
      </c>
      <c r="C125" s="1">
        <v>5649.2101000000002</v>
      </c>
      <c r="D125" s="2">
        <v>53.984200000000001</v>
      </c>
      <c r="E125" s="15">
        <f t="shared" si="4"/>
        <v>149.73393002324343</v>
      </c>
      <c r="M125" s="1">
        <v>34.439799999999998</v>
      </c>
      <c r="N125" s="1">
        <v>566972</v>
      </c>
      <c r="O125" s="1">
        <v>3476.4845</v>
      </c>
      <c r="P125" s="2">
        <v>53.984200000000001</v>
      </c>
      <c r="Q125" s="15">
        <f t="shared" si="6"/>
        <v>8804.1611698254383</v>
      </c>
    </row>
    <row r="126" spans="1:17" x14ac:dyDescent="0.4">
      <c r="A126" s="1">
        <v>35.0366</v>
      </c>
      <c r="B126" s="1">
        <v>224801</v>
      </c>
      <c r="C126" s="1">
        <v>5649.6930000000002</v>
      </c>
      <c r="D126" s="2">
        <v>1</v>
      </c>
      <c r="E126" s="15">
        <f t="shared" si="4"/>
        <v>39.789949648591524</v>
      </c>
      <c r="M126" s="1">
        <v>34.440800000000003</v>
      </c>
      <c r="N126" s="1">
        <v>562088</v>
      </c>
      <c r="O126" s="1">
        <v>3476.7647000000002</v>
      </c>
      <c r="P126" s="2">
        <v>53.984200000000001</v>
      </c>
      <c r="Q126" s="15">
        <f t="shared" si="6"/>
        <v>8727.6170888412435</v>
      </c>
    </row>
    <row r="127" spans="1:17" x14ac:dyDescent="0.4">
      <c r="A127" s="1">
        <v>35.037599999999998</v>
      </c>
      <c r="B127" s="1">
        <v>128548</v>
      </c>
      <c r="C127" s="1">
        <v>5644.1414999999997</v>
      </c>
      <c r="D127" s="2">
        <v>1</v>
      </c>
      <c r="E127" s="15">
        <f t="shared" si="4"/>
        <v>22.775474356906184</v>
      </c>
      <c r="M127" s="1">
        <v>34.441800000000001</v>
      </c>
      <c r="N127" s="1">
        <v>555399</v>
      </c>
      <c r="O127" s="1">
        <v>3475.9593</v>
      </c>
      <c r="P127" s="2">
        <v>53.984200000000001</v>
      </c>
      <c r="Q127" s="15">
        <f t="shared" si="6"/>
        <v>8625.7542474102047</v>
      </c>
    </row>
    <row r="128" spans="1:17" x14ac:dyDescent="0.4">
      <c r="A128" s="1">
        <v>35.038600000000002</v>
      </c>
      <c r="B128" s="1">
        <v>94879</v>
      </c>
      <c r="C128" s="1">
        <v>5647.4071000000004</v>
      </c>
      <c r="D128" s="2">
        <v>1</v>
      </c>
      <c r="E128" s="15">
        <f t="shared" si="4"/>
        <v>16.800453432868334</v>
      </c>
      <c r="M128" s="1">
        <v>34.442799999999998</v>
      </c>
      <c r="N128" s="1">
        <v>546954</v>
      </c>
      <c r="O128" s="1">
        <v>3474.0486000000001</v>
      </c>
      <c r="P128" s="2">
        <v>53.984200000000001</v>
      </c>
      <c r="Q128" s="15">
        <f t="shared" si="6"/>
        <v>8499.2691601378283</v>
      </c>
    </row>
    <row r="129" spans="1:17" x14ac:dyDescent="0.4">
      <c r="A129" s="1">
        <v>35.0396</v>
      </c>
      <c r="B129" s="1">
        <v>73826</v>
      </c>
      <c r="C129" s="1">
        <v>5643.8864999999996</v>
      </c>
      <c r="D129" s="2">
        <v>1</v>
      </c>
      <c r="E129" s="15">
        <f t="shared" si="4"/>
        <v>13.080702455657109</v>
      </c>
      <c r="M129" s="1">
        <v>34.443800000000003</v>
      </c>
      <c r="N129" s="1">
        <v>538144</v>
      </c>
      <c r="O129" s="1">
        <v>3476.7959000000001</v>
      </c>
      <c r="P129" s="2">
        <v>53.984200000000001</v>
      </c>
      <c r="Q129" s="15">
        <f t="shared" si="6"/>
        <v>8355.7603495793355</v>
      </c>
    </row>
    <row r="130" spans="1:17" x14ac:dyDescent="0.4">
      <c r="A130" s="1">
        <v>35.040599999999998</v>
      </c>
      <c r="B130" s="1">
        <v>59453</v>
      </c>
      <c r="C130" s="1">
        <v>5641.8099000000002</v>
      </c>
      <c r="D130" s="2">
        <v>1</v>
      </c>
      <c r="E130" s="15">
        <f t="shared" si="4"/>
        <v>10.53793039003317</v>
      </c>
      <c r="M130" s="1">
        <v>34.444800000000001</v>
      </c>
      <c r="N130" s="1">
        <v>522776</v>
      </c>
      <c r="O130" s="1">
        <v>3475.7945</v>
      </c>
      <c r="P130" s="2">
        <v>53.984200000000001</v>
      </c>
      <c r="Q130" s="15">
        <f t="shared" si="6"/>
        <v>8119.4800610910679</v>
      </c>
    </row>
    <row r="131" spans="1:17" x14ac:dyDescent="0.4">
      <c r="A131" s="1">
        <v>35.041600000000003</v>
      </c>
      <c r="B131" s="1">
        <v>49422</v>
      </c>
      <c r="C131" s="1">
        <v>5640.5325999999995</v>
      </c>
      <c r="D131" s="2">
        <v>1</v>
      </c>
      <c r="E131" s="15">
        <f t="shared" si="4"/>
        <v>8.7619385445977223</v>
      </c>
      <c r="M131" s="1">
        <v>34.445799999999998</v>
      </c>
      <c r="N131" s="1">
        <v>504666</v>
      </c>
      <c r="O131" s="1">
        <v>3473.8087</v>
      </c>
      <c r="P131" s="2">
        <v>53.984200000000001</v>
      </c>
      <c r="Q131" s="15">
        <f t="shared" si="6"/>
        <v>7842.6858327575728</v>
      </c>
    </row>
    <row r="132" spans="1:17" x14ac:dyDescent="0.4">
      <c r="A132" s="1">
        <v>35.0426</v>
      </c>
      <c r="B132" s="1">
        <v>41356</v>
      </c>
      <c r="C132" s="1">
        <v>5638.3077999999996</v>
      </c>
      <c r="D132" s="2">
        <v>1</v>
      </c>
      <c r="E132" s="15">
        <f t="shared" si="4"/>
        <v>7.3348248210216553</v>
      </c>
      <c r="M132" s="1">
        <v>34.446800000000003</v>
      </c>
      <c r="N132" s="1">
        <v>478434</v>
      </c>
      <c r="O132" s="1">
        <v>3473.5146</v>
      </c>
      <c r="P132" s="2">
        <v>53.984200000000001</v>
      </c>
      <c r="Q132" s="15">
        <f t="shared" si="6"/>
        <v>7435.6609132433177</v>
      </c>
    </row>
    <row r="133" spans="1:17" x14ac:dyDescent="0.4">
      <c r="A133" s="1">
        <v>35.043599999999998</v>
      </c>
      <c r="B133" s="1">
        <v>34892</v>
      </c>
      <c r="C133" s="1">
        <v>5636.6691000000001</v>
      </c>
      <c r="D133" s="2">
        <v>1</v>
      </c>
      <c r="E133" s="15">
        <f t="shared" si="4"/>
        <v>6.1901806511934501</v>
      </c>
      <c r="M133" s="1">
        <v>34.447800000000001</v>
      </c>
      <c r="N133" s="1">
        <v>441680</v>
      </c>
      <c r="O133" s="1">
        <v>3475.3366999999998</v>
      </c>
      <c r="P133" s="2">
        <v>53.984200000000001</v>
      </c>
      <c r="Q133" s="15">
        <f t="shared" si="6"/>
        <v>6860.8435712142655</v>
      </c>
    </row>
    <row r="134" spans="1:17" x14ac:dyDescent="0.4">
      <c r="A134" s="1">
        <v>35.044600000000003</v>
      </c>
      <c r="B134" s="1">
        <v>29666</v>
      </c>
      <c r="C134" s="1">
        <v>5637.2016999999996</v>
      </c>
      <c r="D134" s="2">
        <v>1</v>
      </c>
      <c r="E134" s="15">
        <f t="shared" si="4"/>
        <v>5.2625401003480148</v>
      </c>
      <c r="M134" s="1">
        <v>34.448799999999999</v>
      </c>
      <c r="N134" s="1">
        <v>382806</v>
      </c>
      <c r="O134" s="1">
        <v>3474.0306999999998</v>
      </c>
      <c r="P134" s="2">
        <v>53.984200000000001</v>
      </c>
      <c r="Q134" s="15">
        <f t="shared" si="6"/>
        <v>5948.55873472851</v>
      </c>
    </row>
    <row r="135" spans="1:17" x14ac:dyDescent="0.4">
      <c r="A135" s="1">
        <v>35.0456</v>
      </c>
      <c r="B135" s="1">
        <v>25675</v>
      </c>
      <c r="C135" s="1">
        <v>5634.3068000000003</v>
      </c>
      <c r="D135" s="2">
        <v>1</v>
      </c>
      <c r="E135" s="15">
        <f t="shared" si="4"/>
        <v>4.5569048529625684</v>
      </c>
      <c r="M135" s="1">
        <v>34.449800000000003</v>
      </c>
      <c r="N135" s="1">
        <v>306355</v>
      </c>
      <c r="O135" s="1">
        <v>3474.6675</v>
      </c>
      <c r="P135" s="2">
        <v>53.984200000000001</v>
      </c>
      <c r="Q135" s="15">
        <f t="shared" si="6"/>
        <v>4759.6869602631041</v>
      </c>
    </row>
    <row r="136" spans="1:17" x14ac:dyDescent="0.4">
      <c r="A136" s="1">
        <v>35.046599999999998</v>
      </c>
      <c r="B136" s="1">
        <v>22270</v>
      </c>
      <c r="C136" s="1">
        <v>5634.0977999999996</v>
      </c>
      <c r="D136" s="2">
        <v>1</v>
      </c>
      <c r="E136" s="15">
        <f t="shared" si="4"/>
        <v>3.9527180376599076</v>
      </c>
      <c r="M136" s="1">
        <v>34.450800000000001</v>
      </c>
      <c r="N136" s="1">
        <v>223059</v>
      </c>
      <c r="O136" s="1">
        <v>3475.1286</v>
      </c>
      <c r="P136" s="2">
        <v>53.984200000000001</v>
      </c>
      <c r="Q136" s="15">
        <f t="shared" si="6"/>
        <v>3465.0981456628688</v>
      </c>
    </row>
    <row r="137" spans="1:17" x14ac:dyDescent="0.4">
      <c r="A137" s="1">
        <v>35.047600000000003</v>
      </c>
      <c r="B137" s="1">
        <v>19559</v>
      </c>
      <c r="C137" s="1">
        <v>5636.6280999999999</v>
      </c>
      <c r="D137" s="2">
        <v>1</v>
      </c>
      <c r="E137" s="15">
        <f t="shared" si="4"/>
        <v>3.4699823463605841</v>
      </c>
      <c r="M137" s="1">
        <v>34.451799999999999</v>
      </c>
      <c r="N137" s="1">
        <v>140588</v>
      </c>
      <c r="O137" s="1">
        <v>3473.998</v>
      </c>
      <c r="P137" s="2">
        <v>53.984200000000001</v>
      </c>
      <c r="Q137" s="15">
        <f t="shared" si="6"/>
        <v>2184.6675529462018</v>
      </c>
    </row>
    <row r="138" spans="1:17" x14ac:dyDescent="0.4">
      <c r="A138" s="1">
        <v>35.0486</v>
      </c>
      <c r="B138" s="1">
        <v>17460</v>
      </c>
      <c r="C138" s="1">
        <v>5635.1377000000002</v>
      </c>
      <c r="D138" s="2">
        <v>1</v>
      </c>
      <c r="E138" s="15">
        <f t="shared" si="4"/>
        <v>3.0984158559248693</v>
      </c>
      <c r="M138" s="1">
        <v>34.452800000000003</v>
      </c>
      <c r="N138" s="1">
        <v>72981</v>
      </c>
      <c r="O138" s="1">
        <v>3473.1064999999999</v>
      </c>
      <c r="P138" s="2">
        <v>53.984200000000001</v>
      </c>
      <c r="Q138" s="15">
        <f t="shared" si="6"/>
        <v>1134.3795245553224</v>
      </c>
    </row>
    <row r="139" spans="1:17" x14ac:dyDescent="0.4">
      <c r="A139" s="1">
        <v>35.049599999999998</v>
      </c>
      <c r="B139" s="1">
        <v>15428</v>
      </c>
      <c r="C139" s="1">
        <v>5635.9588000000003</v>
      </c>
      <c r="D139" s="2">
        <v>1</v>
      </c>
      <c r="E139" s="15">
        <f t="shared" si="4"/>
        <v>2.7374224240248171</v>
      </c>
      <c r="M139" s="1">
        <v>34.453800000000001</v>
      </c>
      <c r="N139" s="1">
        <v>29785</v>
      </c>
      <c r="O139" s="1">
        <v>3472.9924000000001</v>
      </c>
      <c r="P139" s="2">
        <v>53.984200000000001</v>
      </c>
      <c r="Q139" s="15">
        <f t="shared" si="6"/>
        <v>462.97809260970456</v>
      </c>
    </row>
    <row r="140" spans="1:17" x14ac:dyDescent="0.4">
      <c r="A140" s="1">
        <v>35.050600000000003</v>
      </c>
      <c r="B140" s="1">
        <v>13932</v>
      </c>
      <c r="C140" s="1">
        <v>5638.1770999999999</v>
      </c>
      <c r="D140" s="2">
        <v>1</v>
      </c>
      <c r="E140" s="15">
        <f t="shared" si="4"/>
        <v>2.4710114196306461</v>
      </c>
      <c r="M140" s="1">
        <v>34.454799999999999</v>
      </c>
      <c r="N140" s="1">
        <v>9788</v>
      </c>
      <c r="O140" s="1">
        <v>3475.5300999999999</v>
      </c>
      <c r="P140" s="2">
        <v>53.984200000000001</v>
      </c>
      <c r="Q140" s="15">
        <f t="shared" si="6"/>
        <v>152.03359901846341</v>
      </c>
    </row>
    <row r="141" spans="1:17" x14ac:dyDescent="0.4">
      <c r="A141" s="1">
        <v>35.051600000000001</v>
      </c>
      <c r="B141" s="1">
        <v>12663</v>
      </c>
      <c r="C141" s="1">
        <v>5636.1908999999996</v>
      </c>
      <c r="D141" s="2">
        <v>1</v>
      </c>
      <c r="E141" s="15">
        <f t="shared" si="4"/>
        <v>2.2467301453540194</v>
      </c>
      <c r="M141" s="1">
        <v>34.455800000000004</v>
      </c>
      <c r="N141" s="1">
        <v>3525</v>
      </c>
      <c r="O141" s="1">
        <v>3473.9382999999998</v>
      </c>
      <c r="P141" s="2">
        <v>53.984200000000001</v>
      </c>
      <c r="Q141" s="15">
        <f t="shared" si="6"/>
        <v>54.777687041822254</v>
      </c>
    </row>
    <row r="142" spans="1:17" x14ac:dyDescent="0.4">
      <c r="A142" s="1">
        <v>35.052599999999998</v>
      </c>
      <c r="B142" s="1">
        <v>11583</v>
      </c>
      <c r="C142" s="1">
        <v>5638.0861000000004</v>
      </c>
      <c r="D142" s="2">
        <v>1</v>
      </c>
      <c r="E142" s="15">
        <f t="shared" si="4"/>
        <v>2.0544205594873763</v>
      </c>
      <c r="M142" s="1">
        <v>34.456800000000001</v>
      </c>
      <c r="N142" s="1">
        <v>68780</v>
      </c>
      <c r="O142" s="1">
        <v>3474.6122999999998</v>
      </c>
      <c r="P142" s="2">
        <v>1</v>
      </c>
      <c r="Q142" s="15">
        <f t="shared" si="6"/>
        <v>19.795014252381481</v>
      </c>
    </row>
    <row r="143" spans="1:17" x14ac:dyDescent="0.4">
      <c r="A143" s="1">
        <v>35.053600000000003</v>
      </c>
      <c r="B143" s="1">
        <v>10456</v>
      </c>
      <c r="C143" s="1">
        <v>5640.2</v>
      </c>
      <c r="D143" s="2">
        <v>1</v>
      </c>
      <c r="E143" s="15">
        <f t="shared" si="4"/>
        <v>1.853834970391121</v>
      </c>
      <c r="M143" s="1">
        <v>34.457799999999999</v>
      </c>
      <c r="N143" s="1">
        <v>40579</v>
      </c>
      <c r="O143" s="1">
        <v>3473.6088</v>
      </c>
      <c r="P143" s="2">
        <v>1</v>
      </c>
      <c r="Q143" s="15">
        <f t="shared" si="6"/>
        <v>11.68208694082074</v>
      </c>
    </row>
    <row r="144" spans="1:17" x14ac:dyDescent="0.4">
      <c r="A144" s="1">
        <v>35.054600000000001</v>
      </c>
      <c r="B144" s="1">
        <v>9473</v>
      </c>
      <c r="C144" s="1">
        <v>5646.5096999999996</v>
      </c>
      <c r="D144" s="2">
        <v>1</v>
      </c>
      <c r="E144" s="15">
        <f t="shared" si="4"/>
        <v>1.677673554691671</v>
      </c>
      <c r="M144" s="1">
        <v>34.458799999999997</v>
      </c>
      <c r="N144" s="1">
        <v>29157</v>
      </c>
      <c r="O144" s="1">
        <v>3473.6322</v>
      </c>
      <c r="P144" s="2">
        <v>1</v>
      </c>
      <c r="Q144" s="15">
        <f t="shared" si="6"/>
        <v>8.3938074963722418</v>
      </c>
    </row>
    <row r="145" spans="1:17" x14ac:dyDescent="0.4">
      <c r="A145" s="1">
        <v>35.055599999999998</v>
      </c>
      <c r="B145" s="1">
        <v>8422</v>
      </c>
      <c r="C145" s="1">
        <v>5645.3064000000004</v>
      </c>
      <c r="D145" s="2">
        <v>1</v>
      </c>
      <c r="E145" s="15">
        <f t="shared" si="4"/>
        <v>1.4918587944137096</v>
      </c>
      <c r="M145" s="1">
        <v>34.459800000000001</v>
      </c>
      <c r="N145" s="1">
        <v>23022</v>
      </c>
      <c r="O145" s="1">
        <v>3473.7368000000001</v>
      </c>
      <c r="P145" s="2">
        <v>1</v>
      </c>
      <c r="Q145" s="15">
        <f t="shared" si="6"/>
        <v>6.6274451190429851</v>
      </c>
    </row>
    <row r="146" spans="1:17" x14ac:dyDescent="0.4">
      <c r="A146" s="1">
        <v>35.056600000000003</v>
      </c>
      <c r="B146" s="1">
        <v>7282</v>
      </c>
      <c r="C146" s="1">
        <v>5647.72</v>
      </c>
      <c r="D146" s="2">
        <v>1</v>
      </c>
      <c r="E146" s="15">
        <f t="shared" si="4"/>
        <v>1.2893698696110996</v>
      </c>
      <c r="M146" s="1">
        <v>34.460799999999999</v>
      </c>
      <c r="N146" s="1">
        <v>18156</v>
      </c>
      <c r="O146" s="1">
        <v>3472.2147</v>
      </c>
      <c r="P146" s="2">
        <v>1</v>
      </c>
      <c r="Q146" s="15">
        <f t="shared" si="6"/>
        <v>5.2289393279741603</v>
      </c>
    </row>
    <row r="147" spans="1:17" x14ac:dyDescent="0.4">
      <c r="A147" s="1">
        <v>35.057600000000001</v>
      </c>
      <c r="B147" s="1">
        <v>6416</v>
      </c>
      <c r="C147" s="1">
        <v>5647.1270999999997</v>
      </c>
      <c r="D147" s="2">
        <v>1</v>
      </c>
      <c r="E147" s="15">
        <f t="shared" si="4"/>
        <v>1.1361529298676492</v>
      </c>
      <c r="M147" s="1">
        <v>34.461799999999997</v>
      </c>
      <c r="N147" s="1">
        <v>13547</v>
      </c>
      <c r="O147" s="1">
        <v>3472.0835999999999</v>
      </c>
      <c r="P147" s="2">
        <v>1</v>
      </c>
      <c r="Q147" s="15">
        <f t="shared" si="6"/>
        <v>3.9016917680207932</v>
      </c>
    </row>
    <row r="148" spans="1:17" x14ac:dyDescent="0.4">
      <c r="A148" s="1">
        <v>35.058599999999998</v>
      </c>
      <c r="B148" s="1">
        <v>5611</v>
      </c>
      <c r="C148" s="1">
        <v>5647.4497000000001</v>
      </c>
      <c r="D148" s="2">
        <v>1</v>
      </c>
      <c r="E148" s="15">
        <f t="shared" si="4"/>
        <v>0.99354581236907691</v>
      </c>
      <c r="M148" s="1">
        <v>34.462800000000001</v>
      </c>
      <c r="N148" s="1">
        <v>9544</v>
      </c>
      <c r="O148" s="1">
        <v>3470.4794000000002</v>
      </c>
      <c r="P148" s="2">
        <v>1</v>
      </c>
      <c r="Q148" s="15">
        <f t="shared" si="6"/>
        <v>2.7500523414719016</v>
      </c>
    </row>
    <row r="149" spans="1:17" x14ac:dyDescent="0.4">
      <c r="A149" s="1">
        <v>35.059600000000003</v>
      </c>
      <c r="B149" s="1">
        <v>4983</v>
      </c>
      <c r="C149" s="1">
        <v>5647.2308000000003</v>
      </c>
      <c r="D149" s="2">
        <v>1</v>
      </c>
      <c r="E149" s="15">
        <f t="shared" ref="E149:E212" si="8">B149/C149*D149</f>
        <v>0.882379377871363</v>
      </c>
      <c r="M149" s="1">
        <v>34.463799999999999</v>
      </c>
      <c r="N149" s="1">
        <v>6353</v>
      </c>
      <c r="O149" s="1">
        <v>3469.4074999999998</v>
      </c>
      <c r="P149" s="2">
        <v>1</v>
      </c>
      <c r="Q149" s="15">
        <f t="shared" ref="Q149:Q212" si="9">N149/O149*P149</f>
        <v>1.8311484021407114</v>
      </c>
    </row>
    <row r="150" spans="1:17" x14ac:dyDescent="0.4">
      <c r="A150" s="1">
        <v>35.060600000000001</v>
      </c>
      <c r="B150" s="1">
        <v>4326</v>
      </c>
      <c r="C150" s="1">
        <v>5645.6358</v>
      </c>
      <c r="D150" s="2">
        <v>1</v>
      </c>
      <c r="E150" s="15">
        <f t="shared" si="8"/>
        <v>0.76625559161999079</v>
      </c>
      <c r="M150" s="1">
        <v>34.464799999999997</v>
      </c>
      <c r="N150" s="1">
        <v>3921</v>
      </c>
      <c r="O150" s="1">
        <v>3470.1086</v>
      </c>
      <c r="P150" s="2">
        <v>1</v>
      </c>
      <c r="Q150" s="15">
        <f t="shared" si="9"/>
        <v>1.1299358181470172</v>
      </c>
    </row>
    <row r="151" spans="1:17" x14ac:dyDescent="0.4">
      <c r="A151" s="1">
        <v>35.061599999999999</v>
      </c>
      <c r="B151" s="1">
        <v>3689</v>
      </c>
      <c r="C151" s="1">
        <v>5643.0014000000001</v>
      </c>
      <c r="D151" s="2">
        <v>1</v>
      </c>
      <c r="E151" s="15">
        <f t="shared" si="8"/>
        <v>0.65373012312206757</v>
      </c>
      <c r="M151" s="1">
        <v>34.465800000000002</v>
      </c>
      <c r="N151" s="1">
        <v>2254</v>
      </c>
      <c r="O151" s="1">
        <v>3470.8804</v>
      </c>
      <c r="P151" s="2">
        <v>1</v>
      </c>
      <c r="Q151" s="15">
        <f t="shared" si="9"/>
        <v>0.64940295839637685</v>
      </c>
    </row>
    <row r="152" spans="1:17" x14ac:dyDescent="0.4">
      <c r="A152" s="1">
        <v>35.062600000000003</v>
      </c>
      <c r="B152" s="1">
        <v>3196</v>
      </c>
      <c r="C152" s="1">
        <v>5641.0254000000004</v>
      </c>
      <c r="D152" s="2">
        <v>1</v>
      </c>
      <c r="E152" s="15">
        <f t="shared" si="8"/>
        <v>0.56656366057135632</v>
      </c>
      <c r="M152" s="1">
        <v>34.466799999999999</v>
      </c>
      <c r="N152" s="1">
        <v>1442</v>
      </c>
      <c r="O152" s="1">
        <v>3470.0891000000001</v>
      </c>
      <c r="P152" s="2">
        <v>1</v>
      </c>
      <c r="Q152" s="15">
        <f t="shared" si="9"/>
        <v>0.41555128944671765</v>
      </c>
    </row>
    <row r="153" spans="1:17" x14ac:dyDescent="0.4">
      <c r="A153" s="1">
        <v>35.063600000000001</v>
      </c>
      <c r="B153" s="1">
        <v>2858</v>
      </c>
      <c r="C153" s="1">
        <v>5645.2323999999999</v>
      </c>
      <c r="D153" s="2">
        <v>1</v>
      </c>
      <c r="E153" s="15">
        <f t="shared" si="8"/>
        <v>0.50626790847441461</v>
      </c>
      <c r="M153" s="1">
        <v>34.467799999999997</v>
      </c>
      <c r="N153" s="1">
        <v>1036</v>
      </c>
      <c r="O153" s="1">
        <v>3471.0702999999999</v>
      </c>
      <c r="P153" s="2">
        <v>1</v>
      </c>
      <c r="Q153" s="15">
        <f t="shared" si="9"/>
        <v>0.2984670175075394</v>
      </c>
    </row>
    <row r="154" spans="1:17" x14ac:dyDescent="0.4">
      <c r="A154" s="1">
        <v>35.064599999999999</v>
      </c>
      <c r="B154" s="1">
        <v>2323</v>
      </c>
      <c r="C154" s="1">
        <v>5642.5187999999998</v>
      </c>
      <c r="D154" s="2">
        <v>1</v>
      </c>
      <c r="E154" s="15">
        <f t="shared" si="8"/>
        <v>0.41169557113394112</v>
      </c>
      <c r="M154" s="1">
        <v>34.468800000000002</v>
      </c>
      <c r="N154" s="1">
        <v>866</v>
      </c>
      <c r="O154" s="1">
        <v>3468.2788999999998</v>
      </c>
      <c r="P154" s="2">
        <v>1</v>
      </c>
      <c r="Q154" s="15">
        <f t="shared" si="9"/>
        <v>0.2496915689219803</v>
      </c>
    </row>
    <row r="155" spans="1:17" x14ac:dyDescent="0.4">
      <c r="A155" s="1">
        <v>35.065600000000003</v>
      </c>
      <c r="B155" s="1">
        <v>1990</v>
      </c>
      <c r="C155" s="1">
        <v>5644.5155000000004</v>
      </c>
      <c r="D155" s="2">
        <v>1</v>
      </c>
      <c r="E155" s="15">
        <f t="shared" si="8"/>
        <v>0.35255461695516643</v>
      </c>
      <c r="M155" s="1">
        <v>34.469799999999999</v>
      </c>
      <c r="N155" s="1">
        <v>807</v>
      </c>
      <c r="O155" s="1">
        <v>3469.7905000000001</v>
      </c>
      <c r="P155" s="2">
        <v>1</v>
      </c>
      <c r="Q155" s="15">
        <f t="shared" si="9"/>
        <v>0.23257888336486021</v>
      </c>
    </row>
    <row r="156" spans="1:17" x14ac:dyDescent="0.4">
      <c r="A156" s="1">
        <v>35.066600000000001</v>
      </c>
      <c r="B156" s="1">
        <v>1616</v>
      </c>
      <c r="C156" s="1">
        <v>5643.4924000000001</v>
      </c>
      <c r="D156" s="2">
        <v>1</v>
      </c>
      <c r="E156" s="15">
        <f t="shared" si="8"/>
        <v>0.28634751063011976</v>
      </c>
      <c r="M156" s="1">
        <v>34.470799999999997</v>
      </c>
      <c r="N156" s="1">
        <v>704</v>
      </c>
      <c r="O156" s="1">
        <v>3467.1349</v>
      </c>
      <c r="P156" s="2">
        <v>1</v>
      </c>
      <c r="Q156" s="15">
        <f t="shared" si="9"/>
        <v>0.20304949772793668</v>
      </c>
    </row>
    <row r="157" spans="1:17" x14ac:dyDescent="0.4">
      <c r="A157" s="1">
        <v>35.067599999999999</v>
      </c>
      <c r="B157" s="1">
        <v>1445</v>
      </c>
      <c r="C157" s="1">
        <v>5636.8046999999997</v>
      </c>
      <c r="D157" s="2">
        <v>1</v>
      </c>
      <c r="E157" s="15">
        <f t="shared" si="8"/>
        <v>0.25635090745648864</v>
      </c>
      <c r="M157" s="1">
        <v>34.471800000000002</v>
      </c>
      <c r="N157" s="1">
        <v>717</v>
      </c>
      <c r="O157" s="1">
        <v>3469.4679000000001</v>
      </c>
      <c r="P157" s="2">
        <v>1</v>
      </c>
      <c r="Q157" s="15">
        <f t="shared" si="9"/>
        <v>0.20665993191636101</v>
      </c>
    </row>
    <row r="158" spans="1:17" x14ac:dyDescent="0.4">
      <c r="A158" s="1">
        <v>35.068600000000004</v>
      </c>
      <c r="B158" s="1">
        <v>1185</v>
      </c>
      <c r="C158" s="1">
        <v>5628.9268000000002</v>
      </c>
      <c r="D158" s="2">
        <v>1</v>
      </c>
      <c r="E158" s="15">
        <f t="shared" si="8"/>
        <v>0.21051970332959383</v>
      </c>
      <c r="M158" s="1">
        <v>34.472799999999999</v>
      </c>
      <c r="N158" s="1">
        <v>630</v>
      </c>
      <c r="O158" s="1">
        <v>3467.7485000000001</v>
      </c>
      <c r="P158" s="2">
        <v>1</v>
      </c>
      <c r="Q158" s="15">
        <f t="shared" si="9"/>
        <v>0.18167407469140279</v>
      </c>
    </row>
    <row r="159" spans="1:17" x14ac:dyDescent="0.4">
      <c r="A159" s="1">
        <v>35.069600000000001</v>
      </c>
      <c r="B159" s="1">
        <v>1018</v>
      </c>
      <c r="C159" s="1">
        <v>5625.2253000000001</v>
      </c>
      <c r="D159" s="2">
        <v>1</v>
      </c>
      <c r="E159" s="15">
        <f t="shared" si="8"/>
        <v>0.18097052930484403</v>
      </c>
      <c r="M159" s="1">
        <v>34.473799999999997</v>
      </c>
      <c r="N159" s="1">
        <v>608</v>
      </c>
      <c r="O159" s="1">
        <v>3467.4953</v>
      </c>
      <c r="P159" s="2">
        <v>1</v>
      </c>
      <c r="Q159" s="15">
        <f t="shared" si="9"/>
        <v>0.17534270342053529</v>
      </c>
    </row>
    <row r="160" spans="1:17" x14ac:dyDescent="0.4">
      <c r="A160" s="1">
        <v>35.070599999999999</v>
      </c>
      <c r="B160" s="1">
        <v>916</v>
      </c>
      <c r="C160" s="1">
        <v>5623.4093000000003</v>
      </c>
      <c r="D160" s="2">
        <v>1</v>
      </c>
      <c r="E160" s="15">
        <f t="shared" si="8"/>
        <v>0.16289050843231345</v>
      </c>
      <c r="M160" s="1">
        <v>34.474800000000002</v>
      </c>
      <c r="N160" s="1">
        <v>583</v>
      </c>
      <c r="O160" s="1">
        <v>3468.7417</v>
      </c>
      <c r="P160" s="2">
        <v>1</v>
      </c>
      <c r="Q160" s="15">
        <f t="shared" si="9"/>
        <v>0.16807247423467708</v>
      </c>
    </row>
    <row r="161" spans="1:17" x14ac:dyDescent="0.4">
      <c r="A161" s="1">
        <v>35.071599999999997</v>
      </c>
      <c r="B161" s="1">
        <v>822</v>
      </c>
      <c r="C161" s="1">
        <v>5620.6412</v>
      </c>
      <c r="D161" s="2">
        <v>1</v>
      </c>
      <c r="E161" s="15">
        <f t="shared" si="8"/>
        <v>0.14624665954482205</v>
      </c>
      <c r="M161" s="1">
        <v>34.4758</v>
      </c>
      <c r="N161" s="1">
        <v>579</v>
      </c>
      <c r="O161" s="1">
        <v>3466.5390000000002</v>
      </c>
      <c r="P161" s="2">
        <v>1</v>
      </c>
      <c r="Q161" s="15">
        <f t="shared" si="9"/>
        <v>0.16702538180011819</v>
      </c>
    </row>
    <row r="162" spans="1:17" x14ac:dyDescent="0.4">
      <c r="A162" s="1">
        <v>35.072600000000001</v>
      </c>
      <c r="B162" s="1">
        <v>717</v>
      </c>
      <c r="C162" s="1">
        <v>5620.7565999999997</v>
      </c>
      <c r="D162" s="2">
        <v>1</v>
      </c>
      <c r="E162" s="15">
        <f t="shared" si="8"/>
        <v>0.12756289784901911</v>
      </c>
      <c r="M162" s="1">
        <v>34.476799999999997</v>
      </c>
      <c r="N162" s="1">
        <v>517</v>
      </c>
      <c r="O162" s="1">
        <v>3467.3240000000001</v>
      </c>
      <c r="P162" s="2">
        <v>1</v>
      </c>
      <c r="Q162" s="15">
        <f t="shared" si="9"/>
        <v>0.14910634252812832</v>
      </c>
    </row>
    <row r="163" spans="1:17" x14ac:dyDescent="0.4">
      <c r="A163" s="1">
        <v>35.073599999999999</v>
      </c>
      <c r="B163" s="1">
        <v>670</v>
      </c>
      <c r="C163" s="1">
        <v>5618.8594999999996</v>
      </c>
      <c r="D163" s="2">
        <v>1</v>
      </c>
      <c r="E163" s="15">
        <f t="shared" si="8"/>
        <v>0.11924128019218136</v>
      </c>
      <c r="M163" s="1">
        <v>34.477800000000002</v>
      </c>
      <c r="N163" s="1">
        <v>485</v>
      </c>
      <c r="O163" s="1">
        <v>3466.8036000000002</v>
      </c>
      <c r="P163" s="2">
        <v>1</v>
      </c>
      <c r="Q163" s="15">
        <f t="shared" si="9"/>
        <v>0.13989832017019943</v>
      </c>
    </row>
    <row r="164" spans="1:17" x14ac:dyDescent="0.4">
      <c r="A164" s="1">
        <v>35.074599999999997</v>
      </c>
      <c r="B164" s="1">
        <v>602</v>
      </c>
      <c r="C164" s="1">
        <v>5614.5496000000003</v>
      </c>
      <c r="D164" s="2">
        <v>1</v>
      </c>
      <c r="E164" s="15">
        <f t="shared" si="8"/>
        <v>0.10722142342459669</v>
      </c>
      <c r="M164" s="1">
        <v>34.4788</v>
      </c>
      <c r="N164" s="1">
        <v>476</v>
      </c>
      <c r="O164" s="1">
        <v>3465.8886000000002</v>
      </c>
      <c r="P164" s="2">
        <v>1</v>
      </c>
      <c r="Q164" s="15">
        <f t="shared" si="9"/>
        <v>0.13733851688135618</v>
      </c>
    </row>
    <row r="165" spans="1:17" x14ac:dyDescent="0.4">
      <c r="A165" s="1">
        <v>35.075600000000001</v>
      </c>
      <c r="B165" s="1">
        <v>593</v>
      </c>
      <c r="C165" s="1">
        <v>5613.393</v>
      </c>
      <c r="D165" s="2">
        <v>1</v>
      </c>
      <c r="E165" s="15">
        <f t="shared" si="8"/>
        <v>0.1056402072685807</v>
      </c>
      <c r="M165" s="1">
        <v>34.479799999999997</v>
      </c>
      <c r="N165" s="1">
        <v>500</v>
      </c>
      <c r="O165" s="1">
        <v>3463.6642999999999</v>
      </c>
      <c r="P165" s="2">
        <v>1</v>
      </c>
      <c r="Q165" s="15">
        <f t="shared" si="9"/>
        <v>0.14435579106208415</v>
      </c>
    </row>
    <row r="166" spans="1:17" x14ac:dyDescent="0.4">
      <c r="A166" s="1">
        <v>35.076599999999999</v>
      </c>
      <c r="B166" s="1">
        <v>538</v>
      </c>
      <c r="C166" s="1">
        <v>5614.0977000000003</v>
      </c>
      <c r="D166" s="2">
        <v>1</v>
      </c>
      <c r="E166" s="15">
        <f t="shared" si="8"/>
        <v>9.5830181223956964E-2</v>
      </c>
      <c r="M166" s="1">
        <v>34.480800000000002</v>
      </c>
      <c r="N166" s="1">
        <v>481</v>
      </c>
      <c r="O166" s="1">
        <v>3465.9540000000002</v>
      </c>
      <c r="P166" s="2">
        <v>1</v>
      </c>
      <c r="Q166" s="15">
        <f t="shared" si="9"/>
        <v>0.13877852966311727</v>
      </c>
    </row>
    <row r="167" spans="1:17" x14ac:dyDescent="0.4">
      <c r="A167" s="1">
        <v>35.077599999999997</v>
      </c>
      <c r="B167" s="1">
        <v>533</v>
      </c>
      <c r="C167" s="1">
        <v>5612.2920999999997</v>
      </c>
      <c r="D167" s="2">
        <v>1</v>
      </c>
      <c r="E167" s="15">
        <f t="shared" si="8"/>
        <v>9.4970110340479252E-2</v>
      </c>
      <c r="M167" s="1">
        <v>34.4818</v>
      </c>
      <c r="N167" s="1">
        <v>447</v>
      </c>
      <c r="O167" s="1">
        <v>3464.2671999999998</v>
      </c>
      <c r="P167" s="2">
        <v>1</v>
      </c>
      <c r="Q167" s="15">
        <f t="shared" si="9"/>
        <v>0.12903161742258218</v>
      </c>
    </row>
    <row r="168" spans="1:17" x14ac:dyDescent="0.4">
      <c r="A168" s="1">
        <v>35.078600000000002</v>
      </c>
      <c r="B168" s="1">
        <v>511</v>
      </c>
      <c r="C168" s="1">
        <v>5611.3945999999996</v>
      </c>
      <c r="D168" s="2">
        <v>1</v>
      </c>
      <c r="E168" s="15">
        <f t="shared" si="8"/>
        <v>9.1064706089284839E-2</v>
      </c>
      <c r="M168" s="1">
        <v>34.482799999999997</v>
      </c>
      <c r="N168" s="1">
        <v>411</v>
      </c>
      <c r="O168" s="1">
        <v>3462.826</v>
      </c>
      <c r="P168" s="2">
        <v>1</v>
      </c>
      <c r="Q168" s="15">
        <f t="shared" si="9"/>
        <v>0.1186891862311303</v>
      </c>
    </row>
    <row r="169" spans="1:17" x14ac:dyDescent="0.4">
      <c r="A169" s="1">
        <v>35.079599999999999</v>
      </c>
      <c r="B169" s="1">
        <v>486</v>
      </c>
      <c r="C169" s="1">
        <v>5607.8518999999997</v>
      </c>
      <c r="D169" s="2">
        <v>1</v>
      </c>
      <c r="E169" s="15">
        <f t="shared" si="8"/>
        <v>8.6664200243947248E-2</v>
      </c>
      <c r="M169" s="1">
        <v>34.483800000000002</v>
      </c>
      <c r="N169" s="1">
        <v>399</v>
      </c>
      <c r="O169" s="1">
        <v>3466.4056</v>
      </c>
      <c r="P169" s="2">
        <v>1</v>
      </c>
      <c r="Q169" s="15">
        <f t="shared" si="9"/>
        <v>0.11510482212468154</v>
      </c>
    </row>
    <row r="170" spans="1:17" x14ac:dyDescent="0.4">
      <c r="A170" s="1">
        <v>35.080599999999997</v>
      </c>
      <c r="B170" s="1">
        <v>459</v>
      </c>
      <c r="C170" s="1">
        <v>5608.3059999999996</v>
      </c>
      <c r="D170" s="2">
        <v>1</v>
      </c>
      <c r="E170" s="15">
        <f t="shared" si="8"/>
        <v>8.1842895162995755E-2</v>
      </c>
      <c r="M170" s="1">
        <v>34.4848</v>
      </c>
      <c r="N170" s="1">
        <v>346</v>
      </c>
      <c r="O170" s="1">
        <v>3464.6257000000001</v>
      </c>
      <c r="P170" s="2">
        <v>1</v>
      </c>
      <c r="Q170" s="15">
        <f t="shared" si="9"/>
        <v>9.9866487742095778E-2</v>
      </c>
    </row>
    <row r="171" spans="1:17" x14ac:dyDescent="0.4">
      <c r="A171" s="1">
        <v>35.081600000000002</v>
      </c>
      <c r="B171" s="1">
        <v>470</v>
      </c>
      <c r="C171" s="1">
        <v>5605.3624</v>
      </c>
      <c r="D171" s="2">
        <v>1</v>
      </c>
      <c r="E171" s="15">
        <f t="shared" si="8"/>
        <v>8.3848280710628095E-2</v>
      </c>
      <c r="M171" s="1">
        <v>34.485799999999998</v>
      </c>
      <c r="N171" s="1">
        <v>378</v>
      </c>
      <c r="O171" s="1">
        <v>3465.2049000000002</v>
      </c>
      <c r="P171" s="2">
        <v>1</v>
      </c>
      <c r="Q171" s="15">
        <f t="shared" si="9"/>
        <v>0.10908445846881955</v>
      </c>
    </row>
    <row r="172" spans="1:17" x14ac:dyDescent="0.4">
      <c r="A172" s="1">
        <v>35.082599999999999</v>
      </c>
      <c r="B172" s="1">
        <v>430</v>
      </c>
      <c r="C172" s="1">
        <v>5604.5011000000004</v>
      </c>
      <c r="D172" s="2">
        <v>1</v>
      </c>
      <c r="E172" s="15">
        <f t="shared" si="8"/>
        <v>7.6724045963698709E-2</v>
      </c>
      <c r="M172" s="1">
        <v>34.486800000000002</v>
      </c>
      <c r="N172" s="1">
        <v>365</v>
      </c>
      <c r="O172" s="1">
        <v>3463.9546</v>
      </c>
      <c r="P172" s="2">
        <v>1</v>
      </c>
      <c r="Q172" s="15">
        <f t="shared" si="9"/>
        <v>0.10537089602733246</v>
      </c>
    </row>
    <row r="173" spans="1:17" x14ac:dyDescent="0.4">
      <c r="A173" s="1">
        <v>35.083599999999997</v>
      </c>
      <c r="B173" s="1">
        <v>392</v>
      </c>
      <c r="C173" s="1">
        <v>5604.1855999999998</v>
      </c>
      <c r="D173" s="2">
        <v>1</v>
      </c>
      <c r="E173" s="15">
        <f t="shared" si="8"/>
        <v>6.9947719076256146E-2</v>
      </c>
      <c r="M173" s="1">
        <v>34.4878</v>
      </c>
      <c r="N173" s="1">
        <v>347</v>
      </c>
      <c r="O173" s="1">
        <v>3465.1790999999998</v>
      </c>
      <c r="P173" s="2">
        <v>1</v>
      </c>
      <c r="Q173" s="15">
        <f t="shared" si="9"/>
        <v>0.10013912412204033</v>
      </c>
    </row>
    <row r="174" spans="1:17" x14ac:dyDescent="0.4">
      <c r="A174" s="1">
        <v>35.084600000000002</v>
      </c>
      <c r="B174" s="1">
        <v>449</v>
      </c>
      <c r="C174" s="1">
        <v>5604.3757999999998</v>
      </c>
      <c r="D174" s="2">
        <v>1</v>
      </c>
      <c r="E174" s="15">
        <f t="shared" si="8"/>
        <v>8.0115969382352992E-2</v>
      </c>
      <c r="M174" s="1">
        <v>34.488799999999998</v>
      </c>
      <c r="N174" s="1">
        <v>334</v>
      </c>
      <c r="O174" s="1">
        <v>3465.7211000000002</v>
      </c>
      <c r="P174" s="2">
        <v>1</v>
      </c>
      <c r="Q174" s="15">
        <f t="shared" si="9"/>
        <v>9.6372440355918992E-2</v>
      </c>
    </row>
    <row r="175" spans="1:17" x14ac:dyDescent="0.4">
      <c r="A175" s="1">
        <v>35.085599999999999</v>
      </c>
      <c r="B175" s="1">
        <v>411</v>
      </c>
      <c r="C175" s="1">
        <v>5604.0748000000003</v>
      </c>
      <c r="D175" s="2">
        <v>1</v>
      </c>
      <c r="E175" s="15">
        <f t="shared" si="8"/>
        <v>7.333949218522208E-2</v>
      </c>
      <c r="M175" s="1">
        <v>34.489800000000002</v>
      </c>
      <c r="N175" s="1">
        <v>311</v>
      </c>
      <c r="O175" s="1">
        <v>3464.2453999999998</v>
      </c>
      <c r="P175" s="2">
        <v>1</v>
      </c>
      <c r="Q175" s="15">
        <f t="shared" si="9"/>
        <v>8.9774240589306983E-2</v>
      </c>
    </row>
    <row r="176" spans="1:17" x14ac:dyDescent="0.4">
      <c r="A176" s="1">
        <v>35.086599999999997</v>
      </c>
      <c r="B176" s="1">
        <v>368</v>
      </c>
      <c r="C176" s="1">
        <v>5606.0934999999999</v>
      </c>
      <c r="D176" s="2">
        <v>1</v>
      </c>
      <c r="E176" s="15">
        <f t="shared" si="8"/>
        <v>6.5642858079338132E-2</v>
      </c>
      <c r="M176" s="1">
        <v>34.4908</v>
      </c>
      <c r="N176" s="1">
        <v>291</v>
      </c>
      <c r="O176" s="1">
        <v>3464.4358999999999</v>
      </c>
      <c r="P176" s="2">
        <v>1</v>
      </c>
      <c r="Q176" s="15">
        <f t="shared" si="9"/>
        <v>8.3996358541371774E-2</v>
      </c>
    </row>
    <row r="177" spans="1:17" x14ac:dyDescent="0.4">
      <c r="A177" s="1">
        <v>35.087600000000002</v>
      </c>
      <c r="B177" s="1">
        <v>379</v>
      </c>
      <c r="C177" s="1">
        <v>5605.6813000000002</v>
      </c>
      <c r="D177" s="2">
        <v>1</v>
      </c>
      <c r="E177" s="15">
        <f t="shared" si="8"/>
        <v>6.7609979896645217E-2</v>
      </c>
      <c r="M177" s="1">
        <v>34.491799999999998</v>
      </c>
      <c r="N177" s="1">
        <v>299</v>
      </c>
      <c r="O177" s="1">
        <v>3465.6005</v>
      </c>
      <c r="P177" s="2">
        <v>1</v>
      </c>
      <c r="Q177" s="15">
        <f t="shared" si="9"/>
        <v>8.6276534182171308E-2</v>
      </c>
    </row>
    <row r="178" spans="1:17" x14ac:dyDescent="0.4">
      <c r="A178" s="1">
        <v>35.0886</v>
      </c>
      <c r="B178" s="1">
        <v>394</v>
      </c>
      <c r="C178" s="1">
        <v>5604.9811</v>
      </c>
      <c r="D178" s="2">
        <v>1</v>
      </c>
      <c r="E178" s="15">
        <f t="shared" si="8"/>
        <v>7.0294617050537425E-2</v>
      </c>
      <c r="M178" s="1">
        <v>34.492800000000003</v>
      </c>
      <c r="N178" s="1">
        <v>279</v>
      </c>
      <c r="O178" s="1">
        <v>3463.1412999999998</v>
      </c>
      <c r="P178" s="2">
        <v>1</v>
      </c>
      <c r="Q178" s="15">
        <f t="shared" si="9"/>
        <v>8.0562696070183459E-2</v>
      </c>
    </row>
    <row r="179" spans="1:17" x14ac:dyDescent="0.4">
      <c r="A179" s="1">
        <v>35.089599999999997</v>
      </c>
      <c r="B179" s="1">
        <v>323</v>
      </c>
      <c r="C179" s="1">
        <v>5607.9111999999996</v>
      </c>
      <c r="D179" s="2">
        <v>1</v>
      </c>
      <c r="E179" s="15">
        <f t="shared" si="8"/>
        <v>5.7597203037023842E-2</v>
      </c>
      <c r="M179" s="1">
        <v>34.4938</v>
      </c>
      <c r="N179" s="1">
        <v>272</v>
      </c>
      <c r="O179" s="1">
        <v>3462.9996000000001</v>
      </c>
      <c r="P179" s="2">
        <v>1</v>
      </c>
      <c r="Q179" s="15">
        <f t="shared" si="9"/>
        <v>7.8544623568538668E-2</v>
      </c>
    </row>
    <row r="180" spans="1:17" x14ac:dyDescent="0.4">
      <c r="A180" s="1">
        <v>35.090600000000002</v>
      </c>
      <c r="B180" s="1">
        <v>332</v>
      </c>
      <c r="C180" s="1">
        <v>5607.3702000000003</v>
      </c>
      <c r="D180" s="2">
        <v>1</v>
      </c>
      <c r="E180" s="15">
        <f t="shared" si="8"/>
        <v>5.9207790489737948E-2</v>
      </c>
      <c r="M180" s="1">
        <v>34.494799999999998</v>
      </c>
      <c r="N180" s="1">
        <v>292</v>
      </c>
      <c r="O180" s="1">
        <v>3461.7278000000001</v>
      </c>
      <c r="P180" s="2">
        <v>1</v>
      </c>
      <c r="Q180" s="15">
        <f t="shared" si="9"/>
        <v>8.435094174648855E-2</v>
      </c>
    </row>
    <row r="181" spans="1:17" x14ac:dyDescent="0.4">
      <c r="A181" s="1">
        <v>35.0916</v>
      </c>
      <c r="B181" s="1">
        <v>341</v>
      </c>
      <c r="C181" s="1">
        <v>5607.5702000000001</v>
      </c>
      <c r="D181" s="2">
        <v>1</v>
      </c>
      <c r="E181" s="15">
        <f t="shared" si="8"/>
        <v>6.0810652000397605E-2</v>
      </c>
      <c r="M181" s="1">
        <v>34.495800000000003</v>
      </c>
      <c r="N181" s="1">
        <v>270</v>
      </c>
      <c r="O181" s="1">
        <v>3462.4726000000001</v>
      </c>
      <c r="P181" s="2">
        <v>1</v>
      </c>
      <c r="Q181" s="15">
        <f t="shared" si="9"/>
        <v>7.7978956425532431E-2</v>
      </c>
    </row>
    <row r="182" spans="1:17" x14ac:dyDescent="0.4">
      <c r="A182" s="1">
        <v>35.092599999999997</v>
      </c>
      <c r="B182" s="1">
        <v>304</v>
      </c>
      <c r="C182" s="1">
        <v>5606.8324000000002</v>
      </c>
      <c r="D182" s="2">
        <v>1</v>
      </c>
      <c r="E182" s="15">
        <f t="shared" si="8"/>
        <v>5.4219562546581557E-2</v>
      </c>
      <c r="M182" s="1">
        <v>34.4968</v>
      </c>
      <c r="N182" s="1">
        <v>235</v>
      </c>
      <c r="O182" s="1">
        <v>3462.2370999999998</v>
      </c>
      <c r="P182" s="2">
        <v>1</v>
      </c>
      <c r="Q182" s="15">
        <f t="shared" si="9"/>
        <v>6.7875189714765638E-2</v>
      </c>
    </row>
    <row r="183" spans="1:17" x14ac:dyDescent="0.4">
      <c r="A183" s="1">
        <v>35.093600000000002</v>
      </c>
      <c r="B183" s="1">
        <v>308</v>
      </c>
      <c r="C183" s="1">
        <v>5606.9305999999997</v>
      </c>
      <c r="D183" s="2">
        <v>1</v>
      </c>
      <c r="E183" s="15">
        <f t="shared" si="8"/>
        <v>5.4932015744942518E-2</v>
      </c>
      <c r="M183" s="1">
        <v>34.497799999999998</v>
      </c>
      <c r="N183" s="1">
        <v>258</v>
      </c>
      <c r="O183" s="1">
        <v>3461.4218999999998</v>
      </c>
      <c r="P183" s="2">
        <v>1</v>
      </c>
      <c r="Q183" s="15">
        <f t="shared" si="9"/>
        <v>7.4535843203626814E-2</v>
      </c>
    </row>
    <row r="184" spans="1:17" x14ac:dyDescent="0.4">
      <c r="A184" s="1">
        <v>35.0946</v>
      </c>
      <c r="B184" s="1">
        <v>311</v>
      </c>
      <c r="C184" s="1">
        <v>5600.8307999999997</v>
      </c>
      <c r="D184" s="2">
        <v>1</v>
      </c>
      <c r="E184" s="15">
        <f t="shared" si="8"/>
        <v>5.5527476387967303E-2</v>
      </c>
      <c r="M184" s="1">
        <v>34.498800000000003</v>
      </c>
      <c r="N184" s="1">
        <v>226</v>
      </c>
      <c r="O184" s="1">
        <v>3461.2228</v>
      </c>
      <c r="P184" s="2">
        <v>1</v>
      </c>
      <c r="Q184" s="15">
        <f t="shared" si="9"/>
        <v>6.5294843198189956E-2</v>
      </c>
    </row>
    <row r="185" spans="1:17" x14ac:dyDescent="0.4">
      <c r="A185" s="1">
        <v>35.095599999999997</v>
      </c>
      <c r="B185" s="1">
        <v>310</v>
      </c>
      <c r="C185" s="1">
        <v>5598.2408999999998</v>
      </c>
      <c r="D185" s="2">
        <v>1</v>
      </c>
      <c r="E185" s="15">
        <f t="shared" si="8"/>
        <v>5.5374537383698512E-2</v>
      </c>
      <c r="M185" s="1">
        <v>34.4998</v>
      </c>
      <c r="N185" s="1">
        <v>231</v>
      </c>
      <c r="O185" s="1">
        <v>3460.3991999999998</v>
      </c>
      <c r="P185" s="2">
        <v>1</v>
      </c>
      <c r="Q185" s="15">
        <f t="shared" si="9"/>
        <v>6.67553038389328E-2</v>
      </c>
    </row>
    <row r="186" spans="1:17" x14ac:dyDescent="0.4">
      <c r="A186" s="1">
        <v>35.096600000000002</v>
      </c>
      <c r="B186" s="1">
        <v>324</v>
      </c>
      <c r="C186" s="1">
        <v>5596.1064999999999</v>
      </c>
      <c r="D186" s="2">
        <v>1</v>
      </c>
      <c r="E186" s="15">
        <f t="shared" si="8"/>
        <v>5.7897397056328362E-2</v>
      </c>
      <c r="M186" s="1">
        <v>34.500799999999998</v>
      </c>
      <c r="N186" s="1">
        <v>211</v>
      </c>
      <c r="O186" s="1">
        <v>3460.3267000000001</v>
      </c>
      <c r="P186" s="2">
        <v>1</v>
      </c>
      <c r="Q186" s="15">
        <f t="shared" si="9"/>
        <v>6.0976901400668325E-2</v>
      </c>
    </row>
    <row r="187" spans="1:17" x14ac:dyDescent="0.4">
      <c r="A187" s="1">
        <v>35.0976</v>
      </c>
      <c r="B187" s="1">
        <v>283</v>
      </c>
      <c r="C187" s="1">
        <v>5592.7285000000002</v>
      </c>
      <c r="D187" s="2">
        <v>1</v>
      </c>
      <c r="E187" s="15">
        <f t="shared" si="8"/>
        <v>5.0601419325111169E-2</v>
      </c>
      <c r="M187" s="1">
        <v>34.501800000000003</v>
      </c>
      <c r="N187" s="1">
        <v>217</v>
      </c>
      <c r="O187" s="1">
        <v>3457.9902000000002</v>
      </c>
      <c r="P187" s="2">
        <v>1</v>
      </c>
      <c r="Q187" s="15">
        <f t="shared" si="9"/>
        <v>6.2753214280364358E-2</v>
      </c>
    </row>
    <row r="188" spans="1:17" x14ac:dyDescent="0.4">
      <c r="A188" s="1">
        <v>35.098599999999998</v>
      </c>
      <c r="B188" s="1">
        <v>243</v>
      </c>
      <c r="C188" s="1">
        <v>5589.6813000000002</v>
      </c>
      <c r="D188" s="2">
        <v>1</v>
      </c>
      <c r="E188" s="15">
        <f t="shared" si="8"/>
        <v>4.3472961508556847E-2</v>
      </c>
      <c r="M188" s="1">
        <v>34.502800000000001</v>
      </c>
      <c r="N188" s="1">
        <v>222</v>
      </c>
      <c r="O188" s="1">
        <v>3459.4793</v>
      </c>
      <c r="P188" s="2">
        <v>1</v>
      </c>
      <c r="Q188" s="15">
        <f t="shared" si="9"/>
        <v>6.4171506966380756E-2</v>
      </c>
    </row>
    <row r="189" spans="1:17" x14ac:dyDescent="0.4">
      <c r="A189" s="1">
        <v>35.099600000000002</v>
      </c>
      <c r="B189" s="1">
        <v>238</v>
      </c>
      <c r="C189" s="1">
        <v>5585.7614000000003</v>
      </c>
      <c r="D189" s="2">
        <v>1</v>
      </c>
      <c r="E189" s="15">
        <f t="shared" si="8"/>
        <v>4.2608336260120241E-2</v>
      </c>
      <c r="M189" s="1">
        <v>34.503799999999998</v>
      </c>
      <c r="N189" s="1">
        <v>192</v>
      </c>
      <c r="O189" s="1">
        <v>3459.2438999999999</v>
      </c>
      <c r="P189" s="2">
        <v>1</v>
      </c>
      <c r="Q189" s="15">
        <f t="shared" si="9"/>
        <v>5.5503458429167138E-2</v>
      </c>
    </row>
    <row r="190" spans="1:17" x14ac:dyDescent="0.4">
      <c r="A190" s="1">
        <v>35.1006</v>
      </c>
      <c r="B190" s="1">
        <v>250</v>
      </c>
      <c r="C190" s="1">
        <v>5583.8166000000001</v>
      </c>
      <c r="D190" s="2">
        <v>1</v>
      </c>
      <c r="E190" s="15">
        <f t="shared" si="8"/>
        <v>4.4772244131370646E-2</v>
      </c>
      <c r="M190" s="1">
        <v>34.504800000000003</v>
      </c>
      <c r="N190" s="1">
        <v>206</v>
      </c>
      <c r="O190" s="1">
        <v>3458.9279999999999</v>
      </c>
      <c r="P190" s="2">
        <v>1</v>
      </c>
      <c r="Q190" s="15">
        <f t="shared" si="9"/>
        <v>5.95560242942322E-2</v>
      </c>
    </row>
    <row r="191" spans="1:17" x14ac:dyDescent="0.4">
      <c r="A191" s="1">
        <v>35.101599999999998</v>
      </c>
      <c r="B191" s="1">
        <v>228</v>
      </c>
      <c r="C191" s="1">
        <v>5581.9712</v>
      </c>
      <c r="D191" s="2">
        <v>1</v>
      </c>
      <c r="E191" s="15">
        <f t="shared" si="8"/>
        <v>4.084578580412597E-2</v>
      </c>
      <c r="M191" s="1">
        <v>34.505800000000001</v>
      </c>
      <c r="N191" s="1">
        <v>161</v>
      </c>
      <c r="O191" s="1">
        <v>3457.8697999999999</v>
      </c>
      <c r="P191" s="2">
        <v>1</v>
      </c>
      <c r="Q191" s="15">
        <f t="shared" si="9"/>
        <v>4.65604575394944E-2</v>
      </c>
    </row>
    <row r="192" spans="1:17" x14ac:dyDescent="0.4">
      <c r="A192" s="1">
        <v>35.102600000000002</v>
      </c>
      <c r="B192" s="1">
        <v>234</v>
      </c>
      <c r="C192" s="1">
        <v>5582.3487999999998</v>
      </c>
      <c r="D192" s="2">
        <v>1</v>
      </c>
      <c r="E192" s="15">
        <f t="shared" si="8"/>
        <v>4.1917839315235912E-2</v>
      </c>
      <c r="M192" s="1">
        <v>34.506799999999998</v>
      </c>
      <c r="N192" s="1">
        <v>164</v>
      </c>
      <c r="O192" s="1">
        <v>3457.5104999999999</v>
      </c>
      <c r="P192" s="2">
        <v>1</v>
      </c>
      <c r="Q192" s="15">
        <f t="shared" si="9"/>
        <v>4.7432972365521381E-2</v>
      </c>
    </row>
    <row r="193" spans="1:17" x14ac:dyDescent="0.4">
      <c r="A193" s="1">
        <v>35.1036</v>
      </c>
      <c r="B193" s="1">
        <v>243</v>
      </c>
      <c r="C193" s="1">
        <v>5579.2366000000002</v>
      </c>
      <c r="D193" s="2">
        <v>1</v>
      </c>
      <c r="E193" s="15">
        <f t="shared" si="8"/>
        <v>4.3554345768379854E-2</v>
      </c>
      <c r="M193" s="1">
        <v>34.507800000000003</v>
      </c>
      <c r="N193" s="1">
        <v>179</v>
      </c>
      <c r="O193" s="1">
        <v>3457.5228999999999</v>
      </c>
      <c r="P193" s="2">
        <v>1</v>
      </c>
      <c r="Q193" s="15">
        <f t="shared" si="9"/>
        <v>5.1771168312435473E-2</v>
      </c>
    </row>
    <row r="194" spans="1:17" x14ac:dyDescent="0.4">
      <c r="A194" s="1">
        <v>35.104599999999998</v>
      </c>
      <c r="B194" s="1">
        <v>237</v>
      </c>
      <c r="C194" s="1">
        <v>5575.4296999999997</v>
      </c>
      <c r="D194" s="2">
        <v>1</v>
      </c>
      <c r="E194" s="15">
        <f t="shared" si="8"/>
        <v>4.2507934410867025E-2</v>
      </c>
      <c r="M194" s="1">
        <v>34.508800000000001</v>
      </c>
      <c r="N194" s="1">
        <v>167</v>
      </c>
      <c r="O194" s="1">
        <v>3458.5747999999999</v>
      </c>
      <c r="P194" s="2">
        <v>1</v>
      </c>
      <c r="Q194" s="15">
        <f t="shared" si="9"/>
        <v>4.8285785231535254E-2</v>
      </c>
    </row>
    <row r="195" spans="1:17" x14ac:dyDescent="0.4">
      <c r="A195" s="1">
        <v>35.105600000000003</v>
      </c>
      <c r="B195" s="1">
        <v>219</v>
      </c>
      <c r="C195" s="1">
        <v>5573.1117999999997</v>
      </c>
      <c r="D195" s="2">
        <v>1</v>
      </c>
      <c r="E195" s="15">
        <f t="shared" si="8"/>
        <v>3.9295820335059496E-2</v>
      </c>
      <c r="M195" s="1">
        <v>34.509799999999998</v>
      </c>
      <c r="N195" s="1">
        <v>141</v>
      </c>
      <c r="O195" s="1">
        <v>3456.6824999999999</v>
      </c>
      <c r="P195" s="2">
        <v>1</v>
      </c>
      <c r="Q195" s="15">
        <f t="shared" si="9"/>
        <v>4.0790555684532784E-2</v>
      </c>
    </row>
    <row r="196" spans="1:17" x14ac:dyDescent="0.4">
      <c r="A196" s="1">
        <v>35.1066</v>
      </c>
      <c r="B196" s="1">
        <v>187</v>
      </c>
      <c r="C196" s="1">
        <v>5572.8671999999997</v>
      </c>
      <c r="D196" s="2">
        <v>1</v>
      </c>
      <c r="E196" s="15">
        <f t="shared" si="8"/>
        <v>3.3555438033764741E-2</v>
      </c>
      <c r="M196" s="1">
        <v>34.510800000000003</v>
      </c>
      <c r="N196" s="1">
        <v>168</v>
      </c>
      <c r="O196" s="1">
        <v>3458.7575000000002</v>
      </c>
      <c r="P196" s="2">
        <v>1</v>
      </c>
      <c r="Q196" s="15">
        <f t="shared" si="9"/>
        <v>4.8572355824309736E-2</v>
      </c>
    </row>
    <row r="197" spans="1:17" x14ac:dyDescent="0.4">
      <c r="A197" s="1">
        <v>35.107599999999998</v>
      </c>
      <c r="B197" s="1">
        <v>212</v>
      </c>
      <c r="C197" s="1">
        <v>5572.8972000000003</v>
      </c>
      <c r="D197" s="2">
        <v>1</v>
      </c>
      <c r="E197" s="15">
        <f t="shared" si="8"/>
        <v>3.8041254376628371E-2</v>
      </c>
      <c r="M197" s="1">
        <v>34.511800000000001</v>
      </c>
      <c r="N197" s="1">
        <v>118</v>
      </c>
      <c r="O197" s="1">
        <v>3457.2763</v>
      </c>
      <c r="P197" s="2">
        <v>1</v>
      </c>
      <c r="Q197" s="15">
        <f t="shared" si="9"/>
        <v>3.4130913979886421E-2</v>
      </c>
    </row>
    <row r="198" spans="1:17" x14ac:dyDescent="0.4">
      <c r="A198" s="1">
        <v>35.108600000000003</v>
      </c>
      <c r="B198" s="1">
        <v>213</v>
      </c>
      <c r="C198" s="1">
        <v>5570.2897000000003</v>
      </c>
      <c r="D198" s="2">
        <v>1</v>
      </c>
      <c r="E198" s="15">
        <f t="shared" si="8"/>
        <v>3.8238585687922121E-2</v>
      </c>
      <c r="M198" s="1">
        <v>34.512799999999999</v>
      </c>
      <c r="N198" s="1">
        <v>149</v>
      </c>
      <c r="O198" s="1">
        <v>3456.8083000000001</v>
      </c>
      <c r="P198" s="2">
        <v>1</v>
      </c>
      <c r="Q198" s="15">
        <f t="shared" si="9"/>
        <v>4.3103344781948133E-2</v>
      </c>
    </row>
    <row r="199" spans="1:17" x14ac:dyDescent="0.4">
      <c r="A199" s="1">
        <v>35.1096</v>
      </c>
      <c r="B199" s="1">
        <v>225</v>
      </c>
      <c r="C199" s="1">
        <v>5573.4014999999999</v>
      </c>
      <c r="D199" s="2">
        <v>1</v>
      </c>
      <c r="E199" s="15">
        <f t="shared" si="8"/>
        <v>4.0370319633351373E-2</v>
      </c>
      <c r="M199" s="1">
        <v>34.513800000000003</v>
      </c>
      <c r="N199" s="1">
        <v>150</v>
      </c>
      <c r="O199" s="1">
        <v>3455.7800999999999</v>
      </c>
      <c r="P199" s="2">
        <v>1</v>
      </c>
      <c r="Q199" s="15">
        <f t="shared" si="9"/>
        <v>4.3405539605948888E-2</v>
      </c>
    </row>
    <row r="200" spans="1:17" x14ac:dyDescent="0.4">
      <c r="A200" s="1">
        <v>35.110599999999998</v>
      </c>
      <c r="B200" s="1">
        <v>206</v>
      </c>
      <c r="C200" s="1">
        <v>5573.4533000000001</v>
      </c>
      <c r="D200" s="2">
        <v>1</v>
      </c>
      <c r="E200" s="15">
        <f t="shared" si="8"/>
        <v>3.6960926899665597E-2</v>
      </c>
      <c r="M200" s="1">
        <v>34.514800000000001</v>
      </c>
      <c r="N200" s="1">
        <v>134</v>
      </c>
      <c r="O200" s="1">
        <v>3456.4850999999999</v>
      </c>
      <c r="P200" s="2">
        <v>1</v>
      </c>
      <c r="Q200" s="15">
        <f t="shared" si="9"/>
        <v>3.876770653517355E-2</v>
      </c>
    </row>
    <row r="201" spans="1:17" x14ac:dyDescent="0.4">
      <c r="A201" s="1">
        <v>35.111600000000003</v>
      </c>
      <c r="B201" s="1">
        <v>197</v>
      </c>
      <c r="C201" s="1">
        <v>5569.7165999999997</v>
      </c>
      <c r="D201" s="2">
        <v>1</v>
      </c>
      <c r="E201" s="15">
        <f t="shared" si="8"/>
        <v>3.5369842695407522E-2</v>
      </c>
      <c r="M201" s="1">
        <v>34.515799999999999</v>
      </c>
      <c r="N201" s="1">
        <v>122</v>
      </c>
      <c r="O201" s="1">
        <v>3454.3235</v>
      </c>
      <c r="P201" s="2">
        <v>1</v>
      </c>
      <c r="Q201" s="15">
        <f t="shared" si="9"/>
        <v>3.5318058658953051E-2</v>
      </c>
    </row>
    <row r="202" spans="1:17" x14ac:dyDescent="0.4">
      <c r="A202" s="1">
        <v>35.1126</v>
      </c>
      <c r="B202" s="1">
        <v>202</v>
      </c>
      <c r="C202" s="1">
        <v>5573.2161999999998</v>
      </c>
      <c r="D202" s="2">
        <v>1</v>
      </c>
      <c r="E202" s="15">
        <f t="shared" si="8"/>
        <v>3.6244780886124608E-2</v>
      </c>
      <c r="M202" s="1">
        <v>34.516800000000003</v>
      </c>
      <c r="N202" s="1">
        <v>142</v>
      </c>
      <c r="O202" s="1">
        <v>3456.7597000000001</v>
      </c>
      <c r="P202" s="2">
        <v>1</v>
      </c>
      <c r="Q202" s="15">
        <f t="shared" si="9"/>
        <v>4.1078932967194684E-2</v>
      </c>
    </row>
    <row r="203" spans="1:17" x14ac:dyDescent="0.4">
      <c r="A203" s="1">
        <v>35.113599999999998</v>
      </c>
      <c r="B203" s="1">
        <v>180</v>
      </c>
      <c r="C203" s="1">
        <v>5573.2112999999999</v>
      </c>
      <c r="D203" s="2">
        <v>1</v>
      </c>
      <c r="E203" s="15">
        <f t="shared" si="8"/>
        <v>3.2297357898488435E-2</v>
      </c>
      <c r="M203" s="1">
        <v>34.517800000000001</v>
      </c>
      <c r="N203" s="1">
        <v>137</v>
      </c>
      <c r="O203" s="1">
        <v>3456.1833999999999</v>
      </c>
      <c r="P203" s="2">
        <v>1</v>
      </c>
      <c r="Q203" s="15">
        <f t="shared" si="9"/>
        <v>3.9639100170436557E-2</v>
      </c>
    </row>
    <row r="204" spans="1:17" x14ac:dyDescent="0.4">
      <c r="A204" s="1">
        <v>35.114600000000003</v>
      </c>
      <c r="B204" s="1">
        <v>207</v>
      </c>
      <c r="C204" s="1">
        <v>5570.2620999999999</v>
      </c>
      <c r="D204" s="2">
        <v>1</v>
      </c>
      <c r="E204" s="15">
        <f t="shared" si="8"/>
        <v>3.7161626559726879E-2</v>
      </c>
      <c r="M204" s="1">
        <v>34.518799999999999</v>
      </c>
      <c r="N204" s="1">
        <v>133</v>
      </c>
      <c r="O204" s="1">
        <v>3456.2525999999998</v>
      </c>
      <c r="P204" s="2">
        <v>1</v>
      </c>
      <c r="Q204" s="15">
        <f t="shared" si="9"/>
        <v>3.8480983710507732E-2</v>
      </c>
    </row>
    <row r="205" spans="1:17" x14ac:dyDescent="0.4">
      <c r="A205" s="1">
        <v>35.115600000000001</v>
      </c>
      <c r="B205" s="1">
        <v>180</v>
      </c>
      <c r="C205" s="1">
        <v>5575.8248000000003</v>
      </c>
      <c r="D205" s="2">
        <v>1</v>
      </c>
      <c r="E205" s="15">
        <f t="shared" si="8"/>
        <v>3.2282219484371169E-2</v>
      </c>
      <c r="M205" s="1">
        <v>34.519799999999996</v>
      </c>
      <c r="N205" s="1">
        <v>129</v>
      </c>
      <c r="O205" s="1">
        <v>3455.0479</v>
      </c>
      <c r="P205" s="2">
        <v>1</v>
      </c>
      <c r="Q205" s="15">
        <f t="shared" si="9"/>
        <v>3.7336674840311189E-2</v>
      </c>
    </row>
    <row r="206" spans="1:17" x14ac:dyDescent="0.4">
      <c r="A206" s="1">
        <v>35.116599999999998</v>
      </c>
      <c r="B206" s="1">
        <v>166</v>
      </c>
      <c r="C206" s="1">
        <v>5578.0056000000004</v>
      </c>
      <c r="D206" s="2">
        <v>1</v>
      </c>
      <c r="E206" s="15">
        <f t="shared" si="8"/>
        <v>2.9759740649955603E-2</v>
      </c>
      <c r="M206" s="1">
        <v>34.520800000000001</v>
      </c>
      <c r="N206" s="1">
        <v>121</v>
      </c>
      <c r="O206" s="1">
        <v>3454.9517999999998</v>
      </c>
      <c r="P206" s="2">
        <v>1</v>
      </c>
      <c r="Q206" s="15">
        <f t="shared" si="9"/>
        <v>3.5022196257557051E-2</v>
      </c>
    </row>
    <row r="207" spans="1:17" x14ac:dyDescent="0.4">
      <c r="A207" s="1">
        <v>35.117600000000003</v>
      </c>
      <c r="B207" s="1">
        <v>183</v>
      </c>
      <c r="C207" s="1">
        <v>5577.2515999999996</v>
      </c>
      <c r="D207" s="2">
        <v>1</v>
      </c>
      <c r="E207" s="15">
        <f t="shared" si="8"/>
        <v>3.2811860235962817E-2</v>
      </c>
      <c r="M207" s="1">
        <v>34.521799999999999</v>
      </c>
      <c r="N207" s="1">
        <v>110</v>
      </c>
      <c r="O207" s="1">
        <v>3455.5981999999999</v>
      </c>
      <c r="P207" s="2">
        <v>1</v>
      </c>
      <c r="Q207" s="15">
        <f t="shared" si="9"/>
        <v>3.1832404589167806E-2</v>
      </c>
    </row>
    <row r="208" spans="1:17" x14ac:dyDescent="0.4">
      <c r="A208" s="1">
        <v>35.118600000000001</v>
      </c>
      <c r="B208" s="1">
        <v>131</v>
      </c>
      <c r="C208" s="1">
        <v>5576.7828</v>
      </c>
      <c r="D208" s="2">
        <v>1</v>
      </c>
      <c r="E208" s="15">
        <f t="shared" si="8"/>
        <v>2.3490246025002087E-2</v>
      </c>
      <c r="M208" s="1">
        <v>34.522799999999997</v>
      </c>
      <c r="N208" s="1">
        <v>119</v>
      </c>
      <c r="O208" s="1">
        <v>3454.2442999999998</v>
      </c>
      <c r="P208" s="2">
        <v>1</v>
      </c>
      <c r="Q208" s="15">
        <f t="shared" si="9"/>
        <v>3.4450371677533058E-2</v>
      </c>
    </row>
    <row r="209" spans="1:17" x14ac:dyDescent="0.4">
      <c r="A209" s="1">
        <v>35.119599999999998</v>
      </c>
      <c r="B209" s="1">
        <v>152</v>
      </c>
      <c r="C209" s="1">
        <v>5577.9865</v>
      </c>
      <c r="D209" s="2">
        <v>1</v>
      </c>
      <c r="E209" s="15">
        <f t="shared" si="8"/>
        <v>2.7249976313137365E-2</v>
      </c>
      <c r="M209" s="1">
        <v>34.523800000000001</v>
      </c>
      <c r="N209" s="1">
        <v>110</v>
      </c>
      <c r="O209" s="1">
        <v>3453.0052000000001</v>
      </c>
      <c r="P209" s="2">
        <v>1</v>
      </c>
      <c r="Q209" s="15">
        <f t="shared" si="9"/>
        <v>3.1856308817606184E-2</v>
      </c>
    </row>
    <row r="210" spans="1:17" x14ac:dyDescent="0.4">
      <c r="A210" s="1">
        <v>35.120600000000003</v>
      </c>
      <c r="B210" s="1">
        <v>141</v>
      </c>
      <c r="C210" s="1">
        <v>5577.4513999999999</v>
      </c>
      <c r="D210" s="2">
        <v>1</v>
      </c>
      <c r="E210" s="15">
        <f t="shared" si="8"/>
        <v>2.5280363715943808E-2</v>
      </c>
      <c r="M210" s="1">
        <v>34.524799999999999</v>
      </c>
      <c r="N210" s="1">
        <v>119</v>
      </c>
      <c r="O210" s="1">
        <v>3452.9935</v>
      </c>
      <c r="P210" s="2">
        <v>1</v>
      </c>
      <c r="Q210" s="15">
        <f t="shared" si="9"/>
        <v>3.4462850856800051E-2</v>
      </c>
    </row>
    <row r="211" spans="1:17" x14ac:dyDescent="0.4">
      <c r="A211" s="1">
        <v>35.121600000000001</v>
      </c>
      <c r="B211" s="1">
        <v>137</v>
      </c>
      <c r="C211" s="1">
        <v>5579.3940000000002</v>
      </c>
      <c r="D211" s="2">
        <v>1</v>
      </c>
      <c r="E211" s="15">
        <f t="shared" si="8"/>
        <v>2.4554638012658721E-2</v>
      </c>
      <c r="M211" s="1">
        <v>34.525799999999997</v>
      </c>
      <c r="N211" s="1">
        <v>112</v>
      </c>
      <c r="O211" s="1">
        <v>3454.7316000000001</v>
      </c>
      <c r="P211" s="2">
        <v>1</v>
      </c>
      <c r="Q211" s="15">
        <f t="shared" si="9"/>
        <v>3.2419305742883181E-2</v>
      </c>
    </row>
    <row r="212" spans="1:17" x14ac:dyDescent="0.4">
      <c r="A212" s="1">
        <v>35.122599999999998</v>
      </c>
      <c r="B212" s="1">
        <v>143</v>
      </c>
      <c r="C212" s="1">
        <v>5577.9286000000002</v>
      </c>
      <c r="D212" s="2">
        <v>1</v>
      </c>
      <c r="E212" s="15">
        <f t="shared" si="8"/>
        <v>2.563675698537984E-2</v>
      </c>
      <c r="M212" s="1">
        <v>34.526800000000001</v>
      </c>
      <c r="N212" s="1">
        <v>131</v>
      </c>
      <c r="O212" s="1">
        <v>3453.8847999999998</v>
      </c>
      <c r="P212" s="2">
        <v>1</v>
      </c>
      <c r="Q212" s="15">
        <f t="shared" si="9"/>
        <v>3.7928306120690536E-2</v>
      </c>
    </row>
    <row r="213" spans="1:17" x14ac:dyDescent="0.4">
      <c r="A213" s="1">
        <v>35.123600000000003</v>
      </c>
      <c r="B213" s="1">
        <v>162</v>
      </c>
      <c r="C213" s="1">
        <v>5578.9341999999997</v>
      </c>
      <c r="D213" s="2">
        <v>1</v>
      </c>
      <c r="E213" s="15">
        <f t="shared" ref="E213:E221" si="10">B213/C213*D213</f>
        <v>2.9037804389232626E-2</v>
      </c>
      <c r="M213" s="1">
        <v>34.527799999999999</v>
      </c>
      <c r="N213" s="1">
        <v>89</v>
      </c>
      <c r="O213" s="1">
        <v>3453.5039999999999</v>
      </c>
      <c r="P213" s="2">
        <v>1</v>
      </c>
      <c r="Q213" s="15">
        <f t="shared" ref="Q213:Q220" si="11">N213/O213*P213</f>
        <v>2.5770927151090604E-2</v>
      </c>
    </row>
    <row r="214" spans="1:17" x14ac:dyDescent="0.4">
      <c r="A214" s="1">
        <v>35.124600000000001</v>
      </c>
      <c r="B214" s="1">
        <v>159</v>
      </c>
      <c r="C214" s="1">
        <v>5578.0771000000004</v>
      </c>
      <c r="D214" s="2">
        <v>1</v>
      </c>
      <c r="E214" s="15">
        <f t="shared" si="10"/>
        <v>2.8504446451627568E-2</v>
      </c>
      <c r="M214" s="1">
        <v>34.528799999999997</v>
      </c>
      <c r="N214" s="1">
        <v>109</v>
      </c>
      <c r="O214" s="1">
        <v>3454.5383999999999</v>
      </c>
      <c r="P214" s="2">
        <v>1</v>
      </c>
      <c r="Q214" s="15">
        <f t="shared" si="11"/>
        <v>3.1552696012873964E-2</v>
      </c>
    </row>
    <row r="215" spans="1:17" x14ac:dyDescent="0.4">
      <c r="A215" s="1">
        <v>35.125599999999999</v>
      </c>
      <c r="B215" s="1">
        <v>167</v>
      </c>
      <c r="C215" s="1">
        <v>5577.6336000000001</v>
      </c>
      <c r="D215" s="2">
        <v>1</v>
      </c>
      <c r="E215" s="15">
        <f t="shared" si="10"/>
        <v>2.9941012977259745E-2</v>
      </c>
      <c r="M215" s="1">
        <v>34.529800000000002</v>
      </c>
      <c r="N215" s="1">
        <v>103</v>
      </c>
      <c r="O215" s="1">
        <v>3452.9535000000001</v>
      </c>
      <c r="P215" s="2">
        <v>1</v>
      </c>
      <c r="Q215" s="15">
        <f t="shared" si="11"/>
        <v>2.9829535787261541E-2</v>
      </c>
    </row>
    <row r="216" spans="1:17" x14ac:dyDescent="0.4">
      <c r="A216" s="1">
        <v>35.126600000000003</v>
      </c>
      <c r="B216" s="1">
        <v>127</v>
      </c>
      <c r="C216" s="1">
        <v>5580.9727000000003</v>
      </c>
      <c r="D216" s="2">
        <v>1</v>
      </c>
      <c r="E216" s="15">
        <f t="shared" si="10"/>
        <v>2.2755889846943704E-2</v>
      </c>
      <c r="M216" s="1">
        <v>34.530799999999999</v>
      </c>
      <c r="N216" s="1">
        <v>82</v>
      </c>
      <c r="O216" s="1">
        <v>3455.0880000000002</v>
      </c>
      <c r="P216" s="2">
        <v>1</v>
      </c>
      <c r="Q216" s="15">
        <f t="shared" si="11"/>
        <v>2.3733114757134983E-2</v>
      </c>
    </row>
    <row r="217" spans="1:17" x14ac:dyDescent="0.4">
      <c r="A217" s="1">
        <v>35.127600000000001</v>
      </c>
      <c r="B217" s="1">
        <v>129</v>
      </c>
      <c r="C217" s="1">
        <v>5584.9206000000004</v>
      </c>
      <c r="D217" s="2">
        <v>1</v>
      </c>
      <c r="E217" s="15">
        <f t="shared" si="10"/>
        <v>2.3097911186060548E-2</v>
      </c>
      <c r="M217" s="1">
        <v>34.531799999999997</v>
      </c>
      <c r="N217" s="1">
        <v>101</v>
      </c>
      <c r="O217" s="1">
        <v>3453.0526</v>
      </c>
      <c r="P217" s="2">
        <v>1</v>
      </c>
      <c r="Q217" s="15">
        <f t="shared" si="11"/>
        <v>2.9249482038008919E-2</v>
      </c>
    </row>
    <row r="218" spans="1:17" x14ac:dyDescent="0.4">
      <c r="A218" s="1">
        <v>35.128599999999999</v>
      </c>
      <c r="B218" s="1">
        <v>126</v>
      </c>
      <c r="C218" s="1">
        <v>5582.3572000000004</v>
      </c>
      <c r="D218" s="2">
        <v>1</v>
      </c>
      <c r="E218" s="15">
        <f t="shared" si="10"/>
        <v>2.2571110282946422E-2</v>
      </c>
      <c r="M218" s="1">
        <v>34.532800000000002</v>
      </c>
      <c r="N218" s="1">
        <v>176</v>
      </c>
      <c r="O218" s="1">
        <v>3454.5587999999998</v>
      </c>
      <c r="P218" s="2">
        <v>1</v>
      </c>
      <c r="Q218" s="15">
        <f t="shared" si="11"/>
        <v>5.0947171604084435E-2</v>
      </c>
    </row>
    <row r="219" spans="1:17" x14ac:dyDescent="0.4">
      <c r="A219" s="1">
        <v>35.129600000000003</v>
      </c>
      <c r="B219" s="1">
        <v>125</v>
      </c>
      <c r="C219" s="1">
        <v>5581.3867</v>
      </c>
      <c r="D219" s="2">
        <v>1</v>
      </c>
      <c r="E219" s="15">
        <f t="shared" si="10"/>
        <v>2.2395868037597178E-2</v>
      </c>
      <c r="M219" s="1">
        <v>34.533799999999999</v>
      </c>
      <c r="N219" s="1">
        <v>84</v>
      </c>
      <c r="O219" s="1">
        <v>3454.1822000000002</v>
      </c>
      <c r="P219" s="2">
        <v>1</v>
      </c>
      <c r="Q219" s="15">
        <f t="shared" si="11"/>
        <v>2.4318346611826091E-2</v>
      </c>
    </row>
    <row r="220" spans="1:17" x14ac:dyDescent="0.4">
      <c r="A220" s="1">
        <v>35.130600000000001</v>
      </c>
      <c r="B220" s="1">
        <v>115</v>
      </c>
      <c r="C220" s="1">
        <v>5574.4233000000004</v>
      </c>
      <c r="D220" s="2">
        <v>1</v>
      </c>
      <c r="E220" s="15">
        <f t="shared" si="10"/>
        <v>2.0629936732648201E-2</v>
      </c>
      <c r="M220" s="1">
        <v>34.534799999999997</v>
      </c>
      <c r="N220" s="1">
        <v>75</v>
      </c>
      <c r="O220" s="1">
        <v>3453.6316999999999</v>
      </c>
      <c r="P220" s="2">
        <v>1</v>
      </c>
      <c r="Q220" s="15">
        <f t="shared" si="11"/>
        <v>2.1716270440765299E-2</v>
      </c>
    </row>
    <row r="221" spans="1:17" x14ac:dyDescent="0.4">
      <c r="E221" s="15" t="e">
        <f t="shared" si="10"/>
        <v>#DIV/0!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3B16-A126-4B28-860E-9DB8EAD843C7}">
  <dimension ref="A1:K220"/>
  <sheetViews>
    <sheetView tabSelected="1" workbookViewId="0">
      <selection activeCell="K16" sqref="K16"/>
    </sheetView>
  </sheetViews>
  <sheetFormatPr defaultRowHeight="13.9" x14ac:dyDescent="0.4"/>
  <sheetData>
    <row r="1" spans="1:10" x14ac:dyDescent="0.4">
      <c r="A1" s="1" t="s">
        <v>0</v>
      </c>
      <c r="B1" s="1"/>
      <c r="C1" s="1"/>
      <c r="D1" s="1"/>
      <c r="G1" s="1" t="s">
        <v>33</v>
      </c>
      <c r="H1" s="1"/>
      <c r="I1" s="1"/>
      <c r="J1" s="1"/>
    </row>
    <row r="2" spans="1:10" x14ac:dyDescent="0.4">
      <c r="A2" s="1" t="s">
        <v>1</v>
      </c>
      <c r="B2" s="1"/>
      <c r="C2" s="1"/>
      <c r="D2" s="1"/>
      <c r="G2" s="1" t="s">
        <v>24</v>
      </c>
      <c r="H2" s="1"/>
      <c r="I2" s="1"/>
      <c r="J2" s="1"/>
    </row>
    <row r="3" spans="1:10" x14ac:dyDescent="0.4">
      <c r="A3" s="1" t="s">
        <v>2</v>
      </c>
      <c r="B3" s="1"/>
      <c r="C3" s="1"/>
      <c r="D3" s="1"/>
      <c r="G3" s="1" t="s">
        <v>25</v>
      </c>
      <c r="H3" s="1"/>
      <c r="I3" s="1"/>
      <c r="J3" s="1"/>
    </row>
    <row r="4" spans="1:10" x14ac:dyDescent="0.4">
      <c r="A4" s="1" t="s">
        <v>3</v>
      </c>
      <c r="B4" s="1"/>
      <c r="C4" s="1"/>
      <c r="D4" s="1"/>
      <c r="G4" s="1" t="s">
        <v>26</v>
      </c>
      <c r="H4" s="1"/>
      <c r="I4" s="1"/>
      <c r="J4" s="1"/>
    </row>
    <row r="5" spans="1:10" x14ac:dyDescent="0.4">
      <c r="A5" s="1" t="s">
        <v>4</v>
      </c>
      <c r="B5" s="1"/>
      <c r="C5" s="1"/>
      <c r="D5" s="1"/>
      <c r="G5" s="1" t="s">
        <v>27</v>
      </c>
      <c r="H5" s="1"/>
      <c r="I5" s="1"/>
      <c r="J5" s="1"/>
    </row>
    <row r="6" spans="1:10" x14ac:dyDescent="0.4">
      <c r="A6" s="1" t="s">
        <v>5</v>
      </c>
      <c r="B6" s="1"/>
      <c r="C6" s="1"/>
      <c r="D6" s="1"/>
      <c r="G6" s="1" t="s">
        <v>5</v>
      </c>
      <c r="H6" s="1"/>
      <c r="I6" s="1"/>
      <c r="J6" s="1"/>
    </row>
    <row r="7" spans="1:10" x14ac:dyDescent="0.4">
      <c r="A7" s="1" t="s">
        <v>6</v>
      </c>
      <c r="B7" s="1"/>
      <c r="C7" s="1"/>
      <c r="D7" s="1"/>
      <c r="G7" s="1" t="s">
        <v>28</v>
      </c>
      <c r="H7" s="1"/>
      <c r="I7" s="1"/>
      <c r="J7" s="1"/>
    </row>
    <row r="8" spans="1:10" x14ac:dyDescent="0.4">
      <c r="A8" s="1" t="s">
        <v>7</v>
      </c>
      <c r="B8" s="1"/>
      <c r="C8" s="1"/>
      <c r="D8" s="1"/>
      <c r="G8" s="1" t="s">
        <v>7</v>
      </c>
      <c r="H8" s="1"/>
      <c r="I8" s="1"/>
      <c r="J8" s="1"/>
    </row>
    <row r="9" spans="1:10" x14ac:dyDescent="0.4">
      <c r="A9" s="1" t="s">
        <v>8</v>
      </c>
      <c r="B9" s="1"/>
      <c r="C9" s="1"/>
      <c r="D9" s="1"/>
      <c r="G9" s="1" t="s">
        <v>29</v>
      </c>
      <c r="H9" s="1"/>
      <c r="I9" s="1"/>
      <c r="J9" s="1"/>
    </row>
    <row r="10" spans="1:10" x14ac:dyDescent="0.4">
      <c r="A10" s="1" t="s">
        <v>9</v>
      </c>
      <c r="B10" s="1"/>
      <c r="C10" s="1"/>
      <c r="D10" s="1"/>
      <c r="G10" s="1" t="s">
        <v>9</v>
      </c>
      <c r="H10" s="1"/>
      <c r="I10" s="1"/>
      <c r="J10" s="1"/>
    </row>
    <row r="11" spans="1:10" x14ac:dyDescent="0.4">
      <c r="A11" s="1" t="s">
        <v>10</v>
      </c>
      <c r="B11" s="1"/>
      <c r="C11" s="1"/>
      <c r="D11" s="1"/>
      <c r="G11" s="1" t="s">
        <v>10</v>
      </c>
      <c r="H11" s="1"/>
      <c r="I11" s="1"/>
      <c r="J11" s="1"/>
    </row>
    <row r="12" spans="1:10" x14ac:dyDescent="0.4">
      <c r="A12" s="1" t="s">
        <v>11</v>
      </c>
      <c r="B12" s="1"/>
      <c r="C12" s="1"/>
      <c r="D12" s="1"/>
      <c r="G12" s="1" t="s">
        <v>11</v>
      </c>
      <c r="H12" s="1"/>
      <c r="I12" s="1"/>
      <c r="J12" s="1"/>
    </row>
    <row r="13" spans="1:10" x14ac:dyDescent="0.4">
      <c r="A13" s="1" t="s">
        <v>12</v>
      </c>
      <c r="B13" s="1"/>
      <c r="C13" s="1"/>
      <c r="D13" s="1"/>
      <c r="G13" s="1" t="s">
        <v>12</v>
      </c>
      <c r="H13" s="1"/>
      <c r="I13" s="1"/>
      <c r="J13" s="1"/>
    </row>
    <row r="14" spans="1:10" x14ac:dyDescent="0.4">
      <c r="A14" s="1" t="s">
        <v>13</v>
      </c>
      <c r="B14" s="1"/>
      <c r="C14" s="1"/>
      <c r="D14" s="1"/>
      <c r="G14" s="1" t="s">
        <v>13</v>
      </c>
      <c r="H14" s="1"/>
      <c r="I14" s="1"/>
      <c r="J14" s="1"/>
    </row>
    <row r="15" spans="1:10" x14ac:dyDescent="0.4">
      <c r="A15" s="1" t="s">
        <v>14</v>
      </c>
      <c r="B15" s="1"/>
      <c r="C15" s="1"/>
      <c r="D15" s="1"/>
      <c r="G15" s="1" t="s">
        <v>14</v>
      </c>
      <c r="H15" s="1"/>
      <c r="I15" s="1"/>
      <c r="J15" s="1"/>
    </row>
    <row r="16" spans="1:10" x14ac:dyDescent="0.4">
      <c r="A16" s="1" t="s">
        <v>15</v>
      </c>
      <c r="B16" s="1"/>
      <c r="C16" s="1"/>
      <c r="D16" s="1"/>
      <c r="G16" s="1" t="s">
        <v>15</v>
      </c>
      <c r="H16" s="1"/>
      <c r="I16" s="1"/>
      <c r="J16" s="1"/>
    </row>
    <row r="17" spans="1:11" x14ac:dyDescent="0.4">
      <c r="A17" s="1" t="s">
        <v>16</v>
      </c>
      <c r="B17" s="1" t="s">
        <v>17</v>
      </c>
      <c r="C17" s="1"/>
      <c r="D17" s="1"/>
      <c r="G17" s="1" t="s">
        <v>30</v>
      </c>
      <c r="H17" s="1" t="s">
        <v>31</v>
      </c>
      <c r="I17" s="1"/>
      <c r="J17" s="1"/>
    </row>
    <row r="18" spans="1:11" x14ac:dyDescent="0.4">
      <c r="A18" s="1" t="s">
        <v>18</v>
      </c>
      <c r="B18" s="1" t="s">
        <v>19</v>
      </c>
      <c r="C18" s="1"/>
      <c r="D18" s="1"/>
      <c r="G18" s="1" t="s">
        <v>18</v>
      </c>
      <c r="H18" s="1" t="s">
        <v>19</v>
      </c>
      <c r="I18" s="1"/>
      <c r="J18" s="1"/>
    </row>
    <row r="19" spans="1:11" x14ac:dyDescent="0.4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32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32</v>
      </c>
    </row>
    <row r="20" spans="1:11" x14ac:dyDescent="0.4">
      <c r="A20" s="1">
        <v>68.587100000000007</v>
      </c>
      <c r="B20" s="1">
        <v>85</v>
      </c>
      <c r="C20" s="1">
        <v>5583.4984000000004</v>
      </c>
      <c r="D20" s="2">
        <v>1</v>
      </c>
      <c r="E20" s="15">
        <f>B20/C20*D20</f>
        <v>1.5223430528788186E-2</v>
      </c>
      <c r="G20" s="1">
        <v>68.584599999999995</v>
      </c>
      <c r="H20" s="1">
        <v>35</v>
      </c>
      <c r="I20" s="1">
        <v>3446.6129999999998</v>
      </c>
      <c r="J20" s="2">
        <v>1</v>
      </c>
      <c r="K20" s="15">
        <f>H20/I20*J20</f>
        <v>1.0154896995978371E-2</v>
      </c>
    </row>
    <row r="21" spans="1:11" x14ac:dyDescent="0.4">
      <c r="A21" s="1">
        <v>68.597099999999998</v>
      </c>
      <c r="B21" s="1">
        <v>104</v>
      </c>
      <c r="C21" s="1">
        <v>5574.6674000000003</v>
      </c>
      <c r="D21" s="2">
        <v>1</v>
      </c>
      <c r="E21" s="15">
        <f t="shared" ref="E21:E84" si="0">B21/C21*D21</f>
        <v>1.8655821511432233E-2</v>
      </c>
      <c r="G21" s="1">
        <v>68.5946</v>
      </c>
      <c r="H21" s="1">
        <v>29</v>
      </c>
      <c r="I21" s="1">
        <v>3446.4414000000002</v>
      </c>
      <c r="J21" s="2">
        <v>1</v>
      </c>
      <c r="K21" s="15">
        <f t="shared" ref="K21:K84" si="1">H21/I21*J21</f>
        <v>8.4144764509850641E-3</v>
      </c>
    </row>
    <row r="22" spans="1:11" x14ac:dyDescent="0.4">
      <c r="A22" s="1">
        <v>68.607100000000003</v>
      </c>
      <c r="B22" s="1">
        <v>94</v>
      </c>
      <c r="C22" s="1">
        <v>5574.1265000000003</v>
      </c>
      <c r="D22" s="2">
        <v>1</v>
      </c>
      <c r="E22" s="15">
        <f t="shared" si="0"/>
        <v>1.6863628767664313E-2</v>
      </c>
      <c r="G22" s="1">
        <v>68.604600000000005</v>
      </c>
      <c r="H22" s="1">
        <v>61</v>
      </c>
      <c r="I22" s="1">
        <v>3447.1952999999999</v>
      </c>
      <c r="J22" s="2">
        <v>1</v>
      </c>
      <c r="K22" s="15">
        <f t="shared" si="1"/>
        <v>1.7695545129108294E-2</v>
      </c>
    </row>
    <row r="23" spans="1:11" x14ac:dyDescent="0.4">
      <c r="A23" s="1">
        <v>68.617099999999994</v>
      </c>
      <c r="B23" s="1">
        <v>104</v>
      </c>
      <c r="C23" s="1">
        <v>5570.9080999999996</v>
      </c>
      <c r="D23" s="2">
        <v>1</v>
      </c>
      <c r="E23" s="15">
        <f t="shared" si="0"/>
        <v>1.8668410631293667E-2</v>
      </c>
      <c r="G23" s="1">
        <v>68.614599999999996</v>
      </c>
      <c r="H23" s="1">
        <v>31</v>
      </c>
      <c r="I23" s="1">
        <v>3446.2619</v>
      </c>
      <c r="J23" s="2">
        <v>1</v>
      </c>
      <c r="K23" s="15">
        <f t="shared" si="1"/>
        <v>8.9952536689100731E-3</v>
      </c>
    </row>
    <row r="24" spans="1:11" x14ac:dyDescent="0.4">
      <c r="A24" s="1">
        <v>68.627099999999999</v>
      </c>
      <c r="B24" s="1">
        <v>90</v>
      </c>
      <c r="C24" s="1">
        <v>5572.0936000000002</v>
      </c>
      <c r="D24" s="2">
        <v>1</v>
      </c>
      <c r="E24" s="15">
        <f t="shared" si="0"/>
        <v>1.6151918194626164E-2</v>
      </c>
      <c r="G24" s="1">
        <v>68.624600000000001</v>
      </c>
      <c r="H24" s="1">
        <v>33</v>
      </c>
      <c r="I24" s="1">
        <v>3446.5405000000001</v>
      </c>
      <c r="J24" s="2">
        <v>1</v>
      </c>
      <c r="K24" s="15">
        <f t="shared" si="1"/>
        <v>9.5748185753221238E-3</v>
      </c>
    </row>
    <row r="25" spans="1:11" x14ac:dyDescent="0.4">
      <c r="A25" s="1">
        <v>68.637100000000004</v>
      </c>
      <c r="B25" s="1">
        <v>101</v>
      </c>
      <c r="C25" s="1">
        <v>5571.7960999999996</v>
      </c>
      <c r="D25" s="2">
        <v>1</v>
      </c>
      <c r="E25" s="15">
        <f t="shared" si="0"/>
        <v>1.8127009349821685E-2</v>
      </c>
      <c r="G25" s="1">
        <v>68.634600000000006</v>
      </c>
      <c r="H25" s="1">
        <v>29</v>
      </c>
      <c r="I25" s="1">
        <v>3446.4832999999999</v>
      </c>
      <c r="J25" s="2">
        <v>1</v>
      </c>
      <c r="K25" s="15">
        <f t="shared" si="1"/>
        <v>8.4143741535030805E-3</v>
      </c>
    </row>
    <row r="26" spans="1:11" x14ac:dyDescent="0.4">
      <c r="A26" s="1">
        <v>68.647099999999995</v>
      </c>
      <c r="B26" s="1">
        <v>110</v>
      </c>
      <c r="C26" s="1">
        <v>5571.2918</v>
      </c>
      <c r="D26" s="2">
        <v>1</v>
      </c>
      <c r="E26" s="15">
        <f t="shared" si="0"/>
        <v>1.9744074435304213E-2</v>
      </c>
      <c r="G26" s="1">
        <v>68.644599999999997</v>
      </c>
      <c r="H26" s="1">
        <v>31</v>
      </c>
      <c r="I26" s="1">
        <v>3445.7637</v>
      </c>
      <c r="J26" s="2">
        <v>1</v>
      </c>
      <c r="K26" s="15">
        <f t="shared" si="1"/>
        <v>8.9965542326654619E-3</v>
      </c>
    </row>
    <row r="27" spans="1:11" x14ac:dyDescent="0.4">
      <c r="A27" s="1">
        <v>68.6571</v>
      </c>
      <c r="B27" s="1">
        <v>126</v>
      </c>
      <c r="C27" s="1">
        <v>5573.3302999999996</v>
      </c>
      <c r="D27" s="2">
        <v>1</v>
      </c>
      <c r="E27" s="15">
        <f t="shared" si="0"/>
        <v>2.260766780680485E-2</v>
      </c>
      <c r="G27" s="1">
        <v>68.654600000000002</v>
      </c>
      <c r="H27" s="1">
        <v>48</v>
      </c>
      <c r="I27" s="1">
        <v>3446.5601999999999</v>
      </c>
      <c r="J27" s="2">
        <v>1</v>
      </c>
      <c r="K27" s="15">
        <f t="shared" si="1"/>
        <v>1.3926929232224061E-2</v>
      </c>
    </row>
    <row r="28" spans="1:11" x14ac:dyDescent="0.4">
      <c r="A28" s="1">
        <v>68.667100000000005</v>
      </c>
      <c r="B28" s="1">
        <v>146</v>
      </c>
      <c r="C28" s="1">
        <v>5574.9111999999996</v>
      </c>
      <c r="D28" s="2">
        <v>1</v>
      </c>
      <c r="E28" s="15">
        <f t="shared" si="0"/>
        <v>2.6188757948288038E-2</v>
      </c>
      <c r="G28" s="1">
        <v>68.664599999999993</v>
      </c>
      <c r="H28" s="1">
        <v>36</v>
      </c>
      <c r="I28" s="1">
        <v>3444.7525000000001</v>
      </c>
      <c r="J28" s="2">
        <v>1</v>
      </c>
      <c r="K28" s="15">
        <f t="shared" si="1"/>
        <v>1.0450678241760474E-2</v>
      </c>
    </row>
    <row r="29" spans="1:11" x14ac:dyDescent="0.4">
      <c r="A29" s="1">
        <v>68.677099999999996</v>
      </c>
      <c r="B29" s="1">
        <v>132</v>
      </c>
      <c r="C29" s="1">
        <v>5576.8158999999996</v>
      </c>
      <c r="D29" s="2">
        <v>1</v>
      </c>
      <c r="E29" s="15">
        <f t="shared" si="0"/>
        <v>2.3669420394530148E-2</v>
      </c>
      <c r="G29" s="1">
        <v>68.674599999999998</v>
      </c>
      <c r="H29" s="1">
        <v>42</v>
      </c>
      <c r="I29" s="1">
        <v>3444.8427999999999</v>
      </c>
      <c r="J29" s="2">
        <v>1</v>
      </c>
      <c r="K29" s="15">
        <f t="shared" si="1"/>
        <v>1.2192138346632247E-2</v>
      </c>
    </row>
    <row r="30" spans="1:11" x14ac:dyDescent="0.4">
      <c r="A30" s="1">
        <v>68.687100000000001</v>
      </c>
      <c r="B30" s="1">
        <v>123</v>
      </c>
      <c r="C30" s="1">
        <v>5573.6067000000003</v>
      </c>
      <c r="D30" s="2">
        <v>1</v>
      </c>
      <c r="E30" s="15">
        <f t="shared" si="0"/>
        <v>2.2068295561651307E-2</v>
      </c>
      <c r="G30" s="1">
        <v>68.684600000000003</v>
      </c>
      <c r="H30" s="1">
        <v>41</v>
      </c>
      <c r="I30" s="1">
        <v>3445.2280000000001</v>
      </c>
      <c r="J30" s="2">
        <v>1</v>
      </c>
      <c r="K30" s="15">
        <f t="shared" si="1"/>
        <v>1.1900518630407043E-2</v>
      </c>
    </row>
    <row r="31" spans="1:11" x14ac:dyDescent="0.4">
      <c r="A31" s="1">
        <v>68.697100000000006</v>
      </c>
      <c r="B31" s="1">
        <v>112</v>
      </c>
      <c r="C31" s="1">
        <v>5575.9004000000004</v>
      </c>
      <c r="D31" s="2">
        <v>1</v>
      </c>
      <c r="E31" s="15">
        <f t="shared" si="0"/>
        <v>2.00864420031606E-2</v>
      </c>
      <c r="G31" s="1">
        <v>68.694599999999994</v>
      </c>
      <c r="H31" s="1">
        <v>33</v>
      </c>
      <c r="I31" s="1">
        <v>3444.8924000000002</v>
      </c>
      <c r="J31" s="2">
        <v>1</v>
      </c>
      <c r="K31" s="15">
        <f t="shared" si="1"/>
        <v>9.5793993449548673E-3</v>
      </c>
    </row>
    <row r="32" spans="1:11" x14ac:dyDescent="0.4">
      <c r="A32" s="1">
        <v>68.707099999999997</v>
      </c>
      <c r="B32" s="1">
        <v>138</v>
      </c>
      <c r="C32" s="1">
        <v>5575.5150000000003</v>
      </c>
      <c r="D32" s="2">
        <v>1</v>
      </c>
      <c r="E32" s="15">
        <f t="shared" si="0"/>
        <v>2.4751076806357797E-2</v>
      </c>
      <c r="G32" s="1">
        <v>68.704599999999999</v>
      </c>
      <c r="H32" s="1">
        <v>38</v>
      </c>
      <c r="I32" s="1">
        <v>3443.7276999999999</v>
      </c>
      <c r="J32" s="2">
        <v>1</v>
      </c>
      <c r="K32" s="15">
        <f t="shared" si="1"/>
        <v>1.1034554212866482E-2</v>
      </c>
    </row>
    <row r="33" spans="1:11" x14ac:dyDescent="0.4">
      <c r="A33" s="1">
        <v>68.717100000000002</v>
      </c>
      <c r="B33" s="1">
        <v>133</v>
      </c>
      <c r="C33" s="1">
        <v>5576.5304999999998</v>
      </c>
      <c r="D33" s="2">
        <v>1</v>
      </c>
      <c r="E33" s="15">
        <f t="shared" si="0"/>
        <v>2.3849954734399822E-2</v>
      </c>
      <c r="G33" s="1">
        <v>68.714600000000004</v>
      </c>
      <c r="H33" s="1">
        <v>51</v>
      </c>
      <c r="I33" s="1">
        <v>3443.6675</v>
      </c>
      <c r="J33" s="2">
        <v>1</v>
      </c>
      <c r="K33" s="15">
        <f t="shared" si="1"/>
        <v>1.4809792176509491E-2</v>
      </c>
    </row>
    <row r="34" spans="1:11" x14ac:dyDescent="0.4">
      <c r="A34" s="1">
        <v>68.727099999999993</v>
      </c>
      <c r="B34" s="1">
        <v>132</v>
      </c>
      <c r="C34" s="1">
        <v>5577.5382</v>
      </c>
      <c r="D34" s="2">
        <v>1</v>
      </c>
      <c r="E34" s="15">
        <f t="shared" si="0"/>
        <v>2.3666355167231305E-2</v>
      </c>
      <c r="G34" s="1">
        <v>68.724599999999995</v>
      </c>
      <c r="H34" s="1">
        <v>50</v>
      </c>
      <c r="I34" s="1">
        <v>3442.9639000000002</v>
      </c>
      <c r="J34" s="2">
        <v>1</v>
      </c>
      <c r="K34" s="15">
        <f t="shared" si="1"/>
        <v>1.4522371262736736E-2</v>
      </c>
    </row>
    <row r="35" spans="1:11" x14ac:dyDescent="0.4">
      <c r="A35" s="1">
        <v>68.737099999999998</v>
      </c>
      <c r="B35" s="1">
        <v>150</v>
      </c>
      <c r="C35" s="1">
        <v>5578.8050999999996</v>
      </c>
      <c r="D35" s="2">
        <v>1</v>
      </c>
      <c r="E35" s="15">
        <f t="shared" si="0"/>
        <v>2.6887478108887513E-2</v>
      </c>
      <c r="G35" s="1">
        <v>68.7346</v>
      </c>
      <c r="H35" s="1">
        <v>45</v>
      </c>
      <c r="I35" s="1">
        <v>3442.1878999999999</v>
      </c>
      <c r="J35" s="2">
        <v>1</v>
      </c>
      <c r="K35" s="15">
        <f t="shared" si="1"/>
        <v>1.3073080641530349E-2</v>
      </c>
    </row>
    <row r="36" spans="1:11" x14ac:dyDescent="0.4">
      <c r="A36" s="1">
        <v>68.747100000000003</v>
      </c>
      <c r="B36" s="1">
        <v>133</v>
      </c>
      <c r="C36" s="1">
        <v>5578.3320999999996</v>
      </c>
      <c r="D36" s="2">
        <v>1</v>
      </c>
      <c r="E36" s="15">
        <f t="shared" si="0"/>
        <v>2.384225205953586E-2</v>
      </c>
      <c r="G36" s="1">
        <v>68.744600000000005</v>
      </c>
      <c r="H36" s="1">
        <v>45</v>
      </c>
      <c r="I36" s="1">
        <v>3444.1145000000001</v>
      </c>
      <c r="J36" s="2">
        <v>1</v>
      </c>
      <c r="K36" s="15">
        <f t="shared" si="1"/>
        <v>1.3065767703135304E-2</v>
      </c>
    </row>
    <row r="37" spans="1:11" x14ac:dyDescent="0.4">
      <c r="A37" s="1">
        <v>68.757099999999994</v>
      </c>
      <c r="B37" s="1">
        <v>144</v>
      </c>
      <c r="C37" s="1">
        <v>5567.8958000000002</v>
      </c>
      <c r="D37" s="2">
        <v>1</v>
      </c>
      <c r="E37" s="15">
        <f t="shared" si="0"/>
        <v>2.5862552959414219E-2</v>
      </c>
      <c r="G37" s="1">
        <v>68.754599999999996</v>
      </c>
      <c r="H37" s="1">
        <v>51</v>
      </c>
      <c r="I37" s="1">
        <v>3442.3150000000001</v>
      </c>
      <c r="J37" s="2">
        <v>1</v>
      </c>
      <c r="K37" s="15">
        <f t="shared" si="1"/>
        <v>1.4815611005965462E-2</v>
      </c>
    </row>
    <row r="38" spans="1:11" x14ac:dyDescent="0.4">
      <c r="A38" s="1">
        <v>68.767099999999999</v>
      </c>
      <c r="B38" s="1">
        <v>151</v>
      </c>
      <c r="C38" s="1">
        <v>5565.6805000000004</v>
      </c>
      <c r="D38" s="2">
        <v>1</v>
      </c>
      <c r="E38" s="15">
        <f t="shared" si="0"/>
        <v>2.7130554835118541E-2</v>
      </c>
      <c r="G38" s="1">
        <v>68.764600000000002</v>
      </c>
      <c r="H38" s="1">
        <v>42</v>
      </c>
      <c r="I38" s="1">
        <v>3441.6909000000001</v>
      </c>
      <c r="J38" s="2">
        <v>1</v>
      </c>
      <c r="K38" s="15">
        <f t="shared" si="1"/>
        <v>1.2203303905065965E-2</v>
      </c>
    </row>
    <row r="39" spans="1:11" x14ac:dyDescent="0.4">
      <c r="A39" s="1">
        <v>68.777100000000004</v>
      </c>
      <c r="B39" s="1">
        <v>147</v>
      </c>
      <c r="C39" s="1">
        <v>5563.4241000000002</v>
      </c>
      <c r="D39" s="2">
        <v>1</v>
      </c>
      <c r="E39" s="15">
        <f t="shared" si="0"/>
        <v>2.6422576700561081E-2</v>
      </c>
      <c r="G39" s="1">
        <v>68.774600000000007</v>
      </c>
      <c r="H39" s="1">
        <v>39</v>
      </c>
      <c r="I39" s="1">
        <v>3441.5354000000002</v>
      </c>
      <c r="J39" s="2">
        <v>1</v>
      </c>
      <c r="K39" s="15">
        <f t="shared" si="1"/>
        <v>1.1332151341520415E-2</v>
      </c>
    </row>
    <row r="40" spans="1:11" x14ac:dyDescent="0.4">
      <c r="A40" s="1">
        <v>68.787099999999995</v>
      </c>
      <c r="B40" s="1">
        <v>163</v>
      </c>
      <c r="C40" s="1">
        <v>5558.5523999999996</v>
      </c>
      <c r="D40" s="2">
        <v>1</v>
      </c>
      <c r="E40" s="15">
        <f t="shared" si="0"/>
        <v>2.932418159807219E-2</v>
      </c>
      <c r="G40" s="1">
        <v>68.784599999999998</v>
      </c>
      <c r="H40" s="1">
        <v>50</v>
      </c>
      <c r="I40" s="1">
        <v>3442.2975000000001</v>
      </c>
      <c r="J40" s="2">
        <v>1</v>
      </c>
      <c r="K40" s="15">
        <f t="shared" si="1"/>
        <v>1.4525182672328583E-2</v>
      </c>
    </row>
    <row r="41" spans="1:11" x14ac:dyDescent="0.4">
      <c r="A41" s="1">
        <v>68.7971</v>
      </c>
      <c r="B41" s="1">
        <v>174</v>
      </c>
      <c r="C41" s="1">
        <v>5557.1408000000001</v>
      </c>
      <c r="D41" s="2">
        <v>1</v>
      </c>
      <c r="E41" s="15">
        <f t="shared" si="0"/>
        <v>3.1311065575304477E-2</v>
      </c>
      <c r="G41" s="1">
        <v>68.794600000000003</v>
      </c>
      <c r="H41" s="1">
        <v>66</v>
      </c>
      <c r="I41" s="1">
        <v>3442.1288</v>
      </c>
      <c r="J41" s="2">
        <v>1</v>
      </c>
      <c r="K41" s="15">
        <f t="shared" si="1"/>
        <v>1.9174180815081644E-2</v>
      </c>
    </row>
    <row r="42" spans="1:11" x14ac:dyDescent="0.4">
      <c r="A42" s="1">
        <v>68.807100000000005</v>
      </c>
      <c r="B42" s="1">
        <v>186</v>
      </c>
      <c r="C42" s="1">
        <v>5557.6553999999996</v>
      </c>
      <c r="D42" s="2">
        <v>1</v>
      </c>
      <c r="E42" s="15">
        <f t="shared" si="0"/>
        <v>3.3467350278680467E-2</v>
      </c>
      <c r="G42" s="1">
        <v>68.804599999999994</v>
      </c>
      <c r="H42" s="1">
        <v>43</v>
      </c>
      <c r="I42" s="1">
        <v>3439.1415999999999</v>
      </c>
      <c r="J42" s="2">
        <v>1</v>
      </c>
      <c r="K42" s="15">
        <f t="shared" si="1"/>
        <v>1.2503119964586511E-2</v>
      </c>
    </row>
    <row r="43" spans="1:11" x14ac:dyDescent="0.4">
      <c r="A43" s="1">
        <v>68.817099999999996</v>
      </c>
      <c r="B43" s="1">
        <v>153</v>
      </c>
      <c r="C43" s="1">
        <v>5556.2646000000004</v>
      </c>
      <c r="D43" s="2">
        <v>1</v>
      </c>
      <c r="E43" s="15">
        <f t="shared" si="0"/>
        <v>2.7536485573419235E-2</v>
      </c>
      <c r="G43" s="1">
        <v>68.814599999999999</v>
      </c>
      <c r="H43" s="1">
        <v>48</v>
      </c>
      <c r="I43" s="1">
        <v>3439.6749</v>
      </c>
      <c r="J43" s="2">
        <v>1</v>
      </c>
      <c r="K43" s="15">
        <f t="shared" si="1"/>
        <v>1.3954807182504371E-2</v>
      </c>
    </row>
    <row r="44" spans="1:11" x14ac:dyDescent="0.4">
      <c r="A44" s="1">
        <v>68.827100000000002</v>
      </c>
      <c r="B44" s="1">
        <v>144</v>
      </c>
      <c r="C44" s="1">
        <v>5560.8040000000001</v>
      </c>
      <c r="D44" s="2">
        <v>1</v>
      </c>
      <c r="E44" s="15">
        <f t="shared" si="0"/>
        <v>2.5895535969259122E-2</v>
      </c>
      <c r="G44" s="1">
        <v>68.824600000000004</v>
      </c>
      <c r="H44" s="1">
        <v>51</v>
      </c>
      <c r="I44" s="1">
        <v>3438.1967</v>
      </c>
      <c r="J44" s="2">
        <v>1</v>
      </c>
      <c r="K44" s="15">
        <f t="shared" si="1"/>
        <v>1.4833357265452556E-2</v>
      </c>
    </row>
    <row r="45" spans="1:11" x14ac:dyDescent="0.4">
      <c r="A45" s="1">
        <v>68.837100000000007</v>
      </c>
      <c r="B45" s="1">
        <v>155</v>
      </c>
      <c r="C45" s="1">
        <v>5556.2429000000002</v>
      </c>
      <c r="D45" s="2">
        <v>1</v>
      </c>
      <c r="E45" s="15">
        <f t="shared" si="0"/>
        <v>2.7896548583216187E-2</v>
      </c>
      <c r="G45" s="1">
        <v>68.834599999999995</v>
      </c>
      <c r="H45" s="1">
        <v>54</v>
      </c>
      <c r="I45" s="1">
        <v>3440.3676</v>
      </c>
      <c r="J45" s="2">
        <v>1</v>
      </c>
      <c r="K45" s="15">
        <f t="shared" si="1"/>
        <v>1.5695997137050121E-2</v>
      </c>
    </row>
    <row r="46" spans="1:11" x14ac:dyDescent="0.4">
      <c r="A46" s="1">
        <v>68.847099999999998</v>
      </c>
      <c r="B46" s="1">
        <v>191</v>
      </c>
      <c r="C46" s="1">
        <v>5551.9112999999998</v>
      </c>
      <c r="D46" s="2">
        <v>1</v>
      </c>
      <c r="E46" s="15">
        <f t="shared" si="0"/>
        <v>3.4402566914208448E-2</v>
      </c>
      <c r="G46" s="1">
        <v>68.8446</v>
      </c>
      <c r="H46" s="1">
        <v>62</v>
      </c>
      <c r="I46" s="1">
        <v>3438.2586000000001</v>
      </c>
      <c r="J46" s="2">
        <v>1</v>
      </c>
      <c r="K46" s="15">
        <f t="shared" si="1"/>
        <v>1.8032384184249548E-2</v>
      </c>
    </row>
    <row r="47" spans="1:11" x14ac:dyDescent="0.4">
      <c r="A47" s="1">
        <v>68.857100000000003</v>
      </c>
      <c r="B47" s="1">
        <v>186</v>
      </c>
      <c r="C47" s="1">
        <v>5548.0686999999998</v>
      </c>
      <c r="D47" s="2">
        <v>1</v>
      </c>
      <c r="E47" s="15">
        <f t="shared" si="0"/>
        <v>3.3525179671982076E-2</v>
      </c>
      <c r="G47" s="1">
        <v>68.854600000000005</v>
      </c>
      <c r="H47" s="1">
        <v>46</v>
      </c>
      <c r="I47" s="1">
        <v>3438.4614000000001</v>
      </c>
      <c r="J47" s="2">
        <v>1</v>
      </c>
      <c r="K47" s="15">
        <f t="shared" si="1"/>
        <v>1.3378076601354314E-2</v>
      </c>
    </row>
    <row r="48" spans="1:11" x14ac:dyDescent="0.4">
      <c r="A48" s="1">
        <v>68.867099999999994</v>
      </c>
      <c r="B48" s="1">
        <v>169</v>
      </c>
      <c r="C48" s="1">
        <v>5542.8179</v>
      </c>
      <c r="D48" s="2">
        <v>1</v>
      </c>
      <c r="E48" s="15">
        <f t="shared" si="0"/>
        <v>3.048990658704483E-2</v>
      </c>
      <c r="G48" s="1">
        <v>68.864599999999996</v>
      </c>
      <c r="H48" s="1">
        <v>54</v>
      </c>
      <c r="I48" s="1">
        <v>3436.8105999999998</v>
      </c>
      <c r="J48" s="2">
        <v>1</v>
      </c>
      <c r="K48" s="15">
        <f t="shared" si="1"/>
        <v>1.5712242042084018E-2</v>
      </c>
    </row>
    <row r="49" spans="1:11" x14ac:dyDescent="0.4">
      <c r="A49" s="1">
        <v>68.877099999999999</v>
      </c>
      <c r="B49" s="1">
        <v>206</v>
      </c>
      <c r="C49" s="1">
        <v>5541.3793999999998</v>
      </c>
      <c r="D49" s="2">
        <v>1</v>
      </c>
      <c r="E49" s="15">
        <f t="shared" si="0"/>
        <v>3.7174859386094376E-2</v>
      </c>
      <c r="G49" s="1">
        <v>68.874600000000001</v>
      </c>
      <c r="H49" s="1">
        <v>79</v>
      </c>
      <c r="I49" s="1">
        <v>3436.076</v>
      </c>
      <c r="J49" s="2">
        <v>1</v>
      </c>
      <c r="K49" s="15">
        <f t="shared" si="1"/>
        <v>2.2991342449934168E-2</v>
      </c>
    </row>
    <row r="50" spans="1:11" x14ac:dyDescent="0.4">
      <c r="A50" s="1">
        <v>68.887100000000004</v>
      </c>
      <c r="B50" s="1">
        <v>207</v>
      </c>
      <c r="C50" s="1">
        <v>5541.0012999999999</v>
      </c>
      <c r="D50" s="2">
        <v>1</v>
      </c>
      <c r="E50" s="15">
        <f t="shared" si="0"/>
        <v>3.7357868874710425E-2</v>
      </c>
      <c r="G50" s="1">
        <v>68.884600000000006</v>
      </c>
      <c r="H50" s="1">
        <v>57</v>
      </c>
      <c r="I50" s="1">
        <v>3435.2458999999999</v>
      </c>
      <c r="J50" s="2">
        <v>1</v>
      </c>
      <c r="K50" s="15">
        <f t="shared" si="1"/>
        <v>1.6592698647860987E-2</v>
      </c>
    </row>
    <row r="51" spans="1:11" x14ac:dyDescent="0.4">
      <c r="A51" s="1">
        <v>68.897099999999995</v>
      </c>
      <c r="B51" s="1">
        <v>236</v>
      </c>
      <c r="C51" s="1">
        <v>5539.7690000000002</v>
      </c>
      <c r="D51" s="2">
        <v>1</v>
      </c>
      <c r="E51" s="15">
        <f t="shared" si="0"/>
        <v>4.2601054303888844E-2</v>
      </c>
      <c r="G51" s="1">
        <v>68.894599999999997</v>
      </c>
      <c r="H51" s="1">
        <v>75</v>
      </c>
      <c r="I51" s="1">
        <v>3435.3395999999998</v>
      </c>
      <c r="J51" s="2">
        <v>1</v>
      </c>
      <c r="K51" s="15">
        <f t="shared" si="1"/>
        <v>2.1831902732411087E-2</v>
      </c>
    </row>
    <row r="52" spans="1:11" x14ac:dyDescent="0.4">
      <c r="A52" s="1">
        <v>68.9071</v>
      </c>
      <c r="B52" s="1">
        <v>205</v>
      </c>
      <c r="C52" s="1">
        <v>5540.0941999999995</v>
      </c>
      <c r="D52" s="2">
        <v>1</v>
      </c>
      <c r="E52" s="15">
        <f t="shared" si="0"/>
        <v>3.7002980924042778E-2</v>
      </c>
      <c r="G52" s="1">
        <v>68.904600000000002</v>
      </c>
      <c r="H52" s="1">
        <v>74</v>
      </c>
      <c r="I52" s="1">
        <v>3434.8361</v>
      </c>
      <c r="J52" s="2">
        <v>1</v>
      </c>
      <c r="K52" s="15">
        <f t="shared" si="1"/>
        <v>2.1543968284250883E-2</v>
      </c>
    </row>
    <row r="53" spans="1:11" x14ac:dyDescent="0.4">
      <c r="A53" s="1">
        <v>68.917100000000005</v>
      </c>
      <c r="B53" s="1">
        <v>201</v>
      </c>
      <c r="C53" s="1">
        <v>5540.8208000000004</v>
      </c>
      <c r="D53" s="2">
        <v>1</v>
      </c>
      <c r="E53" s="15">
        <f t="shared" si="0"/>
        <v>3.627621380572351E-2</v>
      </c>
      <c r="G53" s="1">
        <v>68.914599999999993</v>
      </c>
      <c r="H53" s="1">
        <v>77</v>
      </c>
      <c r="I53" s="1">
        <v>3433.9061000000002</v>
      </c>
      <c r="J53" s="2">
        <v>1</v>
      </c>
      <c r="K53" s="15">
        <f t="shared" si="1"/>
        <v>2.2423443669586655E-2</v>
      </c>
    </row>
    <row r="54" spans="1:11" x14ac:dyDescent="0.4">
      <c r="A54" s="1">
        <v>68.927099999999996</v>
      </c>
      <c r="B54" s="1">
        <v>212</v>
      </c>
      <c r="C54" s="1">
        <v>5541.7995000000001</v>
      </c>
      <c r="D54" s="2">
        <v>1</v>
      </c>
      <c r="E54" s="15">
        <f t="shared" si="0"/>
        <v>3.8254722134931078E-2</v>
      </c>
      <c r="G54" s="1">
        <v>68.924599999999998</v>
      </c>
      <c r="H54" s="1">
        <v>77</v>
      </c>
      <c r="I54" s="1">
        <v>3434.0947999999999</v>
      </c>
      <c r="J54" s="2">
        <v>1</v>
      </c>
      <c r="K54" s="15">
        <f t="shared" si="1"/>
        <v>2.2422211524271259E-2</v>
      </c>
    </row>
    <row r="55" spans="1:11" x14ac:dyDescent="0.4">
      <c r="A55" s="1">
        <v>68.937100000000001</v>
      </c>
      <c r="B55" s="1">
        <v>221</v>
      </c>
      <c r="C55" s="1">
        <v>5538.7066000000004</v>
      </c>
      <c r="D55" s="2">
        <v>1</v>
      </c>
      <c r="E55" s="15">
        <f t="shared" si="0"/>
        <v>3.9901012268821028E-2</v>
      </c>
      <c r="G55" s="1">
        <v>68.934600000000003</v>
      </c>
      <c r="H55" s="1">
        <v>64</v>
      </c>
      <c r="I55" s="1">
        <v>3432.1421</v>
      </c>
      <c r="J55" s="2">
        <v>1</v>
      </c>
      <c r="K55" s="15">
        <f t="shared" si="1"/>
        <v>1.8647246569423803E-2</v>
      </c>
    </row>
    <row r="56" spans="1:11" x14ac:dyDescent="0.4">
      <c r="A56" s="1">
        <v>68.947100000000006</v>
      </c>
      <c r="B56" s="1">
        <v>232</v>
      </c>
      <c r="C56" s="1">
        <v>5539.2861000000003</v>
      </c>
      <c r="D56" s="2">
        <v>1</v>
      </c>
      <c r="E56" s="15">
        <f t="shared" si="0"/>
        <v>4.1882653434347793E-2</v>
      </c>
      <c r="G56" s="1">
        <v>68.944599999999994</v>
      </c>
      <c r="H56" s="1">
        <v>71</v>
      </c>
      <c r="I56" s="1">
        <v>3431.2862</v>
      </c>
      <c r="J56" s="2">
        <v>1</v>
      </c>
      <c r="K56" s="15">
        <f t="shared" si="1"/>
        <v>2.0691949275464111E-2</v>
      </c>
    </row>
    <row r="57" spans="1:11" x14ac:dyDescent="0.4">
      <c r="A57" s="1">
        <v>68.957099999999997</v>
      </c>
      <c r="B57" s="1">
        <v>250</v>
      </c>
      <c r="C57" s="1">
        <v>5540.6028999999999</v>
      </c>
      <c r="D57" s="2">
        <v>1</v>
      </c>
      <c r="E57" s="15">
        <f t="shared" si="0"/>
        <v>4.5121443372164428E-2</v>
      </c>
      <c r="G57" s="1">
        <v>68.954599999999999</v>
      </c>
      <c r="H57" s="1">
        <v>71</v>
      </c>
      <c r="I57" s="1">
        <v>3431.6172999999999</v>
      </c>
      <c r="J57" s="2">
        <v>1</v>
      </c>
      <c r="K57" s="15">
        <f t="shared" si="1"/>
        <v>2.0689952810297351E-2</v>
      </c>
    </row>
    <row r="58" spans="1:11" x14ac:dyDescent="0.4">
      <c r="A58" s="1">
        <v>68.967100000000002</v>
      </c>
      <c r="B58" s="1">
        <v>273</v>
      </c>
      <c r="C58" s="1">
        <v>5536.5770000000002</v>
      </c>
      <c r="D58" s="2">
        <v>1</v>
      </c>
      <c r="E58" s="15">
        <f t="shared" si="0"/>
        <v>4.9308444549764227E-2</v>
      </c>
      <c r="G58" s="1">
        <v>68.964600000000004</v>
      </c>
      <c r="H58" s="1">
        <v>81</v>
      </c>
      <c r="I58" s="1">
        <v>3430.8470000000002</v>
      </c>
      <c r="J58" s="2">
        <v>1</v>
      </c>
      <c r="K58" s="15">
        <f t="shared" si="1"/>
        <v>2.3609330290741613E-2</v>
      </c>
    </row>
    <row r="59" spans="1:11" x14ac:dyDescent="0.4">
      <c r="A59" s="1">
        <v>68.977099999999993</v>
      </c>
      <c r="B59" s="1">
        <v>273</v>
      </c>
      <c r="C59" s="1">
        <v>5535.4795999999997</v>
      </c>
      <c r="D59" s="2">
        <v>1</v>
      </c>
      <c r="E59" s="15">
        <f t="shared" si="0"/>
        <v>4.9318219870234915E-2</v>
      </c>
      <c r="G59" s="1">
        <v>68.974599999999995</v>
      </c>
      <c r="H59" s="1">
        <v>80</v>
      </c>
      <c r="I59" s="1">
        <v>3430.9893000000002</v>
      </c>
      <c r="J59" s="2">
        <v>1</v>
      </c>
      <c r="K59" s="15">
        <f t="shared" si="1"/>
        <v>2.3316889971064611E-2</v>
      </c>
    </row>
    <row r="60" spans="1:11" x14ac:dyDescent="0.4">
      <c r="A60" s="1">
        <v>68.987099999999998</v>
      </c>
      <c r="B60" s="1">
        <v>246</v>
      </c>
      <c r="C60" s="1">
        <v>5536.0328</v>
      </c>
      <c r="D60" s="2">
        <v>1</v>
      </c>
      <c r="E60" s="15">
        <f t="shared" si="0"/>
        <v>4.4436152907186534E-2</v>
      </c>
      <c r="G60" s="1">
        <v>68.9846</v>
      </c>
      <c r="H60" s="1">
        <v>71</v>
      </c>
      <c r="I60" s="1">
        <v>3430.4423000000002</v>
      </c>
      <c r="J60" s="2">
        <v>1</v>
      </c>
      <c r="K60" s="15">
        <f t="shared" si="1"/>
        <v>2.0697039562507725E-2</v>
      </c>
    </row>
    <row r="61" spans="1:11" x14ac:dyDescent="0.4">
      <c r="A61" s="1">
        <v>68.997100000000003</v>
      </c>
      <c r="B61" s="1">
        <v>269</v>
      </c>
      <c r="C61" s="1">
        <v>5535.3523999999998</v>
      </c>
      <c r="D61" s="2">
        <v>1</v>
      </c>
      <c r="E61" s="15">
        <f t="shared" si="0"/>
        <v>4.8596725296116652E-2</v>
      </c>
      <c r="G61" s="1">
        <v>68.994600000000005</v>
      </c>
      <c r="H61" s="1">
        <v>78</v>
      </c>
      <c r="I61" s="1">
        <v>3427.4162000000001</v>
      </c>
      <c r="J61" s="2">
        <v>1</v>
      </c>
      <c r="K61" s="15">
        <f t="shared" si="1"/>
        <v>2.2757668006587586E-2</v>
      </c>
    </row>
    <row r="62" spans="1:11" x14ac:dyDescent="0.4">
      <c r="A62" s="1">
        <v>69.007099999999994</v>
      </c>
      <c r="B62" s="1">
        <v>315</v>
      </c>
      <c r="C62" s="1">
        <v>5534.3811999999998</v>
      </c>
      <c r="D62" s="2">
        <v>1</v>
      </c>
      <c r="E62" s="15">
        <f t="shared" si="0"/>
        <v>5.6916932285040286E-2</v>
      </c>
      <c r="G62" s="1">
        <v>69.004599999999996</v>
      </c>
      <c r="H62" s="1">
        <v>99</v>
      </c>
      <c r="I62" s="1">
        <v>3428.6759000000002</v>
      </c>
      <c r="J62" s="2">
        <v>1</v>
      </c>
      <c r="K62" s="15">
        <f t="shared" si="1"/>
        <v>2.88741201814963E-2</v>
      </c>
    </row>
    <row r="63" spans="1:11" x14ac:dyDescent="0.4">
      <c r="A63" s="1">
        <v>69.017099999999999</v>
      </c>
      <c r="B63" s="1">
        <v>287</v>
      </c>
      <c r="C63" s="1">
        <v>5537.0811999999996</v>
      </c>
      <c r="D63" s="2">
        <v>1</v>
      </c>
      <c r="E63" s="15">
        <f t="shared" si="0"/>
        <v>5.1832362508969533E-2</v>
      </c>
      <c r="G63" s="1">
        <v>69.014600000000002</v>
      </c>
      <c r="H63" s="1">
        <v>88</v>
      </c>
      <c r="I63" s="1">
        <v>3426.7321000000002</v>
      </c>
      <c r="J63" s="2">
        <v>1</v>
      </c>
      <c r="K63" s="15">
        <f t="shared" si="1"/>
        <v>2.5680443475578379E-2</v>
      </c>
    </row>
    <row r="64" spans="1:11" x14ac:dyDescent="0.4">
      <c r="A64" s="1">
        <v>69.027100000000004</v>
      </c>
      <c r="B64" s="1">
        <v>279</v>
      </c>
      <c r="C64" s="1">
        <v>5534.4847</v>
      </c>
      <c r="D64" s="2">
        <v>1</v>
      </c>
      <c r="E64" s="15">
        <f t="shared" si="0"/>
        <v>5.0411197270090927E-2</v>
      </c>
      <c r="G64" s="1">
        <v>69.024600000000007</v>
      </c>
      <c r="H64" s="1">
        <v>107</v>
      </c>
      <c r="I64" s="1">
        <v>3428.2460999999998</v>
      </c>
      <c r="J64" s="2">
        <v>1</v>
      </c>
      <c r="K64" s="15">
        <f t="shared" si="1"/>
        <v>3.1211294895077693E-2</v>
      </c>
    </row>
    <row r="65" spans="1:11" x14ac:dyDescent="0.4">
      <c r="A65" s="1">
        <v>69.037099999999995</v>
      </c>
      <c r="B65" s="1">
        <v>340</v>
      </c>
      <c r="C65" s="1">
        <v>5536.8600999999999</v>
      </c>
      <c r="D65" s="2">
        <v>1</v>
      </c>
      <c r="E65" s="15">
        <f t="shared" si="0"/>
        <v>6.1406644534869138E-2</v>
      </c>
      <c r="G65" s="1">
        <v>69.034599999999998</v>
      </c>
      <c r="H65" s="1">
        <v>90</v>
      </c>
      <c r="I65" s="1">
        <v>3427.8249000000001</v>
      </c>
      <c r="J65" s="2">
        <v>1</v>
      </c>
      <c r="K65" s="15">
        <f t="shared" si="1"/>
        <v>2.6255716854148528E-2</v>
      </c>
    </row>
    <row r="66" spans="1:11" x14ac:dyDescent="0.4">
      <c r="A66" s="1">
        <v>69.0471</v>
      </c>
      <c r="B66" s="1">
        <v>331</v>
      </c>
      <c r="C66" s="1">
        <v>5534.4087</v>
      </c>
      <c r="D66" s="2">
        <v>1</v>
      </c>
      <c r="E66" s="15">
        <f t="shared" si="0"/>
        <v>5.9807653887216532E-2</v>
      </c>
      <c r="G66" s="1">
        <v>69.044600000000003</v>
      </c>
      <c r="H66" s="1">
        <v>93</v>
      </c>
      <c r="I66" s="1">
        <v>3428.8168999999998</v>
      </c>
      <c r="J66" s="2">
        <v>1</v>
      </c>
      <c r="K66" s="15">
        <f t="shared" si="1"/>
        <v>2.7123058102052636E-2</v>
      </c>
    </row>
    <row r="67" spans="1:11" x14ac:dyDescent="0.4">
      <c r="A67" s="1">
        <v>69.057100000000005</v>
      </c>
      <c r="B67" s="1">
        <v>394</v>
      </c>
      <c r="C67" s="1">
        <v>5534.8046999999997</v>
      </c>
      <c r="D67" s="2">
        <v>1</v>
      </c>
      <c r="E67" s="15">
        <f t="shared" si="0"/>
        <v>7.1185890262758511E-2</v>
      </c>
      <c r="G67" s="1">
        <v>69.054599999999994</v>
      </c>
      <c r="H67" s="1">
        <v>99</v>
      </c>
      <c r="I67" s="1">
        <v>3428.2838000000002</v>
      </c>
      <c r="J67" s="2">
        <v>1</v>
      </c>
      <c r="K67" s="15">
        <f t="shared" si="1"/>
        <v>2.8877422575108863E-2</v>
      </c>
    </row>
    <row r="68" spans="1:11" x14ac:dyDescent="0.4">
      <c r="A68" s="1">
        <v>69.067099999999996</v>
      </c>
      <c r="B68" s="1">
        <v>388</v>
      </c>
      <c r="C68" s="1">
        <v>5532.6113999999998</v>
      </c>
      <c r="D68" s="2">
        <v>1</v>
      </c>
      <c r="E68" s="15">
        <f t="shared" si="0"/>
        <v>7.012963173231361E-2</v>
      </c>
      <c r="G68" s="1">
        <v>69.064599999999999</v>
      </c>
      <c r="H68" s="1">
        <v>108</v>
      </c>
      <c r="I68" s="1">
        <v>3427.7678999999998</v>
      </c>
      <c r="J68" s="2">
        <v>1</v>
      </c>
      <c r="K68" s="15">
        <f t="shared" si="1"/>
        <v>3.1507384149317696E-2</v>
      </c>
    </row>
    <row r="69" spans="1:11" x14ac:dyDescent="0.4">
      <c r="A69" s="1">
        <v>69.077100000000002</v>
      </c>
      <c r="B69" s="1">
        <v>380</v>
      </c>
      <c r="C69" s="1">
        <v>5533.1427999999996</v>
      </c>
      <c r="D69" s="2">
        <v>1</v>
      </c>
      <c r="E69" s="15">
        <f t="shared" si="0"/>
        <v>6.8677063602985269E-2</v>
      </c>
      <c r="G69" s="1">
        <v>69.074600000000004</v>
      </c>
      <c r="H69" s="1">
        <v>99</v>
      </c>
      <c r="I69" s="1">
        <v>3426.5817999999999</v>
      </c>
      <c r="J69" s="2">
        <v>1</v>
      </c>
      <c r="K69" s="15">
        <f t="shared" si="1"/>
        <v>2.8891766132651497E-2</v>
      </c>
    </row>
    <row r="70" spans="1:11" x14ac:dyDescent="0.4">
      <c r="A70" s="1">
        <v>69.087100000000007</v>
      </c>
      <c r="B70" s="1">
        <v>418</v>
      </c>
      <c r="C70" s="1">
        <v>5532.0078999999996</v>
      </c>
      <c r="D70" s="2">
        <v>1</v>
      </c>
      <c r="E70" s="15">
        <f t="shared" si="0"/>
        <v>7.5560268090000382E-2</v>
      </c>
      <c r="G70" s="1">
        <v>69.084599999999995</v>
      </c>
      <c r="H70" s="1">
        <v>127</v>
      </c>
      <c r="I70" s="1">
        <v>3425.7928999999999</v>
      </c>
      <c r="J70" s="2">
        <v>1</v>
      </c>
      <c r="K70" s="15">
        <f t="shared" si="1"/>
        <v>3.7071709734701128E-2</v>
      </c>
    </row>
    <row r="71" spans="1:11" x14ac:dyDescent="0.4">
      <c r="A71" s="1">
        <v>69.097099999999998</v>
      </c>
      <c r="B71" s="1">
        <v>437</v>
      </c>
      <c r="C71" s="1">
        <v>5535.4035999999996</v>
      </c>
      <c r="D71" s="2">
        <v>1</v>
      </c>
      <c r="E71" s="15">
        <f t="shared" si="0"/>
        <v>7.8946366259544293E-2</v>
      </c>
      <c r="G71" s="1">
        <v>69.0946</v>
      </c>
      <c r="H71" s="1">
        <v>103</v>
      </c>
      <c r="I71" s="1">
        <v>3427.4141</v>
      </c>
      <c r="J71" s="2">
        <v>1</v>
      </c>
      <c r="K71" s="15">
        <f t="shared" si="1"/>
        <v>3.0051810780611542E-2</v>
      </c>
    </row>
    <row r="72" spans="1:11" x14ac:dyDescent="0.4">
      <c r="A72" s="1">
        <v>69.107100000000003</v>
      </c>
      <c r="B72" s="1">
        <v>477</v>
      </c>
      <c r="C72" s="1">
        <v>5533.8113999999996</v>
      </c>
      <c r="D72" s="2">
        <v>1</v>
      </c>
      <c r="E72" s="15">
        <f t="shared" si="0"/>
        <v>8.6197372031869404E-2</v>
      </c>
      <c r="G72" s="1">
        <v>69.104600000000005</v>
      </c>
      <c r="H72" s="1">
        <v>137</v>
      </c>
      <c r="I72" s="1">
        <v>3425.3959</v>
      </c>
      <c r="J72" s="2">
        <v>1</v>
      </c>
      <c r="K72" s="15">
        <f t="shared" si="1"/>
        <v>3.9995376884756594E-2</v>
      </c>
    </row>
    <row r="73" spans="1:11" x14ac:dyDescent="0.4">
      <c r="A73" s="1">
        <v>69.117099999999994</v>
      </c>
      <c r="B73" s="1">
        <v>472</v>
      </c>
      <c r="C73" s="1">
        <v>5530.9564</v>
      </c>
      <c r="D73" s="2">
        <v>1</v>
      </c>
      <c r="E73" s="15">
        <f t="shared" si="0"/>
        <v>8.5337863086391352E-2</v>
      </c>
      <c r="G73" s="1">
        <v>69.114599999999996</v>
      </c>
      <c r="H73" s="1">
        <v>129</v>
      </c>
      <c r="I73" s="1">
        <v>3425.1963000000001</v>
      </c>
      <c r="J73" s="2">
        <v>1</v>
      </c>
      <c r="K73" s="15">
        <f t="shared" si="1"/>
        <v>3.7662075017423087E-2</v>
      </c>
    </row>
    <row r="74" spans="1:11" x14ac:dyDescent="0.4">
      <c r="A74" s="1">
        <v>69.127099999999999</v>
      </c>
      <c r="B74" s="1">
        <v>494</v>
      </c>
      <c r="C74" s="1">
        <v>5533.9147999999996</v>
      </c>
      <c r="D74" s="2">
        <v>1</v>
      </c>
      <c r="E74" s="15">
        <f t="shared" si="0"/>
        <v>8.9267727793713059E-2</v>
      </c>
      <c r="G74" s="1">
        <v>69.124600000000001</v>
      </c>
      <c r="H74" s="1">
        <v>134</v>
      </c>
      <c r="I74" s="1">
        <v>3423.5961000000002</v>
      </c>
      <c r="J74" s="2">
        <v>1</v>
      </c>
      <c r="K74" s="15">
        <f t="shared" si="1"/>
        <v>3.9140131045248001E-2</v>
      </c>
    </row>
    <row r="75" spans="1:11" x14ac:dyDescent="0.4">
      <c r="A75" s="1">
        <v>69.137100000000004</v>
      </c>
      <c r="B75" s="1">
        <v>536</v>
      </c>
      <c r="C75" s="1">
        <v>5533.7040999999999</v>
      </c>
      <c r="D75" s="2">
        <v>1</v>
      </c>
      <c r="E75" s="15">
        <f t="shared" si="0"/>
        <v>9.6860979610384298E-2</v>
      </c>
      <c r="G75" s="1">
        <v>69.134600000000006</v>
      </c>
      <c r="H75" s="1">
        <v>154</v>
      </c>
      <c r="I75" s="1">
        <v>3424.3171000000002</v>
      </c>
      <c r="J75" s="2">
        <v>1</v>
      </c>
      <c r="K75" s="15">
        <f t="shared" si="1"/>
        <v>4.4972470569387392E-2</v>
      </c>
    </row>
    <row r="76" spans="1:11" x14ac:dyDescent="0.4">
      <c r="A76" s="1">
        <v>69.147099999999995</v>
      </c>
      <c r="B76" s="1">
        <v>550</v>
      </c>
      <c r="C76" s="1">
        <v>5531.2155000000002</v>
      </c>
      <c r="D76" s="2">
        <v>1</v>
      </c>
      <c r="E76" s="15">
        <f t="shared" si="0"/>
        <v>9.9435648457377943E-2</v>
      </c>
      <c r="G76" s="1">
        <v>69.144599999999997</v>
      </c>
      <c r="H76" s="1">
        <v>162</v>
      </c>
      <c r="I76" s="1">
        <v>3424.4016000000001</v>
      </c>
      <c r="J76" s="2">
        <v>1</v>
      </c>
      <c r="K76" s="15">
        <f t="shared" si="1"/>
        <v>4.7307535424583373E-2</v>
      </c>
    </row>
    <row r="77" spans="1:11" x14ac:dyDescent="0.4">
      <c r="A77" s="1">
        <v>69.1571</v>
      </c>
      <c r="B77" s="1">
        <v>654</v>
      </c>
      <c r="C77" s="1">
        <v>5531.0645999999997</v>
      </c>
      <c r="D77" s="2">
        <v>1</v>
      </c>
      <c r="E77" s="15">
        <f t="shared" si="0"/>
        <v>0.11824125142201378</v>
      </c>
      <c r="G77" s="1">
        <v>69.154600000000002</v>
      </c>
      <c r="H77" s="1">
        <v>157</v>
      </c>
      <c r="I77" s="1">
        <v>3424.5821999999998</v>
      </c>
      <c r="J77" s="2">
        <v>1</v>
      </c>
      <c r="K77" s="15">
        <f t="shared" si="1"/>
        <v>4.5845008480158544E-2</v>
      </c>
    </row>
    <row r="78" spans="1:11" x14ac:dyDescent="0.4">
      <c r="A78" s="1">
        <v>69.167100000000005</v>
      </c>
      <c r="B78" s="1">
        <v>675</v>
      </c>
      <c r="C78" s="1">
        <v>5528.0092000000004</v>
      </c>
      <c r="D78" s="2">
        <v>1</v>
      </c>
      <c r="E78" s="15">
        <f t="shared" si="0"/>
        <v>0.12210544077965715</v>
      </c>
      <c r="G78" s="1">
        <v>69.164599999999993</v>
      </c>
      <c r="H78" s="1">
        <v>159</v>
      </c>
      <c r="I78" s="1">
        <v>3423.8328000000001</v>
      </c>
      <c r="J78" s="2">
        <v>1</v>
      </c>
      <c r="K78" s="15">
        <f t="shared" si="1"/>
        <v>4.643918359564754E-2</v>
      </c>
    </row>
    <row r="79" spans="1:11" x14ac:dyDescent="0.4">
      <c r="A79" s="1">
        <v>69.177099999999996</v>
      </c>
      <c r="B79" s="1">
        <v>722</v>
      </c>
      <c r="C79" s="1">
        <v>5528.5095000000001</v>
      </c>
      <c r="D79" s="2">
        <v>1</v>
      </c>
      <c r="E79" s="15">
        <f t="shared" si="0"/>
        <v>0.13059577812066706</v>
      </c>
      <c r="G79" s="1">
        <v>69.174599999999998</v>
      </c>
      <c r="H79" s="1">
        <v>162</v>
      </c>
      <c r="I79" s="1">
        <v>3425.0039999999999</v>
      </c>
      <c r="J79" s="2">
        <v>1</v>
      </c>
      <c r="K79" s="15">
        <f t="shared" si="1"/>
        <v>4.7299214833033773E-2</v>
      </c>
    </row>
    <row r="80" spans="1:11" x14ac:dyDescent="0.4">
      <c r="A80" s="1">
        <v>69.187100000000001</v>
      </c>
      <c r="B80" s="1">
        <v>676</v>
      </c>
      <c r="C80" s="1">
        <v>5526.3037999999997</v>
      </c>
      <c r="D80" s="2">
        <v>1</v>
      </c>
      <c r="E80" s="15">
        <f t="shared" si="0"/>
        <v>0.12232407490880252</v>
      </c>
      <c r="G80" s="1">
        <v>69.184600000000003</v>
      </c>
      <c r="H80" s="1">
        <v>172</v>
      </c>
      <c r="I80" s="1">
        <v>3423.0572000000002</v>
      </c>
      <c r="J80" s="2">
        <v>1</v>
      </c>
      <c r="K80" s="15">
        <f t="shared" si="1"/>
        <v>5.024748052705634E-2</v>
      </c>
    </row>
    <row r="81" spans="1:11" x14ac:dyDescent="0.4">
      <c r="A81" s="1">
        <v>69.197100000000006</v>
      </c>
      <c r="B81" s="1">
        <v>807</v>
      </c>
      <c r="C81" s="1">
        <v>5524.6498000000001</v>
      </c>
      <c r="D81" s="2">
        <v>1</v>
      </c>
      <c r="E81" s="15">
        <f t="shared" si="0"/>
        <v>0.14607260717231343</v>
      </c>
      <c r="G81" s="1">
        <v>69.194599999999994</v>
      </c>
      <c r="H81" s="1">
        <v>196</v>
      </c>
      <c r="I81" s="1">
        <v>3423.9308000000001</v>
      </c>
      <c r="J81" s="2">
        <v>1</v>
      </c>
      <c r="K81" s="15">
        <f t="shared" si="1"/>
        <v>5.7244147574477849E-2</v>
      </c>
    </row>
    <row r="82" spans="1:11" x14ac:dyDescent="0.4">
      <c r="A82" s="1">
        <v>69.207099999999997</v>
      </c>
      <c r="B82" s="1">
        <v>828</v>
      </c>
      <c r="C82" s="1">
        <v>5524.4273000000003</v>
      </c>
      <c r="D82" s="2">
        <v>1</v>
      </c>
      <c r="E82" s="15">
        <f t="shared" si="0"/>
        <v>0.14987978934938648</v>
      </c>
      <c r="G82" s="1">
        <v>69.204599999999999</v>
      </c>
      <c r="H82" s="1">
        <v>181</v>
      </c>
      <c r="I82" s="1">
        <v>3423.9328999999998</v>
      </c>
      <c r="J82" s="2">
        <v>1</v>
      </c>
      <c r="K82" s="15">
        <f t="shared" si="1"/>
        <v>5.2863185490580146E-2</v>
      </c>
    </row>
    <row r="83" spans="1:11" x14ac:dyDescent="0.4">
      <c r="A83" s="1">
        <v>69.217100000000002</v>
      </c>
      <c r="B83" s="1">
        <v>868</v>
      </c>
      <c r="C83" s="1">
        <v>5524.0650999999998</v>
      </c>
      <c r="D83" s="2">
        <v>1</v>
      </c>
      <c r="E83" s="15">
        <f t="shared" si="0"/>
        <v>0.15713066089680949</v>
      </c>
      <c r="G83" s="1">
        <v>69.214600000000004</v>
      </c>
      <c r="H83" s="1">
        <v>229</v>
      </c>
      <c r="I83" s="1">
        <v>3422.9796000000001</v>
      </c>
      <c r="J83" s="2">
        <v>1</v>
      </c>
      <c r="K83" s="15">
        <f t="shared" si="1"/>
        <v>6.6900778491347124E-2</v>
      </c>
    </row>
    <row r="84" spans="1:11" x14ac:dyDescent="0.4">
      <c r="A84" s="1">
        <v>69.227099999999993</v>
      </c>
      <c r="B84" s="1">
        <v>927</v>
      </c>
      <c r="C84" s="1">
        <v>5526.2196999999996</v>
      </c>
      <c r="D84" s="2">
        <v>1</v>
      </c>
      <c r="E84" s="15">
        <f t="shared" si="0"/>
        <v>0.16774577384246958</v>
      </c>
      <c r="G84" s="1">
        <v>69.224599999999995</v>
      </c>
      <c r="H84" s="1">
        <v>223</v>
      </c>
      <c r="I84" s="1">
        <v>3423.3213000000001</v>
      </c>
      <c r="J84" s="2">
        <v>1</v>
      </c>
      <c r="K84" s="15">
        <f t="shared" si="1"/>
        <v>6.5141416904104216E-2</v>
      </c>
    </row>
    <row r="85" spans="1:11" x14ac:dyDescent="0.4">
      <c r="A85" s="1">
        <v>69.237099999999998</v>
      </c>
      <c r="B85" s="1">
        <v>1000</v>
      </c>
      <c r="C85" s="1">
        <v>5526.1679000000004</v>
      </c>
      <c r="D85" s="2">
        <v>1</v>
      </c>
      <c r="E85" s="15">
        <f t="shared" ref="E85:E148" si="2">B85/C85*D85</f>
        <v>0.18095722354002308</v>
      </c>
      <c r="G85" s="1">
        <v>69.2346</v>
      </c>
      <c r="H85" s="1">
        <v>234</v>
      </c>
      <c r="I85" s="1">
        <v>3424.8092999999999</v>
      </c>
      <c r="J85" s="2">
        <v>1</v>
      </c>
      <c r="K85" s="15">
        <f t="shared" ref="K85:K148" si="3">H85/I85*J85</f>
        <v>6.8324972137864731E-2</v>
      </c>
    </row>
    <row r="86" spans="1:11" x14ac:dyDescent="0.4">
      <c r="A86" s="1">
        <v>69.247100000000003</v>
      </c>
      <c r="B86" s="1">
        <v>1100</v>
      </c>
      <c r="C86" s="1">
        <v>5525.4962999999998</v>
      </c>
      <c r="D86" s="2">
        <v>1</v>
      </c>
      <c r="E86" s="15">
        <f t="shared" si="2"/>
        <v>0.19907713991230075</v>
      </c>
      <c r="G86" s="1">
        <v>69.244600000000005</v>
      </c>
      <c r="H86" s="1">
        <v>255</v>
      </c>
      <c r="I86" s="1">
        <v>3424.2161000000001</v>
      </c>
      <c r="J86" s="2">
        <v>1</v>
      </c>
      <c r="K86" s="15">
        <f t="shared" si="3"/>
        <v>7.446959904195298E-2</v>
      </c>
    </row>
    <row r="87" spans="1:11" x14ac:dyDescent="0.4">
      <c r="A87" s="1">
        <v>69.257099999999994</v>
      </c>
      <c r="B87" s="1">
        <v>1157</v>
      </c>
      <c r="C87" s="1">
        <v>5523.5742</v>
      </c>
      <c r="D87" s="2">
        <v>1</v>
      </c>
      <c r="E87" s="15">
        <f t="shared" si="2"/>
        <v>0.20946582015681078</v>
      </c>
      <c r="G87" s="1">
        <v>69.254599999999996</v>
      </c>
      <c r="H87" s="1">
        <v>242</v>
      </c>
      <c r="I87" s="1">
        <v>3423.9511000000002</v>
      </c>
      <c r="J87" s="2">
        <v>1</v>
      </c>
      <c r="K87" s="15">
        <f t="shared" si="3"/>
        <v>7.0678579492563426E-2</v>
      </c>
    </row>
    <row r="88" spans="1:11" x14ac:dyDescent="0.4">
      <c r="A88" s="1">
        <v>69.267099999999999</v>
      </c>
      <c r="B88" s="1">
        <v>1202</v>
      </c>
      <c r="C88" s="1">
        <v>5521.3585999999996</v>
      </c>
      <c r="D88" s="2">
        <v>1</v>
      </c>
      <c r="E88" s="15">
        <f t="shared" si="2"/>
        <v>0.21770004215991334</v>
      </c>
      <c r="G88" s="1">
        <v>69.264600000000002</v>
      </c>
      <c r="H88" s="1">
        <v>279</v>
      </c>
      <c r="I88" s="1">
        <v>3422.9445000000001</v>
      </c>
      <c r="J88" s="2">
        <v>1</v>
      </c>
      <c r="K88" s="15">
        <f t="shared" si="3"/>
        <v>8.1508771176395059E-2</v>
      </c>
    </row>
    <row r="89" spans="1:11" x14ac:dyDescent="0.4">
      <c r="A89" s="1">
        <v>69.277100000000004</v>
      </c>
      <c r="B89" s="1">
        <v>1312</v>
      </c>
      <c r="C89" s="1">
        <v>5520.4032999999999</v>
      </c>
      <c r="D89" s="2">
        <v>1</v>
      </c>
      <c r="E89" s="15">
        <f t="shared" si="2"/>
        <v>0.23766379532451914</v>
      </c>
      <c r="G89" s="1">
        <v>69.274600000000007</v>
      </c>
      <c r="H89" s="1">
        <v>299</v>
      </c>
      <c r="I89" s="1">
        <v>3423.0614</v>
      </c>
      <c r="J89" s="2">
        <v>1</v>
      </c>
      <c r="K89" s="15">
        <f t="shared" si="3"/>
        <v>8.7348710718422984E-2</v>
      </c>
    </row>
    <row r="90" spans="1:11" x14ac:dyDescent="0.4">
      <c r="A90" s="1">
        <v>69.287099999999995</v>
      </c>
      <c r="B90" s="1">
        <v>1404</v>
      </c>
      <c r="C90" s="1">
        <v>5521.5357999999997</v>
      </c>
      <c r="D90" s="2">
        <v>1</v>
      </c>
      <c r="E90" s="15">
        <f t="shared" si="2"/>
        <v>0.25427707993852</v>
      </c>
      <c r="G90" s="1">
        <v>69.284599999999998</v>
      </c>
      <c r="H90" s="1">
        <v>307</v>
      </c>
      <c r="I90" s="1">
        <v>3423.6095</v>
      </c>
      <c r="J90" s="2">
        <v>1</v>
      </c>
      <c r="K90" s="15">
        <f t="shared" si="3"/>
        <v>8.9671441792646037E-2</v>
      </c>
    </row>
    <row r="91" spans="1:11" x14ac:dyDescent="0.4">
      <c r="A91" s="1">
        <v>69.2971</v>
      </c>
      <c r="B91" s="1">
        <v>1482</v>
      </c>
      <c r="C91" s="1">
        <v>5522.7721000000001</v>
      </c>
      <c r="D91" s="2">
        <v>1</v>
      </c>
      <c r="E91" s="15">
        <f t="shared" si="2"/>
        <v>0.26834350090238196</v>
      </c>
      <c r="G91" s="1">
        <v>69.294600000000003</v>
      </c>
      <c r="H91" s="1">
        <v>300</v>
      </c>
      <c r="I91" s="1">
        <v>3424.5039999999999</v>
      </c>
      <c r="J91" s="2">
        <v>1</v>
      </c>
      <c r="K91" s="15">
        <f t="shared" si="3"/>
        <v>8.7603927459275852E-2</v>
      </c>
    </row>
    <row r="92" spans="1:11" x14ac:dyDescent="0.4">
      <c r="A92" s="1">
        <v>69.307100000000005</v>
      </c>
      <c r="B92" s="1">
        <v>1577</v>
      </c>
      <c r="C92" s="1">
        <v>5517.7999</v>
      </c>
      <c r="D92" s="2">
        <v>1</v>
      </c>
      <c r="E92" s="15">
        <f t="shared" si="2"/>
        <v>0.28580231769550035</v>
      </c>
      <c r="G92" s="1">
        <v>69.304599999999994</v>
      </c>
      <c r="H92" s="1">
        <v>367</v>
      </c>
      <c r="I92" s="1">
        <v>3424.5866999999998</v>
      </c>
      <c r="J92" s="2">
        <v>1</v>
      </c>
      <c r="K92" s="15">
        <f t="shared" si="3"/>
        <v>0.10716621658315732</v>
      </c>
    </row>
    <row r="93" spans="1:11" x14ac:dyDescent="0.4">
      <c r="A93" s="1">
        <v>69.317099999999996</v>
      </c>
      <c r="B93" s="1">
        <v>1730</v>
      </c>
      <c r="C93" s="1">
        <v>5514.7143999999998</v>
      </c>
      <c r="D93" s="2">
        <v>1</v>
      </c>
      <c r="E93" s="15">
        <f t="shared" si="2"/>
        <v>0.31370618213701151</v>
      </c>
      <c r="G93" s="1">
        <v>69.314599999999999</v>
      </c>
      <c r="H93" s="1">
        <v>367</v>
      </c>
      <c r="I93" s="1">
        <v>3424.6986999999999</v>
      </c>
      <c r="J93" s="2">
        <v>1</v>
      </c>
      <c r="K93" s="15">
        <f t="shared" si="3"/>
        <v>0.10716271186133834</v>
      </c>
    </row>
    <row r="94" spans="1:11" x14ac:dyDescent="0.4">
      <c r="A94" s="1">
        <v>69.327100000000002</v>
      </c>
      <c r="B94" s="1">
        <v>1774</v>
      </c>
      <c r="C94" s="1">
        <v>5514.2862999999998</v>
      </c>
      <c r="D94" s="2">
        <v>1</v>
      </c>
      <c r="E94" s="15">
        <f t="shared" si="2"/>
        <v>0.32170981038833624</v>
      </c>
      <c r="G94" s="1">
        <v>69.324600000000004</v>
      </c>
      <c r="H94" s="1">
        <v>394</v>
      </c>
      <c r="I94" s="1">
        <v>3425.7384999999999</v>
      </c>
      <c r="J94" s="2">
        <v>1</v>
      </c>
      <c r="K94" s="15">
        <f t="shared" si="3"/>
        <v>0.11501169747778472</v>
      </c>
    </row>
    <row r="95" spans="1:11" x14ac:dyDescent="0.4">
      <c r="A95" s="1">
        <v>69.337100000000007</v>
      </c>
      <c r="B95" s="1">
        <v>1980</v>
      </c>
      <c r="C95" s="1">
        <v>5513.8643000000002</v>
      </c>
      <c r="D95" s="2">
        <v>1</v>
      </c>
      <c r="E95" s="15">
        <f t="shared" si="2"/>
        <v>0.35909480035625829</v>
      </c>
      <c r="G95" s="1">
        <v>69.334599999999995</v>
      </c>
      <c r="H95" s="1">
        <v>395</v>
      </c>
      <c r="I95" s="1">
        <v>3423.8894</v>
      </c>
      <c r="J95" s="2">
        <v>1</v>
      </c>
      <c r="K95" s="15">
        <f t="shared" si="3"/>
        <v>0.11536587601223333</v>
      </c>
    </row>
    <row r="96" spans="1:11" x14ac:dyDescent="0.4">
      <c r="A96" s="1">
        <v>69.347099999999998</v>
      </c>
      <c r="B96" s="1">
        <v>2111</v>
      </c>
      <c r="C96" s="1">
        <v>5516.1994000000004</v>
      </c>
      <c r="D96" s="2">
        <v>1</v>
      </c>
      <c r="E96" s="15">
        <f t="shared" si="2"/>
        <v>0.38269102454853243</v>
      </c>
      <c r="G96" s="1">
        <v>69.3446</v>
      </c>
      <c r="H96" s="1">
        <v>454</v>
      </c>
      <c r="I96" s="1">
        <v>3424.5070000000001</v>
      </c>
      <c r="J96" s="2">
        <v>1</v>
      </c>
      <c r="K96" s="15">
        <f t="shared" si="3"/>
        <v>0.13257382741515786</v>
      </c>
    </row>
    <row r="97" spans="1:11" x14ac:dyDescent="0.4">
      <c r="A97" s="1">
        <v>69.357100000000003</v>
      </c>
      <c r="B97" s="1">
        <v>2441</v>
      </c>
      <c r="C97" s="1">
        <v>5515.3397999999997</v>
      </c>
      <c r="D97" s="2">
        <v>1</v>
      </c>
      <c r="E97" s="15">
        <f t="shared" si="2"/>
        <v>0.44258379148280225</v>
      </c>
      <c r="G97" s="1">
        <v>69.354600000000005</v>
      </c>
      <c r="H97" s="1">
        <v>500</v>
      </c>
      <c r="I97" s="1">
        <v>3426.8845000000001</v>
      </c>
      <c r="J97" s="2">
        <v>1</v>
      </c>
      <c r="K97" s="15">
        <f t="shared" si="3"/>
        <v>0.14590512169289627</v>
      </c>
    </row>
    <row r="98" spans="1:11" x14ac:dyDescent="0.4">
      <c r="A98" s="1">
        <v>69.367099999999994</v>
      </c>
      <c r="B98" s="1">
        <v>2687</v>
      </c>
      <c r="C98" s="1">
        <v>5515.9368999999997</v>
      </c>
      <c r="D98" s="2">
        <v>1</v>
      </c>
      <c r="E98" s="15">
        <f t="shared" si="2"/>
        <v>0.48713392642327003</v>
      </c>
      <c r="G98" s="1">
        <v>69.364599999999996</v>
      </c>
      <c r="H98" s="1">
        <v>551</v>
      </c>
      <c r="I98" s="1">
        <v>3424.6797000000001</v>
      </c>
      <c r="J98" s="2">
        <v>1</v>
      </c>
      <c r="K98" s="15">
        <f t="shared" si="3"/>
        <v>0.16089095864935923</v>
      </c>
    </row>
    <row r="99" spans="1:11" x14ac:dyDescent="0.4">
      <c r="A99" s="1">
        <v>69.377099999999999</v>
      </c>
      <c r="B99" s="1">
        <v>2808</v>
      </c>
      <c r="C99" s="1">
        <v>5517.1301999999996</v>
      </c>
      <c r="D99" s="2">
        <v>1</v>
      </c>
      <c r="E99" s="15">
        <f t="shared" si="2"/>
        <v>0.50896025618536245</v>
      </c>
      <c r="G99" s="1">
        <v>69.374600000000001</v>
      </c>
      <c r="H99" s="1">
        <v>570</v>
      </c>
      <c r="I99" s="1">
        <v>3425.4695999999999</v>
      </c>
      <c r="J99" s="2">
        <v>1</v>
      </c>
      <c r="K99" s="15">
        <f t="shared" si="3"/>
        <v>0.16640054257086387</v>
      </c>
    </row>
    <row r="100" spans="1:11" x14ac:dyDescent="0.4">
      <c r="A100" s="1">
        <v>69.387100000000004</v>
      </c>
      <c r="B100" s="1">
        <v>3165</v>
      </c>
      <c r="C100" s="1">
        <v>5514.6491999999998</v>
      </c>
      <c r="D100" s="2">
        <v>1</v>
      </c>
      <c r="E100" s="15">
        <f t="shared" si="2"/>
        <v>0.57392589903996072</v>
      </c>
      <c r="G100" s="1">
        <v>69.384600000000006</v>
      </c>
      <c r="H100" s="1">
        <v>580</v>
      </c>
      <c r="I100" s="1">
        <v>3423.3651</v>
      </c>
      <c r="J100" s="2">
        <v>1</v>
      </c>
      <c r="K100" s="15">
        <f t="shared" si="3"/>
        <v>0.1694239390358919</v>
      </c>
    </row>
    <row r="101" spans="1:11" x14ac:dyDescent="0.4">
      <c r="A101" s="1">
        <v>69.397099999999995</v>
      </c>
      <c r="B101" s="1">
        <v>3700</v>
      </c>
      <c r="C101" s="1">
        <v>5515.6154999999999</v>
      </c>
      <c r="D101" s="2">
        <v>1</v>
      </c>
      <c r="E101" s="15">
        <f t="shared" si="2"/>
        <v>0.6708226851563529</v>
      </c>
      <c r="G101" s="1">
        <v>69.394599999999997</v>
      </c>
      <c r="H101" s="1">
        <v>664</v>
      </c>
      <c r="I101" s="1">
        <v>3423.6631000000002</v>
      </c>
      <c r="J101" s="2">
        <v>1</v>
      </c>
      <c r="K101" s="15">
        <f t="shared" si="3"/>
        <v>0.19394431654212704</v>
      </c>
    </row>
    <row r="102" spans="1:11" x14ac:dyDescent="0.4">
      <c r="A102" s="1">
        <v>69.4071</v>
      </c>
      <c r="B102" s="1">
        <v>4078</v>
      </c>
      <c r="C102" s="1">
        <v>5514.9422999999997</v>
      </c>
      <c r="D102" s="2">
        <v>1</v>
      </c>
      <c r="E102" s="15">
        <f t="shared" si="2"/>
        <v>0.73944563300326827</v>
      </c>
      <c r="G102" s="1">
        <v>69.404600000000002</v>
      </c>
      <c r="H102" s="1">
        <v>790</v>
      </c>
      <c r="I102" s="1">
        <v>3423.1390000000001</v>
      </c>
      <c r="J102" s="2">
        <v>1</v>
      </c>
      <c r="K102" s="15">
        <f t="shared" si="3"/>
        <v>0.23078233165524389</v>
      </c>
    </row>
    <row r="103" spans="1:11" x14ac:dyDescent="0.4">
      <c r="A103" s="1">
        <v>69.417100000000005</v>
      </c>
      <c r="B103" s="1">
        <v>4494</v>
      </c>
      <c r="C103" s="1">
        <v>5513.8226000000004</v>
      </c>
      <c r="D103" s="2">
        <v>1</v>
      </c>
      <c r="E103" s="15">
        <f t="shared" si="2"/>
        <v>0.81504254416890376</v>
      </c>
      <c r="G103" s="1">
        <v>69.414599999999993</v>
      </c>
      <c r="H103" s="1">
        <v>789</v>
      </c>
      <c r="I103" s="1">
        <v>3423.2109</v>
      </c>
      <c r="J103" s="2">
        <v>1</v>
      </c>
      <c r="K103" s="15">
        <f t="shared" si="3"/>
        <v>0.2304853609808265</v>
      </c>
    </row>
    <row r="104" spans="1:11" x14ac:dyDescent="0.4">
      <c r="A104" s="1">
        <v>69.427099999999996</v>
      </c>
      <c r="B104" s="1">
        <v>5028</v>
      </c>
      <c r="C104" s="1">
        <v>5516.0874999999996</v>
      </c>
      <c r="D104" s="2">
        <v>1</v>
      </c>
      <c r="E104" s="15">
        <f t="shared" si="2"/>
        <v>0.91151563494959065</v>
      </c>
      <c r="G104" s="1">
        <v>69.424599999999998</v>
      </c>
      <c r="H104" s="1">
        <v>927</v>
      </c>
      <c r="I104" s="1">
        <v>3422.0201999999999</v>
      </c>
      <c r="J104" s="2">
        <v>1</v>
      </c>
      <c r="K104" s="15">
        <f t="shared" si="3"/>
        <v>0.27089261483611349</v>
      </c>
    </row>
    <row r="105" spans="1:11" x14ac:dyDescent="0.4">
      <c r="A105" s="1">
        <v>69.437100000000001</v>
      </c>
      <c r="B105" s="1">
        <v>5712</v>
      </c>
      <c r="C105" s="1">
        <v>5513.0814</v>
      </c>
      <c r="D105" s="2">
        <v>1</v>
      </c>
      <c r="E105" s="15">
        <f t="shared" si="2"/>
        <v>1.0360812013405063</v>
      </c>
      <c r="G105" s="1">
        <v>69.434600000000003</v>
      </c>
      <c r="H105" s="1">
        <v>1118</v>
      </c>
      <c r="I105" s="1">
        <v>3422.5011</v>
      </c>
      <c r="J105" s="2">
        <v>1</v>
      </c>
      <c r="K105" s="15">
        <f t="shared" si="3"/>
        <v>0.32666169194218814</v>
      </c>
    </row>
    <row r="106" spans="1:11" x14ac:dyDescent="0.4">
      <c r="A106" s="1">
        <v>69.447100000000006</v>
      </c>
      <c r="B106" s="1">
        <v>6669</v>
      </c>
      <c r="C106" s="1">
        <v>5513.2682000000004</v>
      </c>
      <c r="D106" s="2">
        <v>1</v>
      </c>
      <c r="E106" s="15">
        <f t="shared" si="2"/>
        <v>1.2096273495274543</v>
      </c>
      <c r="G106" s="1">
        <v>69.444599999999994</v>
      </c>
      <c r="H106" s="1">
        <v>1319</v>
      </c>
      <c r="I106" s="1">
        <v>3419.6880000000001</v>
      </c>
      <c r="J106" s="2">
        <v>1</v>
      </c>
      <c r="K106" s="15">
        <f t="shared" si="3"/>
        <v>0.3857077019891873</v>
      </c>
    </row>
    <row r="107" spans="1:11" x14ac:dyDescent="0.4">
      <c r="A107" s="1">
        <v>69.457099999999997</v>
      </c>
      <c r="B107" s="1">
        <v>7705</v>
      </c>
      <c r="C107" s="1">
        <v>5512.3703999999998</v>
      </c>
      <c r="D107" s="2">
        <v>1</v>
      </c>
      <c r="E107" s="15">
        <f t="shared" si="2"/>
        <v>1.3977652880510352</v>
      </c>
      <c r="G107" s="1">
        <v>69.454599999999999</v>
      </c>
      <c r="H107" s="1">
        <v>1315</v>
      </c>
      <c r="I107" s="1">
        <v>3419.3883999999998</v>
      </c>
      <c r="J107" s="2">
        <v>1</v>
      </c>
      <c r="K107" s="15">
        <f t="shared" si="3"/>
        <v>0.38457169709062594</v>
      </c>
    </row>
    <row r="108" spans="1:11" x14ac:dyDescent="0.4">
      <c r="A108" s="1">
        <v>69.467100000000002</v>
      </c>
      <c r="B108" s="1">
        <v>9033</v>
      </c>
      <c r="C108" s="1">
        <v>5509.7341999999999</v>
      </c>
      <c r="D108" s="2">
        <v>1</v>
      </c>
      <c r="E108" s="15">
        <f t="shared" si="2"/>
        <v>1.6394620270429743</v>
      </c>
      <c r="G108" s="1">
        <v>69.464600000000004</v>
      </c>
      <c r="H108" s="1">
        <v>1730</v>
      </c>
      <c r="I108" s="1">
        <v>3419.2764999999999</v>
      </c>
      <c r="J108" s="2">
        <v>1</v>
      </c>
      <c r="K108" s="15">
        <f t="shared" si="3"/>
        <v>0.50595498784611304</v>
      </c>
    </row>
    <row r="109" spans="1:11" x14ac:dyDescent="0.4">
      <c r="A109" s="1">
        <v>69.477099999999993</v>
      </c>
      <c r="B109" s="1">
        <v>11014</v>
      </c>
      <c r="C109" s="1">
        <v>5509.2521999999999</v>
      </c>
      <c r="D109" s="2">
        <v>1</v>
      </c>
      <c r="E109" s="15">
        <f t="shared" si="2"/>
        <v>1.9991823935742132</v>
      </c>
      <c r="G109" s="1">
        <v>69.474599999999995</v>
      </c>
      <c r="H109" s="1">
        <v>1928</v>
      </c>
      <c r="I109" s="1">
        <v>3419.6707999999999</v>
      </c>
      <c r="J109" s="2">
        <v>1</v>
      </c>
      <c r="K109" s="15">
        <f t="shared" si="3"/>
        <v>0.56379695963716747</v>
      </c>
    </row>
    <row r="110" spans="1:11" x14ac:dyDescent="0.4">
      <c r="A110" s="1">
        <v>69.487099999999998</v>
      </c>
      <c r="B110" s="1">
        <v>13329</v>
      </c>
      <c r="C110" s="1">
        <v>5500.3365000000003</v>
      </c>
      <c r="D110" s="2">
        <v>1</v>
      </c>
      <c r="E110" s="15">
        <f t="shared" si="2"/>
        <v>2.4233062831701297</v>
      </c>
      <c r="G110" s="1">
        <v>69.4846</v>
      </c>
      <c r="H110" s="1">
        <v>2380</v>
      </c>
      <c r="I110" s="1">
        <v>3418.4292</v>
      </c>
      <c r="J110" s="2">
        <v>1</v>
      </c>
      <c r="K110" s="15">
        <f t="shared" si="3"/>
        <v>0.69622620822452608</v>
      </c>
    </row>
    <row r="111" spans="1:11" x14ac:dyDescent="0.4">
      <c r="A111" s="1">
        <v>69.497100000000003</v>
      </c>
      <c r="B111" s="1">
        <v>16412</v>
      </c>
      <c r="C111" s="1">
        <v>5498.5729000000001</v>
      </c>
      <c r="D111" s="2">
        <v>1</v>
      </c>
      <c r="E111" s="15">
        <f t="shared" si="2"/>
        <v>2.9847744675713948</v>
      </c>
      <c r="G111" s="1">
        <v>69.494600000000005</v>
      </c>
      <c r="H111" s="1">
        <v>2777</v>
      </c>
      <c r="I111" s="1">
        <v>3418.3407000000002</v>
      </c>
      <c r="J111" s="2">
        <v>1</v>
      </c>
      <c r="K111" s="15">
        <f t="shared" si="3"/>
        <v>0.81238245210607585</v>
      </c>
    </row>
    <row r="112" spans="1:11" x14ac:dyDescent="0.4">
      <c r="A112" s="1">
        <v>69.507099999999994</v>
      </c>
      <c r="B112" s="1">
        <v>21029</v>
      </c>
      <c r="C112" s="1">
        <v>5496.3877000000002</v>
      </c>
      <c r="D112" s="2">
        <v>1</v>
      </c>
      <c r="E112" s="15">
        <f t="shared" si="2"/>
        <v>3.8259673712609463</v>
      </c>
      <c r="G112" s="1">
        <v>69.504599999999996</v>
      </c>
      <c r="H112" s="1">
        <v>3529</v>
      </c>
      <c r="I112" s="1">
        <v>3418.98</v>
      </c>
      <c r="J112" s="2">
        <v>1</v>
      </c>
      <c r="K112" s="15">
        <f t="shared" si="3"/>
        <v>1.0321791879449427</v>
      </c>
    </row>
    <row r="113" spans="1:11" x14ac:dyDescent="0.4">
      <c r="A113" s="1">
        <v>69.517099999999999</v>
      </c>
      <c r="B113" s="1">
        <v>27701</v>
      </c>
      <c r="C113" s="1">
        <v>5493.6900999999998</v>
      </c>
      <c r="D113" s="2">
        <v>1</v>
      </c>
      <c r="E113" s="15">
        <f t="shared" si="2"/>
        <v>5.0423302908913632</v>
      </c>
      <c r="G113" s="1">
        <v>69.514600000000002</v>
      </c>
      <c r="H113" s="1">
        <v>4394</v>
      </c>
      <c r="I113" s="1">
        <v>3418.4805999999999</v>
      </c>
      <c r="J113" s="2">
        <v>1</v>
      </c>
      <c r="K113" s="15">
        <f t="shared" si="3"/>
        <v>1.2853663700768114</v>
      </c>
    </row>
    <row r="114" spans="1:11" x14ac:dyDescent="0.4">
      <c r="A114" s="1">
        <v>69.527100000000004</v>
      </c>
      <c r="B114" s="1">
        <v>39140</v>
      </c>
      <c r="C114" s="1">
        <v>5492.1454000000003</v>
      </c>
      <c r="D114" s="2">
        <v>1</v>
      </c>
      <c r="E114" s="15">
        <f t="shared" si="2"/>
        <v>7.126541114516014</v>
      </c>
      <c r="G114" s="1">
        <v>69.524600000000007</v>
      </c>
      <c r="H114" s="1">
        <v>5901</v>
      </c>
      <c r="I114" s="1">
        <v>3418.1518000000001</v>
      </c>
      <c r="J114" s="2">
        <v>1</v>
      </c>
      <c r="K114" s="15">
        <f t="shared" si="3"/>
        <v>1.726371543826696</v>
      </c>
    </row>
    <row r="115" spans="1:11" x14ac:dyDescent="0.4">
      <c r="A115" s="1">
        <v>69.537099999999995</v>
      </c>
      <c r="B115" s="1">
        <v>58535</v>
      </c>
      <c r="C115" s="1">
        <v>5491.7681000000002</v>
      </c>
      <c r="D115" s="2">
        <v>1</v>
      </c>
      <c r="E115" s="15">
        <f t="shared" si="2"/>
        <v>10.658680216304107</v>
      </c>
      <c r="G115" s="1">
        <v>69.534599999999998</v>
      </c>
      <c r="H115" s="1">
        <v>8592</v>
      </c>
      <c r="I115" s="1">
        <v>3418.7586999999999</v>
      </c>
      <c r="J115" s="2">
        <v>1</v>
      </c>
      <c r="K115" s="15">
        <f t="shared" si="3"/>
        <v>2.5131928731910795</v>
      </c>
    </row>
    <row r="116" spans="1:11" x14ac:dyDescent="0.4">
      <c r="A116" s="1">
        <v>69.5471</v>
      </c>
      <c r="B116" s="1">
        <v>96724</v>
      </c>
      <c r="C116" s="1">
        <v>5493.7947000000004</v>
      </c>
      <c r="D116" s="2">
        <v>1</v>
      </c>
      <c r="E116" s="15">
        <f t="shared" si="2"/>
        <v>17.606045599046499</v>
      </c>
      <c r="G116" s="1">
        <v>69.544600000000003</v>
      </c>
      <c r="H116" s="1">
        <v>13420</v>
      </c>
      <c r="I116" s="1">
        <v>3419.4838</v>
      </c>
      <c r="J116" s="2">
        <v>1</v>
      </c>
      <c r="K116" s="15">
        <f t="shared" si="3"/>
        <v>3.924568965643294</v>
      </c>
    </row>
    <row r="117" spans="1:11" x14ac:dyDescent="0.4">
      <c r="A117" s="1">
        <v>69.557100000000005</v>
      </c>
      <c r="B117" s="1">
        <v>195979</v>
      </c>
      <c r="C117" s="1">
        <v>5490.8711999999996</v>
      </c>
      <c r="D117" s="2">
        <v>1</v>
      </c>
      <c r="E117" s="15">
        <f t="shared" si="2"/>
        <v>35.691786032059909</v>
      </c>
      <c r="G117" s="1">
        <v>69.554599999999994</v>
      </c>
      <c r="H117" s="1">
        <v>24471</v>
      </c>
      <c r="I117" s="1">
        <v>3416.8180000000002</v>
      </c>
      <c r="J117" s="2">
        <v>1</v>
      </c>
      <c r="K117" s="15">
        <f t="shared" si="3"/>
        <v>7.1619266814913756</v>
      </c>
    </row>
    <row r="118" spans="1:11" x14ac:dyDescent="0.4">
      <c r="A118" s="1">
        <v>69.567099999999996</v>
      </c>
      <c r="B118" s="1">
        <v>667966</v>
      </c>
      <c r="C118" s="1">
        <v>5490.4169000000002</v>
      </c>
      <c r="D118" s="2">
        <v>1</v>
      </c>
      <c r="E118" s="15">
        <f t="shared" si="2"/>
        <v>121.66034240496381</v>
      </c>
      <c r="G118" s="1">
        <v>69.564599999999999</v>
      </c>
      <c r="H118" s="1">
        <v>64193</v>
      </c>
      <c r="I118" s="1">
        <v>3417.2361000000001</v>
      </c>
      <c r="J118" s="2">
        <v>1</v>
      </c>
      <c r="K118" s="15">
        <f t="shared" si="3"/>
        <v>18.785064338984363</v>
      </c>
    </row>
    <row r="119" spans="1:11" x14ac:dyDescent="0.4">
      <c r="A119" s="1">
        <v>69.577100000000002</v>
      </c>
      <c r="B119" s="1">
        <v>753374</v>
      </c>
      <c r="C119" s="1">
        <v>5487.6760999999997</v>
      </c>
      <c r="D119" s="2">
        <v>53.984200000000001</v>
      </c>
      <c r="E119" s="15">
        <f t="shared" si="2"/>
        <v>7411.2050255298418</v>
      </c>
      <c r="G119" s="1">
        <v>69.574600000000004</v>
      </c>
      <c r="H119" s="1">
        <v>32798</v>
      </c>
      <c r="I119" s="1">
        <v>3418.0383999999999</v>
      </c>
      <c r="J119" s="2">
        <v>53.984200000000001</v>
      </c>
      <c r="K119" s="15">
        <f t="shared" si="3"/>
        <v>518.00874782448318</v>
      </c>
    </row>
    <row r="120" spans="1:11" x14ac:dyDescent="0.4">
      <c r="A120" s="1">
        <v>69.587100000000007</v>
      </c>
      <c r="B120" s="1">
        <v>1794074</v>
      </c>
      <c r="C120" s="1">
        <v>5486.2776000000003</v>
      </c>
      <c r="D120" s="2">
        <v>53.984200000000001</v>
      </c>
      <c r="E120" s="15">
        <f t="shared" si="2"/>
        <v>17653.435843421412</v>
      </c>
      <c r="G120" s="1">
        <v>69.584599999999995</v>
      </c>
      <c r="H120" s="1">
        <v>378650</v>
      </c>
      <c r="I120" s="1">
        <v>3419.1795999999999</v>
      </c>
      <c r="J120" s="2">
        <v>53.984200000000001</v>
      </c>
      <c r="K120" s="15">
        <f t="shared" si="3"/>
        <v>5978.369001148697</v>
      </c>
    </row>
    <row r="121" spans="1:11" x14ac:dyDescent="0.4">
      <c r="A121" s="1">
        <v>69.597099999999998</v>
      </c>
      <c r="B121" s="1">
        <v>22532</v>
      </c>
      <c r="C121" s="1">
        <v>5489.4656000000004</v>
      </c>
      <c r="D121" s="2">
        <v>53.984200000000001</v>
      </c>
      <c r="E121" s="15">
        <f t="shared" si="2"/>
        <v>221.58295233692692</v>
      </c>
      <c r="G121" s="1">
        <v>69.5946</v>
      </c>
      <c r="H121" s="1">
        <v>159144</v>
      </c>
      <c r="I121" s="1">
        <v>3415.9771999999998</v>
      </c>
      <c r="J121" s="2">
        <v>53.984200000000001</v>
      </c>
      <c r="K121" s="15">
        <f t="shared" si="3"/>
        <v>2515.0230876248238</v>
      </c>
    </row>
    <row r="122" spans="1:11" x14ac:dyDescent="0.4">
      <c r="A122" s="1">
        <v>69.607100000000003</v>
      </c>
      <c r="B122" s="1">
        <v>257541</v>
      </c>
      <c r="C122" s="1">
        <v>5491.5829000000003</v>
      </c>
      <c r="D122" s="2">
        <v>1</v>
      </c>
      <c r="E122" s="15">
        <f t="shared" si="2"/>
        <v>46.897407303092884</v>
      </c>
      <c r="G122" s="1">
        <v>69.604600000000005</v>
      </c>
      <c r="H122" s="1">
        <v>262875</v>
      </c>
      <c r="I122" s="1">
        <v>3417.4989</v>
      </c>
      <c r="J122" s="2">
        <v>1</v>
      </c>
      <c r="K122" s="15">
        <f t="shared" si="3"/>
        <v>76.920288108944234</v>
      </c>
    </row>
    <row r="123" spans="1:11" x14ac:dyDescent="0.4">
      <c r="A123" s="1">
        <v>69.617099999999994</v>
      </c>
      <c r="B123" s="1">
        <v>116397</v>
      </c>
      <c r="C123" s="1">
        <v>5492.8527999999997</v>
      </c>
      <c r="D123" s="2">
        <v>1</v>
      </c>
      <c r="E123" s="15">
        <f t="shared" si="2"/>
        <v>21.190627937453559</v>
      </c>
      <c r="G123" s="1">
        <v>69.614599999999996</v>
      </c>
      <c r="H123" s="1">
        <v>60593</v>
      </c>
      <c r="I123" s="1">
        <v>3417.2269000000001</v>
      </c>
      <c r="J123" s="2">
        <v>1</v>
      </c>
      <c r="K123" s="15">
        <f t="shared" si="3"/>
        <v>17.731629117165149</v>
      </c>
    </row>
    <row r="124" spans="1:11" x14ac:dyDescent="0.4">
      <c r="A124" s="1">
        <v>69.627099999999999</v>
      </c>
      <c r="B124" s="1">
        <v>66145</v>
      </c>
      <c r="C124" s="1">
        <v>5495.0234</v>
      </c>
      <c r="D124" s="2">
        <v>1</v>
      </c>
      <c r="E124" s="15">
        <f t="shared" si="2"/>
        <v>12.037255382752328</v>
      </c>
      <c r="G124" s="1">
        <v>69.624600000000001</v>
      </c>
      <c r="H124" s="1">
        <v>19446</v>
      </c>
      <c r="I124" s="1">
        <v>3415.9508999999998</v>
      </c>
      <c r="J124" s="2">
        <v>1</v>
      </c>
      <c r="K124" s="15">
        <f t="shared" si="3"/>
        <v>5.6927047751184015</v>
      </c>
    </row>
    <row r="125" spans="1:11" x14ac:dyDescent="0.4">
      <c r="A125" s="1">
        <v>69.637100000000004</v>
      </c>
      <c r="B125" s="1">
        <v>42567</v>
      </c>
      <c r="C125" s="1">
        <v>5497.3603999999996</v>
      </c>
      <c r="D125" s="2">
        <v>1</v>
      </c>
      <c r="E125" s="15">
        <f t="shared" si="2"/>
        <v>7.7431707042528997</v>
      </c>
      <c r="G125" s="1">
        <v>69.634600000000006</v>
      </c>
      <c r="H125" s="1">
        <v>10635</v>
      </c>
      <c r="I125" s="1">
        <v>3417.0936999999999</v>
      </c>
      <c r="J125" s="2">
        <v>1</v>
      </c>
      <c r="K125" s="15">
        <f t="shared" si="3"/>
        <v>3.1122939356330792</v>
      </c>
    </row>
    <row r="126" spans="1:11" x14ac:dyDescent="0.4">
      <c r="A126" s="1">
        <v>69.647099999999995</v>
      </c>
      <c r="B126" s="1">
        <v>29653</v>
      </c>
      <c r="C126" s="1">
        <v>5501.9611000000004</v>
      </c>
      <c r="D126" s="2">
        <v>1</v>
      </c>
      <c r="E126" s="15">
        <f t="shared" si="2"/>
        <v>5.3895328340289428</v>
      </c>
      <c r="G126" s="1">
        <v>69.644599999999997</v>
      </c>
      <c r="H126" s="1">
        <v>6970</v>
      </c>
      <c r="I126" s="1">
        <v>3418.2831000000001</v>
      </c>
      <c r="J126" s="2">
        <v>1</v>
      </c>
      <c r="K126" s="15">
        <f t="shared" si="3"/>
        <v>2.0390353274133437</v>
      </c>
    </row>
    <row r="127" spans="1:11" x14ac:dyDescent="0.4">
      <c r="A127" s="1">
        <v>69.6571</v>
      </c>
      <c r="B127" s="1">
        <v>21260</v>
      </c>
      <c r="C127" s="1">
        <v>5504.3008</v>
      </c>
      <c r="D127" s="2">
        <v>1</v>
      </c>
      <c r="E127" s="15">
        <f t="shared" si="2"/>
        <v>3.8624342623135712</v>
      </c>
      <c r="G127" s="1">
        <v>69.654600000000002</v>
      </c>
      <c r="H127" s="1">
        <v>5060</v>
      </c>
      <c r="I127" s="1">
        <v>3417.9533000000001</v>
      </c>
      <c r="J127" s="2">
        <v>1</v>
      </c>
      <c r="K127" s="15">
        <f t="shared" si="3"/>
        <v>1.480418120399714</v>
      </c>
    </row>
    <row r="128" spans="1:11" x14ac:dyDescent="0.4">
      <c r="A128" s="1">
        <v>69.667100000000005</v>
      </c>
      <c r="B128" s="1">
        <v>16324</v>
      </c>
      <c r="C128" s="1">
        <v>5504.62</v>
      </c>
      <c r="D128" s="2">
        <v>1</v>
      </c>
      <c r="E128" s="15">
        <f t="shared" si="2"/>
        <v>2.9655089724631312</v>
      </c>
      <c r="G128" s="1">
        <v>69.664599999999993</v>
      </c>
      <c r="H128" s="1">
        <v>3844</v>
      </c>
      <c r="I128" s="1">
        <v>3417.9877000000001</v>
      </c>
      <c r="J128" s="2">
        <v>1</v>
      </c>
      <c r="K128" s="15">
        <f t="shared" si="3"/>
        <v>1.1246383361765755</v>
      </c>
    </row>
    <row r="129" spans="1:11" x14ac:dyDescent="0.4">
      <c r="A129" s="1">
        <v>69.677099999999996</v>
      </c>
      <c r="B129" s="1">
        <v>13059</v>
      </c>
      <c r="C129" s="1">
        <v>5504.3023999999996</v>
      </c>
      <c r="D129" s="2">
        <v>1</v>
      </c>
      <c r="E129" s="15">
        <f t="shared" si="2"/>
        <v>2.3725077314066176</v>
      </c>
      <c r="G129" s="1">
        <v>69.674599999999998</v>
      </c>
      <c r="H129" s="1">
        <v>2861</v>
      </c>
      <c r="I129" s="1">
        <v>3416.8416999999999</v>
      </c>
      <c r="J129" s="2">
        <v>1</v>
      </c>
      <c r="K129" s="15">
        <f t="shared" si="3"/>
        <v>0.83732295821606251</v>
      </c>
    </row>
    <row r="130" spans="1:11" x14ac:dyDescent="0.4">
      <c r="A130" s="1">
        <v>69.687100000000001</v>
      </c>
      <c r="B130" s="1">
        <v>10634</v>
      </c>
      <c r="C130" s="1">
        <v>5503.2003000000004</v>
      </c>
      <c r="D130" s="2">
        <v>1</v>
      </c>
      <c r="E130" s="15">
        <f t="shared" si="2"/>
        <v>1.9323301752254955</v>
      </c>
      <c r="G130" s="1">
        <v>69.684600000000003</v>
      </c>
      <c r="H130" s="1">
        <v>2240</v>
      </c>
      <c r="I130" s="1">
        <v>3418.1131</v>
      </c>
      <c r="J130" s="2">
        <v>1</v>
      </c>
      <c r="K130" s="15">
        <f t="shared" si="3"/>
        <v>0.65533232355594084</v>
      </c>
    </row>
    <row r="131" spans="1:11" x14ac:dyDescent="0.4">
      <c r="A131" s="1">
        <v>69.697100000000006</v>
      </c>
      <c r="B131" s="1">
        <v>8644</v>
      </c>
      <c r="C131" s="1">
        <v>5497.2825999999995</v>
      </c>
      <c r="D131" s="2">
        <v>1</v>
      </c>
      <c r="E131" s="15">
        <f t="shared" si="2"/>
        <v>1.5724132501392598</v>
      </c>
      <c r="G131" s="1">
        <v>69.694599999999994</v>
      </c>
      <c r="H131" s="1">
        <v>1867</v>
      </c>
      <c r="I131" s="1">
        <v>3417.6183999999998</v>
      </c>
      <c r="J131" s="2">
        <v>1</v>
      </c>
      <c r="K131" s="15">
        <f t="shared" si="3"/>
        <v>0.54628685285636336</v>
      </c>
    </row>
    <row r="132" spans="1:11" x14ac:dyDescent="0.4">
      <c r="A132" s="1">
        <v>69.707099999999997</v>
      </c>
      <c r="B132" s="1">
        <v>7363</v>
      </c>
      <c r="C132" s="1">
        <v>5497.9089999999997</v>
      </c>
      <c r="D132" s="2">
        <v>1</v>
      </c>
      <c r="E132" s="15">
        <f t="shared" si="2"/>
        <v>1.3392364260667102</v>
      </c>
      <c r="G132" s="1">
        <v>69.704599999999999</v>
      </c>
      <c r="H132" s="1">
        <v>1443</v>
      </c>
      <c r="I132" s="1">
        <v>3414.0994999999998</v>
      </c>
      <c r="J132" s="2">
        <v>1</v>
      </c>
      <c r="K132" s="15">
        <f t="shared" si="3"/>
        <v>0.42265903498125934</v>
      </c>
    </row>
    <row r="133" spans="1:11" x14ac:dyDescent="0.4">
      <c r="A133" s="1">
        <v>69.717100000000002</v>
      </c>
      <c r="B133" s="1">
        <v>6368</v>
      </c>
      <c r="C133" s="1">
        <v>5493.7861999999996</v>
      </c>
      <c r="D133" s="2">
        <v>1</v>
      </c>
      <c r="E133" s="15">
        <f t="shared" si="2"/>
        <v>1.1591277432674756</v>
      </c>
      <c r="G133" s="1">
        <v>69.714600000000004</v>
      </c>
      <c r="H133" s="1">
        <v>1292</v>
      </c>
      <c r="I133" s="1">
        <v>3414.3497000000002</v>
      </c>
      <c r="J133" s="2">
        <v>1</v>
      </c>
      <c r="K133" s="15">
        <f t="shared" si="3"/>
        <v>0.37840295034805599</v>
      </c>
    </row>
    <row r="134" spans="1:11" x14ac:dyDescent="0.4">
      <c r="A134" s="1">
        <v>69.727099999999993</v>
      </c>
      <c r="B134" s="1">
        <v>5687</v>
      </c>
      <c r="C134" s="1">
        <v>5490.5195999999996</v>
      </c>
      <c r="D134" s="2">
        <v>1</v>
      </c>
      <c r="E134" s="15">
        <f t="shared" si="2"/>
        <v>1.0357853926976237</v>
      </c>
      <c r="G134" s="1">
        <v>69.724599999999995</v>
      </c>
      <c r="H134" s="1">
        <v>1093</v>
      </c>
      <c r="I134" s="1">
        <v>3414.134</v>
      </c>
      <c r="J134" s="2">
        <v>1</v>
      </c>
      <c r="K134" s="15">
        <f t="shared" si="3"/>
        <v>0.32013974846915794</v>
      </c>
    </row>
    <row r="135" spans="1:11" x14ac:dyDescent="0.4">
      <c r="A135" s="1">
        <v>69.737099999999998</v>
      </c>
      <c r="B135" s="1">
        <v>4904</v>
      </c>
      <c r="C135" s="1">
        <v>5484.0537000000004</v>
      </c>
      <c r="D135" s="2">
        <v>1</v>
      </c>
      <c r="E135" s="15">
        <f t="shared" si="2"/>
        <v>0.89422902624020617</v>
      </c>
      <c r="G135" s="1">
        <v>69.7346</v>
      </c>
      <c r="H135" s="1">
        <v>924</v>
      </c>
      <c r="I135" s="1">
        <v>3415.0805999999998</v>
      </c>
      <c r="J135" s="2">
        <v>1</v>
      </c>
      <c r="K135" s="15">
        <f t="shared" si="3"/>
        <v>0.27056462444839519</v>
      </c>
    </row>
    <row r="136" spans="1:11" x14ac:dyDescent="0.4">
      <c r="A136" s="1">
        <v>69.747100000000003</v>
      </c>
      <c r="B136" s="1">
        <v>4144</v>
      </c>
      <c r="C136" s="1">
        <v>5479.3226000000004</v>
      </c>
      <c r="D136" s="2">
        <v>1</v>
      </c>
      <c r="E136" s="15">
        <f t="shared" si="2"/>
        <v>0.75629786791527842</v>
      </c>
      <c r="G136" s="1">
        <v>69.744600000000005</v>
      </c>
      <c r="H136" s="1">
        <v>837</v>
      </c>
      <c r="I136" s="1">
        <v>3413.5468999999998</v>
      </c>
      <c r="J136" s="2">
        <v>1</v>
      </c>
      <c r="K136" s="15">
        <f t="shared" si="3"/>
        <v>0.2451995020194391</v>
      </c>
    </row>
    <row r="137" spans="1:11" x14ac:dyDescent="0.4">
      <c r="A137" s="1">
        <v>69.757099999999994</v>
      </c>
      <c r="B137" s="1">
        <v>3707</v>
      </c>
      <c r="C137" s="1">
        <v>5477.2017999999998</v>
      </c>
      <c r="D137" s="2">
        <v>1</v>
      </c>
      <c r="E137" s="15">
        <f t="shared" si="2"/>
        <v>0.67680544470718607</v>
      </c>
      <c r="G137" s="1">
        <v>69.754599999999996</v>
      </c>
      <c r="H137" s="1">
        <v>709</v>
      </c>
      <c r="I137" s="1">
        <v>3412.3818000000001</v>
      </c>
      <c r="J137" s="2">
        <v>1</v>
      </c>
      <c r="K137" s="15">
        <f t="shared" si="3"/>
        <v>0.20777276446615675</v>
      </c>
    </row>
    <row r="138" spans="1:11" x14ac:dyDescent="0.4">
      <c r="A138" s="1">
        <v>69.767099999999999</v>
      </c>
      <c r="B138" s="1">
        <v>3293</v>
      </c>
      <c r="C138" s="1">
        <v>5473.15</v>
      </c>
      <c r="D138" s="2">
        <v>1</v>
      </c>
      <c r="E138" s="15">
        <f t="shared" si="2"/>
        <v>0.60166448937083772</v>
      </c>
      <c r="G138" s="1">
        <v>69.764600000000002</v>
      </c>
      <c r="H138" s="1">
        <v>621</v>
      </c>
      <c r="I138" s="1">
        <v>3411.8631999999998</v>
      </c>
      <c r="J138" s="2">
        <v>1</v>
      </c>
      <c r="K138" s="15">
        <f t="shared" si="3"/>
        <v>0.18201198688153736</v>
      </c>
    </row>
    <row r="139" spans="1:11" x14ac:dyDescent="0.4">
      <c r="A139" s="1">
        <v>69.777100000000004</v>
      </c>
      <c r="B139" s="1">
        <v>3033</v>
      </c>
      <c r="C139" s="1">
        <v>5473.0540000000001</v>
      </c>
      <c r="D139" s="2">
        <v>1</v>
      </c>
      <c r="E139" s="15">
        <f t="shared" si="2"/>
        <v>0.55416957333145256</v>
      </c>
      <c r="G139" s="1">
        <v>69.774600000000007</v>
      </c>
      <c r="H139" s="1">
        <v>537</v>
      </c>
      <c r="I139" s="1">
        <v>3409.65</v>
      </c>
      <c r="J139" s="2">
        <v>1</v>
      </c>
      <c r="K139" s="15">
        <f t="shared" si="3"/>
        <v>0.15749417095596321</v>
      </c>
    </row>
    <row r="140" spans="1:11" x14ac:dyDescent="0.4">
      <c r="A140" s="1">
        <v>69.787099999999995</v>
      </c>
      <c r="B140" s="1">
        <v>2624</v>
      </c>
      <c r="C140" s="1">
        <v>5470.7497000000003</v>
      </c>
      <c r="D140" s="2">
        <v>1</v>
      </c>
      <c r="E140" s="15">
        <f t="shared" si="2"/>
        <v>0.47964175732623993</v>
      </c>
      <c r="G140" s="1">
        <v>69.784599999999998</v>
      </c>
      <c r="H140" s="1">
        <v>496</v>
      </c>
      <c r="I140" s="1">
        <v>3408.9524000000001</v>
      </c>
      <c r="J140" s="2">
        <v>1</v>
      </c>
      <c r="K140" s="15">
        <f t="shared" si="3"/>
        <v>0.14549924487065294</v>
      </c>
    </row>
    <row r="141" spans="1:11" x14ac:dyDescent="0.4">
      <c r="A141" s="1">
        <v>69.7971</v>
      </c>
      <c r="B141" s="1">
        <v>2359</v>
      </c>
      <c r="C141" s="1">
        <v>5468.6367</v>
      </c>
      <c r="D141" s="2">
        <v>1</v>
      </c>
      <c r="E141" s="15">
        <f t="shared" si="2"/>
        <v>0.43136893697838807</v>
      </c>
      <c r="G141" s="1">
        <v>69.794600000000003</v>
      </c>
      <c r="H141" s="1">
        <v>420</v>
      </c>
      <c r="I141" s="1">
        <v>3409.4398999999999</v>
      </c>
      <c r="J141" s="2">
        <v>1</v>
      </c>
      <c r="K141" s="15">
        <f t="shared" si="3"/>
        <v>0.12318738922484013</v>
      </c>
    </row>
    <row r="142" spans="1:11" x14ac:dyDescent="0.4">
      <c r="A142" s="1">
        <v>69.807100000000005</v>
      </c>
      <c r="B142" s="1">
        <v>2231</v>
      </c>
      <c r="C142" s="1">
        <v>5465.4827999999998</v>
      </c>
      <c r="D142" s="2">
        <v>1</v>
      </c>
      <c r="E142" s="15">
        <f t="shared" si="2"/>
        <v>0.40819815588844227</v>
      </c>
      <c r="G142" s="1">
        <v>69.804599999999994</v>
      </c>
      <c r="H142" s="1">
        <v>410</v>
      </c>
      <c r="I142" s="1">
        <v>3409.3494999999998</v>
      </c>
      <c r="J142" s="2">
        <v>1</v>
      </c>
      <c r="K142" s="15">
        <f t="shared" si="3"/>
        <v>0.12025754473104035</v>
      </c>
    </row>
    <row r="143" spans="1:11" x14ac:dyDescent="0.4">
      <c r="A143" s="1">
        <v>69.817099999999996</v>
      </c>
      <c r="B143" s="1">
        <v>2022</v>
      </c>
      <c r="C143" s="1">
        <v>5467.8469999999998</v>
      </c>
      <c r="D143" s="2">
        <v>1</v>
      </c>
      <c r="E143" s="15">
        <f t="shared" si="2"/>
        <v>0.36979820393657686</v>
      </c>
      <c r="G143" s="1">
        <v>69.814599999999999</v>
      </c>
      <c r="H143" s="1">
        <v>356</v>
      </c>
      <c r="I143" s="1">
        <v>3409.5558999999998</v>
      </c>
      <c r="J143" s="2">
        <v>1</v>
      </c>
      <c r="K143" s="15">
        <f t="shared" si="3"/>
        <v>0.10441242509031749</v>
      </c>
    </row>
    <row r="144" spans="1:11" x14ac:dyDescent="0.4">
      <c r="A144" s="1">
        <v>69.827100000000002</v>
      </c>
      <c r="B144" s="1">
        <v>1834</v>
      </c>
      <c r="C144" s="1">
        <v>5467.5965999999999</v>
      </c>
      <c r="D144" s="2">
        <v>1</v>
      </c>
      <c r="E144" s="15">
        <f t="shared" si="2"/>
        <v>0.33543074483585716</v>
      </c>
      <c r="G144" s="1">
        <v>69.824600000000004</v>
      </c>
      <c r="H144" s="1">
        <v>321</v>
      </c>
      <c r="I144" s="1">
        <v>3407.5594000000001</v>
      </c>
      <c r="J144" s="2">
        <v>1</v>
      </c>
      <c r="K144" s="15">
        <f t="shared" si="3"/>
        <v>9.4202319701308795E-2</v>
      </c>
    </row>
    <row r="145" spans="1:11" x14ac:dyDescent="0.4">
      <c r="A145" s="1">
        <v>69.837100000000007</v>
      </c>
      <c r="B145" s="1">
        <v>1756</v>
      </c>
      <c r="C145" s="1">
        <v>5466.1841999999997</v>
      </c>
      <c r="D145" s="2">
        <v>1</v>
      </c>
      <c r="E145" s="15">
        <f t="shared" si="2"/>
        <v>0.32124786427797292</v>
      </c>
      <c r="G145" s="1">
        <v>69.834599999999995</v>
      </c>
      <c r="H145" s="1">
        <v>298</v>
      </c>
      <c r="I145" s="1">
        <v>3409.5927999999999</v>
      </c>
      <c r="J145" s="2">
        <v>1</v>
      </c>
      <c r="K145" s="15">
        <f t="shared" si="3"/>
        <v>8.740046612017717E-2</v>
      </c>
    </row>
    <row r="146" spans="1:11" x14ac:dyDescent="0.4">
      <c r="A146" s="1">
        <v>69.847099999999998</v>
      </c>
      <c r="B146" s="1">
        <v>1536</v>
      </c>
      <c r="C146" s="1">
        <v>5467.9987000000001</v>
      </c>
      <c r="D146" s="2">
        <v>1</v>
      </c>
      <c r="E146" s="15">
        <f t="shared" si="2"/>
        <v>0.28090716261508986</v>
      </c>
      <c r="G146" s="1">
        <v>69.8446</v>
      </c>
      <c r="H146" s="1">
        <v>297</v>
      </c>
      <c r="I146" s="1">
        <v>3408.1271999999999</v>
      </c>
      <c r="J146" s="2">
        <v>1</v>
      </c>
      <c r="K146" s="15">
        <f t="shared" si="3"/>
        <v>8.7144634742506097E-2</v>
      </c>
    </row>
    <row r="147" spans="1:11" x14ac:dyDescent="0.4">
      <c r="A147" s="1">
        <v>69.857100000000003</v>
      </c>
      <c r="B147" s="1">
        <v>1424</v>
      </c>
      <c r="C147" s="1">
        <v>5464.0281000000004</v>
      </c>
      <c r="D147" s="2">
        <v>1</v>
      </c>
      <c r="E147" s="15">
        <f t="shared" si="2"/>
        <v>0.26061359384297456</v>
      </c>
      <c r="G147" s="1">
        <v>69.854600000000005</v>
      </c>
      <c r="H147" s="1">
        <v>247</v>
      </c>
      <c r="I147" s="1">
        <v>3408.3407999999999</v>
      </c>
      <c r="J147" s="2">
        <v>1</v>
      </c>
      <c r="K147" s="15">
        <f t="shared" si="3"/>
        <v>7.246927889370687E-2</v>
      </c>
    </row>
    <row r="148" spans="1:11" x14ac:dyDescent="0.4">
      <c r="A148" s="1">
        <v>69.867099999999994</v>
      </c>
      <c r="B148" s="1">
        <v>1334</v>
      </c>
      <c r="C148" s="1">
        <v>5466.8085000000001</v>
      </c>
      <c r="D148" s="2">
        <v>1</v>
      </c>
      <c r="E148" s="15">
        <f t="shared" si="2"/>
        <v>0.24401805916559907</v>
      </c>
      <c r="G148" s="1">
        <v>69.864599999999996</v>
      </c>
      <c r="H148" s="1">
        <v>233</v>
      </c>
      <c r="I148" s="1">
        <v>3405.2271999999998</v>
      </c>
      <c r="J148" s="2">
        <v>1</v>
      </c>
      <c r="K148" s="15">
        <f t="shared" si="3"/>
        <v>6.8424215570696723E-2</v>
      </c>
    </row>
    <row r="149" spans="1:11" x14ac:dyDescent="0.4">
      <c r="A149" s="1">
        <v>69.877099999999999</v>
      </c>
      <c r="B149" s="1">
        <v>1210</v>
      </c>
      <c r="C149" s="1">
        <v>5465.8324000000002</v>
      </c>
      <c r="D149" s="2">
        <v>1</v>
      </c>
      <c r="E149" s="15">
        <f t="shared" ref="E149:E212" si="4">B149/C149*D149</f>
        <v>0.22137524743715156</v>
      </c>
      <c r="G149" s="1">
        <v>69.874600000000001</v>
      </c>
      <c r="H149" s="1">
        <v>219</v>
      </c>
      <c r="I149" s="1">
        <v>3404.9059000000002</v>
      </c>
      <c r="J149" s="2">
        <v>1</v>
      </c>
      <c r="K149" s="15">
        <f t="shared" ref="K149:K212" si="5">H149/I149*J149</f>
        <v>6.4318958124510869E-2</v>
      </c>
    </row>
    <row r="150" spans="1:11" x14ac:dyDescent="0.4">
      <c r="A150" s="1">
        <v>69.887100000000004</v>
      </c>
      <c r="B150" s="1">
        <v>1122</v>
      </c>
      <c r="C150" s="1">
        <v>5470.2484999999997</v>
      </c>
      <c r="D150" s="2">
        <v>1</v>
      </c>
      <c r="E150" s="15">
        <f t="shared" si="4"/>
        <v>0.2051095119353353</v>
      </c>
      <c r="G150" s="1">
        <v>69.884600000000006</v>
      </c>
      <c r="H150" s="1">
        <v>196</v>
      </c>
      <c r="I150" s="1">
        <v>3405.6069000000002</v>
      </c>
      <c r="J150" s="2">
        <v>1</v>
      </c>
      <c r="K150" s="15">
        <f t="shared" si="5"/>
        <v>5.7552150249636849E-2</v>
      </c>
    </row>
    <row r="151" spans="1:11" x14ac:dyDescent="0.4">
      <c r="A151" s="1">
        <v>69.897099999999995</v>
      </c>
      <c r="B151" s="1">
        <v>1059</v>
      </c>
      <c r="C151" s="1">
        <v>5469.1165000000001</v>
      </c>
      <c r="D151" s="2">
        <v>1</v>
      </c>
      <c r="E151" s="15">
        <f t="shared" si="4"/>
        <v>0.19363273757287855</v>
      </c>
      <c r="G151" s="1">
        <v>69.894599999999997</v>
      </c>
      <c r="H151" s="1">
        <v>165</v>
      </c>
      <c r="I151" s="1">
        <v>3402.8595999999998</v>
      </c>
      <c r="J151" s="2">
        <v>1</v>
      </c>
      <c r="K151" s="15">
        <f t="shared" si="5"/>
        <v>4.8488629974624872E-2</v>
      </c>
    </row>
    <row r="152" spans="1:11" x14ac:dyDescent="0.4">
      <c r="A152" s="1">
        <v>69.9071</v>
      </c>
      <c r="B152" s="1">
        <v>988</v>
      </c>
      <c r="C152" s="1">
        <v>5471.0762000000004</v>
      </c>
      <c r="D152" s="2">
        <v>1</v>
      </c>
      <c r="E152" s="15">
        <f t="shared" si="4"/>
        <v>0.18058604265098702</v>
      </c>
      <c r="G152" s="1">
        <v>69.904600000000002</v>
      </c>
      <c r="H152" s="1">
        <v>173</v>
      </c>
      <c r="I152" s="1">
        <v>3403.0047</v>
      </c>
      <c r="J152" s="2">
        <v>1</v>
      </c>
      <c r="K152" s="15">
        <f t="shared" si="5"/>
        <v>5.0837426113457908E-2</v>
      </c>
    </row>
    <row r="153" spans="1:11" x14ac:dyDescent="0.4">
      <c r="A153" s="1">
        <v>69.917100000000005</v>
      </c>
      <c r="B153" s="1">
        <v>926</v>
      </c>
      <c r="C153" s="1">
        <v>5471.6194999999998</v>
      </c>
      <c r="D153" s="2">
        <v>1</v>
      </c>
      <c r="E153" s="15">
        <f t="shared" si="4"/>
        <v>0.16923691422621767</v>
      </c>
      <c r="G153" s="1">
        <v>69.914599999999993</v>
      </c>
      <c r="H153" s="1">
        <v>120</v>
      </c>
      <c r="I153" s="1">
        <v>3402.3166999999999</v>
      </c>
      <c r="J153" s="2">
        <v>1</v>
      </c>
      <c r="K153" s="15">
        <f t="shared" si="5"/>
        <v>3.5270085233394061E-2</v>
      </c>
    </row>
    <row r="154" spans="1:11" x14ac:dyDescent="0.4">
      <c r="A154" s="1">
        <v>69.927099999999996</v>
      </c>
      <c r="B154" s="1">
        <v>856</v>
      </c>
      <c r="C154" s="1">
        <v>5469.1773999999996</v>
      </c>
      <c r="D154" s="2">
        <v>1</v>
      </c>
      <c r="E154" s="15">
        <f t="shared" si="4"/>
        <v>0.15651348226517575</v>
      </c>
      <c r="G154" s="1">
        <v>69.924599999999998</v>
      </c>
      <c r="H154" s="1">
        <v>124</v>
      </c>
      <c r="I154" s="1">
        <v>3402.9811</v>
      </c>
      <c r="J154" s="2">
        <v>1</v>
      </c>
      <c r="K154" s="15">
        <f t="shared" si="5"/>
        <v>3.6438639050919208E-2</v>
      </c>
    </row>
    <row r="155" spans="1:11" x14ac:dyDescent="0.4">
      <c r="A155" s="1">
        <v>69.937100000000001</v>
      </c>
      <c r="B155" s="1">
        <v>748</v>
      </c>
      <c r="C155" s="1">
        <v>5467.6525000000001</v>
      </c>
      <c r="D155" s="2">
        <v>1</v>
      </c>
      <c r="E155" s="15">
        <f t="shared" si="4"/>
        <v>0.13680459758552688</v>
      </c>
      <c r="G155" s="1">
        <v>69.934600000000003</v>
      </c>
      <c r="H155" s="1">
        <v>111</v>
      </c>
      <c r="I155" s="1">
        <v>3401.4211</v>
      </c>
      <c r="J155" s="2">
        <v>1</v>
      </c>
      <c r="K155" s="15">
        <f t="shared" si="5"/>
        <v>3.2633419014187925E-2</v>
      </c>
    </row>
    <row r="156" spans="1:11" x14ac:dyDescent="0.4">
      <c r="A156" s="1">
        <v>69.947100000000006</v>
      </c>
      <c r="B156" s="1">
        <v>750</v>
      </c>
      <c r="C156" s="1">
        <v>5466.8341</v>
      </c>
      <c r="D156" s="2">
        <v>1</v>
      </c>
      <c r="E156" s="15">
        <f t="shared" si="4"/>
        <v>0.13719092006102765</v>
      </c>
      <c r="G156" s="1">
        <v>69.944599999999994</v>
      </c>
      <c r="H156" s="1">
        <v>114</v>
      </c>
      <c r="I156" s="1">
        <v>3401.81</v>
      </c>
      <c r="J156" s="2">
        <v>1</v>
      </c>
      <c r="K156" s="15">
        <f t="shared" si="5"/>
        <v>3.3511571780904872E-2</v>
      </c>
    </row>
    <row r="157" spans="1:11" x14ac:dyDescent="0.4">
      <c r="A157" s="1">
        <v>69.957099999999997</v>
      </c>
      <c r="B157" s="1">
        <v>700</v>
      </c>
      <c r="C157" s="1">
        <v>5465.9773999999998</v>
      </c>
      <c r="D157" s="2">
        <v>1</v>
      </c>
      <c r="E157" s="15">
        <f t="shared" si="4"/>
        <v>0.12806492760105448</v>
      </c>
      <c r="G157" s="1">
        <v>69.954599999999999</v>
      </c>
      <c r="H157" s="1">
        <v>116</v>
      </c>
      <c r="I157" s="1">
        <v>3403.5524999999998</v>
      </c>
      <c r="J157" s="2">
        <v>1</v>
      </c>
      <c r="K157" s="15">
        <f t="shared" si="5"/>
        <v>3.4082036342909357E-2</v>
      </c>
    </row>
    <row r="158" spans="1:11" x14ac:dyDescent="0.4">
      <c r="A158" s="1">
        <v>69.967100000000002</v>
      </c>
      <c r="B158" s="1">
        <v>589</v>
      </c>
      <c r="C158" s="1">
        <v>5465.5204999999996</v>
      </c>
      <c r="D158" s="2">
        <v>1</v>
      </c>
      <c r="E158" s="15">
        <f t="shared" si="4"/>
        <v>0.10776649726224612</v>
      </c>
      <c r="G158" s="1">
        <v>69.964600000000004</v>
      </c>
      <c r="H158" s="1">
        <v>115</v>
      </c>
      <c r="I158" s="1">
        <v>3403.4531000000002</v>
      </c>
      <c r="J158" s="2">
        <v>1</v>
      </c>
      <c r="K158" s="15">
        <f t="shared" si="5"/>
        <v>3.3789212491278343E-2</v>
      </c>
    </row>
    <row r="159" spans="1:11" x14ac:dyDescent="0.4">
      <c r="A159" s="1">
        <v>69.977099999999993</v>
      </c>
      <c r="B159" s="1">
        <v>661</v>
      </c>
      <c r="C159" s="1">
        <v>5462.3131000000003</v>
      </c>
      <c r="D159" s="2">
        <v>1</v>
      </c>
      <c r="E159" s="15">
        <f t="shared" si="4"/>
        <v>0.12101100539256894</v>
      </c>
      <c r="G159" s="1">
        <v>69.974599999999995</v>
      </c>
      <c r="H159" s="1">
        <v>85</v>
      </c>
      <c r="I159" s="1">
        <v>3400.8939</v>
      </c>
      <c r="J159" s="2">
        <v>1</v>
      </c>
      <c r="K159" s="15">
        <f t="shared" si="5"/>
        <v>2.4993428933493045E-2</v>
      </c>
    </row>
    <row r="160" spans="1:11" x14ac:dyDescent="0.4">
      <c r="A160" s="1">
        <v>69.987099999999998</v>
      </c>
      <c r="B160" s="1">
        <v>563</v>
      </c>
      <c r="C160" s="1">
        <v>5463.6643000000004</v>
      </c>
      <c r="D160" s="2">
        <v>1</v>
      </c>
      <c r="E160" s="15">
        <f t="shared" si="4"/>
        <v>0.10304439824386721</v>
      </c>
      <c r="G160" s="1">
        <v>69.9846</v>
      </c>
      <c r="H160" s="1">
        <v>71</v>
      </c>
      <c r="I160" s="1">
        <v>3402.799</v>
      </c>
      <c r="J160" s="2">
        <v>1</v>
      </c>
      <c r="K160" s="15">
        <f t="shared" si="5"/>
        <v>2.0865175991881979E-2</v>
      </c>
    </row>
    <row r="161" spans="1:11" x14ac:dyDescent="0.4">
      <c r="A161" s="1">
        <v>69.997100000000003</v>
      </c>
      <c r="B161" s="1">
        <v>550</v>
      </c>
      <c r="C161" s="1">
        <v>5460.8968000000004</v>
      </c>
      <c r="D161" s="2">
        <v>1</v>
      </c>
      <c r="E161" s="15">
        <f t="shared" si="4"/>
        <v>0.10071605821227018</v>
      </c>
      <c r="G161" s="1">
        <v>69.994600000000005</v>
      </c>
      <c r="H161" s="1">
        <v>63</v>
      </c>
      <c r="I161" s="1">
        <v>3403.5167000000001</v>
      </c>
      <c r="J161" s="2">
        <v>1</v>
      </c>
      <c r="K161" s="15">
        <f t="shared" si="5"/>
        <v>1.8510266160880008E-2</v>
      </c>
    </row>
    <row r="162" spans="1:11" x14ac:dyDescent="0.4">
      <c r="A162" s="1">
        <v>70.007099999999994</v>
      </c>
      <c r="B162" s="1">
        <v>545</v>
      </c>
      <c r="C162" s="1">
        <v>5463.0165999999999</v>
      </c>
      <c r="D162" s="2">
        <v>1</v>
      </c>
      <c r="E162" s="15">
        <f t="shared" si="4"/>
        <v>9.9761732373282563E-2</v>
      </c>
      <c r="G162" s="1">
        <v>70.004599999999996</v>
      </c>
      <c r="H162" s="1">
        <v>72</v>
      </c>
      <c r="I162" s="1">
        <v>3403.5012999999999</v>
      </c>
      <c r="J162" s="2">
        <v>1</v>
      </c>
      <c r="K162" s="15">
        <f t="shared" si="5"/>
        <v>2.1154685617425797E-2</v>
      </c>
    </row>
    <row r="163" spans="1:11" x14ac:dyDescent="0.4">
      <c r="A163" s="1">
        <v>70.017099999999999</v>
      </c>
      <c r="B163" s="1">
        <v>515</v>
      </c>
      <c r="C163" s="1">
        <v>5462.7353000000003</v>
      </c>
      <c r="D163" s="2">
        <v>1</v>
      </c>
      <c r="E163" s="15">
        <f t="shared" si="4"/>
        <v>9.4275115252243677E-2</v>
      </c>
      <c r="G163" s="1">
        <v>70.014600000000002</v>
      </c>
      <c r="H163" s="1">
        <v>64</v>
      </c>
      <c r="I163" s="1">
        <v>3405.5264000000002</v>
      </c>
      <c r="J163" s="2">
        <v>1</v>
      </c>
      <c r="K163" s="15">
        <f t="shared" si="5"/>
        <v>1.879298307597909E-2</v>
      </c>
    </row>
    <row r="164" spans="1:11" x14ac:dyDescent="0.4">
      <c r="A164" s="1">
        <v>70.027100000000004</v>
      </c>
      <c r="B164" s="1">
        <v>483</v>
      </c>
      <c r="C164" s="1">
        <v>5462.3757999999998</v>
      </c>
      <c r="D164" s="2">
        <v>1</v>
      </c>
      <c r="E164" s="15">
        <f t="shared" si="4"/>
        <v>8.8423063092802956E-2</v>
      </c>
      <c r="G164" s="1">
        <v>70.024600000000007</v>
      </c>
      <c r="H164" s="1">
        <v>61</v>
      </c>
      <c r="I164" s="1">
        <v>3404.6770999999999</v>
      </c>
      <c r="J164" s="2">
        <v>1</v>
      </c>
      <c r="K164" s="15">
        <f t="shared" si="5"/>
        <v>1.791653017550475E-2</v>
      </c>
    </row>
    <row r="165" spans="1:11" x14ac:dyDescent="0.4">
      <c r="A165" s="1">
        <v>70.037099999999995</v>
      </c>
      <c r="B165" s="1">
        <v>478</v>
      </c>
      <c r="C165" s="1">
        <v>5461.0198</v>
      </c>
      <c r="D165" s="2">
        <v>1</v>
      </c>
      <c r="E165" s="15">
        <f t="shared" si="4"/>
        <v>8.7529439098536138E-2</v>
      </c>
      <c r="G165" s="1">
        <v>70.034599999999998</v>
      </c>
      <c r="H165" s="1">
        <v>47</v>
      </c>
      <c r="I165" s="1">
        <v>3406.9335000000001</v>
      </c>
      <c r="J165" s="2">
        <v>1</v>
      </c>
      <c r="K165" s="15">
        <f t="shared" si="5"/>
        <v>1.3795396945669764E-2</v>
      </c>
    </row>
    <row r="166" spans="1:11" x14ac:dyDescent="0.4">
      <c r="A166" s="1">
        <v>70.0471</v>
      </c>
      <c r="B166" s="1">
        <v>452</v>
      </c>
      <c r="C166" s="1">
        <v>5466.4241000000002</v>
      </c>
      <c r="D166" s="2">
        <v>1</v>
      </c>
      <c r="E166" s="15">
        <f t="shared" si="4"/>
        <v>8.2686595794863413E-2</v>
      </c>
      <c r="G166" s="1">
        <v>70.044600000000003</v>
      </c>
      <c r="H166" s="1">
        <v>39</v>
      </c>
      <c r="I166" s="1">
        <v>3405.6527000000001</v>
      </c>
      <c r="J166" s="2">
        <v>1</v>
      </c>
      <c r="K166" s="15">
        <f t="shared" si="5"/>
        <v>1.1451549360861134E-2</v>
      </c>
    </row>
    <row r="167" spans="1:11" x14ac:dyDescent="0.4">
      <c r="A167" s="1">
        <v>70.057100000000005</v>
      </c>
      <c r="B167" s="1">
        <v>387</v>
      </c>
      <c r="C167" s="1">
        <v>5463.4829</v>
      </c>
      <c r="D167" s="2">
        <v>1</v>
      </c>
      <c r="E167" s="15">
        <f t="shared" si="4"/>
        <v>7.0833936352212246E-2</v>
      </c>
      <c r="G167" s="1">
        <v>70.054599999999994</v>
      </c>
      <c r="H167" s="1">
        <v>47</v>
      </c>
      <c r="I167" s="1">
        <v>3406.0839000000001</v>
      </c>
      <c r="J167" s="2">
        <v>1</v>
      </c>
      <c r="K167" s="15">
        <f t="shared" si="5"/>
        <v>1.3798838014530411E-2</v>
      </c>
    </row>
    <row r="168" spans="1:11" x14ac:dyDescent="0.4">
      <c r="A168" s="1">
        <v>70.067099999999996</v>
      </c>
      <c r="B168" s="1">
        <v>415</v>
      </c>
      <c r="C168" s="1">
        <v>5461.5352999999996</v>
      </c>
      <c r="D168" s="2">
        <v>1</v>
      </c>
      <c r="E168" s="15">
        <f t="shared" si="4"/>
        <v>7.5985959479196272E-2</v>
      </c>
      <c r="G168" s="1">
        <v>70.064599999999999</v>
      </c>
      <c r="H168" s="1">
        <v>54</v>
      </c>
      <c r="I168" s="1">
        <v>3406.9196999999999</v>
      </c>
      <c r="J168" s="2">
        <v>1</v>
      </c>
      <c r="K168" s="15">
        <f t="shared" si="5"/>
        <v>1.5850094735135673E-2</v>
      </c>
    </row>
    <row r="169" spans="1:11" x14ac:dyDescent="0.4">
      <c r="A169" s="1">
        <v>70.077100000000002</v>
      </c>
      <c r="B169" s="1">
        <v>371</v>
      </c>
      <c r="C169" s="1">
        <v>5463.5380999999998</v>
      </c>
      <c r="D169" s="2">
        <v>1</v>
      </c>
      <c r="E169" s="15">
        <f t="shared" si="4"/>
        <v>6.7904715444374777E-2</v>
      </c>
      <c r="G169" s="1">
        <v>70.074600000000004</v>
      </c>
      <c r="H169" s="1">
        <v>36</v>
      </c>
      <c r="I169" s="1">
        <v>3407.518</v>
      </c>
      <c r="J169" s="2">
        <v>1</v>
      </c>
      <c r="K169" s="15">
        <f t="shared" si="5"/>
        <v>1.056487449222572E-2</v>
      </c>
    </row>
    <row r="170" spans="1:11" x14ac:dyDescent="0.4">
      <c r="A170" s="1">
        <v>70.087100000000007</v>
      </c>
      <c r="B170" s="1">
        <v>373</v>
      </c>
      <c r="C170" s="1">
        <v>5461.4336999999996</v>
      </c>
      <c r="D170" s="2">
        <v>1</v>
      </c>
      <c r="E170" s="15">
        <f t="shared" si="4"/>
        <v>6.8297084701403596E-2</v>
      </c>
      <c r="G170" s="1">
        <v>70.084599999999995</v>
      </c>
      <c r="H170" s="1">
        <v>39</v>
      </c>
      <c r="I170" s="1">
        <v>3407.3238000000001</v>
      </c>
      <c r="J170" s="2">
        <v>1</v>
      </c>
      <c r="K170" s="15">
        <f t="shared" si="5"/>
        <v>1.1445933022273961E-2</v>
      </c>
    </row>
    <row r="171" spans="1:11" x14ac:dyDescent="0.4">
      <c r="A171" s="1">
        <v>70.097099999999998</v>
      </c>
      <c r="B171" s="1">
        <v>343</v>
      </c>
      <c r="C171" s="1">
        <v>5463.1252000000004</v>
      </c>
      <c r="D171" s="2">
        <v>1</v>
      </c>
      <c r="E171" s="15">
        <f t="shared" si="4"/>
        <v>6.2784576125035532E-2</v>
      </c>
      <c r="G171" s="1">
        <v>70.0946</v>
      </c>
      <c r="H171" s="1">
        <v>34</v>
      </c>
      <c r="I171" s="1">
        <v>3407.7388999999998</v>
      </c>
      <c r="J171" s="2">
        <v>1</v>
      </c>
      <c r="K171" s="15">
        <f t="shared" si="5"/>
        <v>9.9772902202102404E-3</v>
      </c>
    </row>
    <row r="172" spans="1:11" x14ac:dyDescent="0.4">
      <c r="A172" s="1">
        <v>70.107100000000003</v>
      </c>
      <c r="B172" s="1">
        <v>326</v>
      </c>
      <c r="C172" s="1">
        <v>5464.2568000000001</v>
      </c>
      <c r="D172" s="2">
        <v>1</v>
      </c>
      <c r="E172" s="15">
        <f t="shared" si="4"/>
        <v>5.9660446412401411E-2</v>
      </c>
      <c r="G172" s="1">
        <v>70.104600000000005</v>
      </c>
      <c r="H172" s="1">
        <v>39</v>
      </c>
      <c r="I172" s="1">
        <v>3408.1179999999999</v>
      </c>
      <c r="J172" s="2">
        <v>1</v>
      </c>
      <c r="K172" s="15">
        <f t="shared" si="5"/>
        <v>1.1443265755469735E-2</v>
      </c>
    </row>
    <row r="173" spans="1:11" x14ac:dyDescent="0.4">
      <c r="A173" s="1">
        <v>70.117099999999994</v>
      </c>
      <c r="B173" s="1">
        <v>311</v>
      </c>
      <c r="C173" s="1">
        <v>5464.4919</v>
      </c>
      <c r="D173" s="2">
        <v>1</v>
      </c>
      <c r="E173" s="15">
        <f t="shared" si="4"/>
        <v>5.6912885166871596E-2</v>
      </c>
      <c r="G173" s="1">
        <v>70.114599999999996</v>
      </c>
      <c r="H173" s="1">
        <v>28</v>
      </c>
      <c r="I173" s="1">
        <v>3407.7082999999998</v>
      </c>
      <c r="J173" s="2">
        <v>1</v>
      </c>
      <c r="K173" s="15">
        <f t="shared" si="5"/>
        <v>8.2166657281082418E-3</v>
      </c>
    </row>
    <row r="174" spans="1:11" x14ac:dyDescent="0.4">
      <c r="A174" s="1">
        <v>70.127099999999999</v>
      </c>
      <c r="B174" s="1">
        <v>302</v>
      </c>
      <c r="C174" s="1">
        <v>5463.1574000000001</v>
      </c>
      <c r="D174" s="2">
        <v>1</v>
      </c>
      <c r="E174" s="15">
        <f t="shared" si="4"/>
        <v>5.5279388435705692E-2</v>
      </c>
      <c r="G174" s="1">
        <v>70.124600000000001</v>
      </c>
      <c r="H174" s="1">
        <v>19</v>
      </c>
      <c r="I174" s="1">
        <v>3407.7501999999999</v>
      </c>
      <c r="J174" s="2">
        <v>1</v>
      </c>
      <c r="K174" s="15">
        <f t="shared" si="5"/>
        <v>5.5755260464807541E-3</v>
      </c>
    </row>
    <row r="175" spans="1:11" x14ac:dyDescent="0.4">
      <c r="A175" s="1">
        <v>70.137100000000004</v>
      </c>
      <c r="B175" s="1">
        <v>306</v>
      </c>
      <c r="C175" s="1">
        <v>5460.7475999999997</v>
      </c>
      <c r="D175" s="2">
        <v>1</v>
      </c>
      <c r="E175" s="15">
        <f t="shared" si="4"/>
        <v>5.6036283383615826E-2</v>
      </c>
      <c r="G175" s="1">
        <v>70.134600000000006</v>
      </c>
      <c r="H175" s="1">
        <v>30</v>
      </c>
      <c r="I175" s="1">
        <v>3406.3744999999999</v>
      </c>
      <c r="J175" s="2">
        <v>1</v>
      </c>
      <c r="K175" s="15">
        <f t="shared" si="5"/>
        <v>8.8070175490099524E-3</v>
      </c>
    </row>
    <row r="176" spans="1:11" x14ac:dyDescent="0.4">
      <c r="A176" s="1">
        <v>70.147099999999995</v>
      </c>
      <c r="B176" s="1">
        <v>268</v>
      </c>
      <c r="C176" s="1">
        <v>5462.9790000000003</v>
      </c>
      <c r="D176" s="2">
        <v>1</v>
      </c>
      <c r="E176" s="15">
        <f t="shared" si="4"/>
        <v>4.9057483105829254E-2</v>
      </c>
      <c r="G176" s="1">
        <v>70.144599999999997</v>
      </c>
      <c r="H176" s="1">
        <v>18</v>
      </c>
      <c r="I176" s="1">
        <v>3406.36</v>
      </c>
      <c r="J176" s="2">
        <v>1</v>
      </c>
      <c r="K176" s="15">
        <f t="shared" si="5"/>
        <v>5.284233022933571E-3</v>
      </c>
    </row>
    <row r="177" spans="1:11" x14ac:dyDescent="0.4">
      <c r="A177" s="1">
        <v>70.1571</v>
      </c>
      <c r="B177" s="1">
        <v>264</v>
      </c>
      <c r="C177" s="1">
        <v>5462.1714000000002</v>
      </c>
      <c r="D177" s="2">
        <v>1</v>
      </c>
      <c r="E177" s="15">
        <f t="shared" si="4"/>
        <v>4.8332426917251259E-2</v>
      </c>
      <c r="G177" s="1">
        <v>70.154600000000002</v>
      </c>
      <c r="H177" s="1">
        <v>18</v>
      </c>
      <c r="I177" s="1">
        <v>3404.7134000000001</v>
      </c>
      <c r="J177" s="2">
        <v>1</v>
      </c>
      <c r="K177" s="15">
        <f t="shared" si="5"/>
        <v>5.2867886031170786E-3</v>
      </c>
    </row>
    <row r="178" spans="1:11" x14ac:dyDescent="0.4">
      <c r="A178" s="1">
        <v>70.167100000000005</v>
      </c>
      <c r="B178" s="1">
        <v>244</v>
      </c>
      <c r="C178" s="1">
        <v>5459.7417999999998</v>
      </c>
      <c r="D178" s="2">
        <v>1</v>
      </c>
      <c r="E178" s="15">
        <f t="shared" si="4"/>
        <v>4.4690758086765203E-2</v>
      </c>
      <c r="G178" s="1">
        <v>70.164599999999993</v>
      </c>
      <c r="H178" s="1">
        <v>13</v>
      </c>
      <c r="I178" s="1">
        <v>3406.6305000000002</v>
      </c>
      <c r="J178" s="2">
        <v>1</v>
      </c>
      <c r="K178" s="15">
        <f t="shared" si="5"/>
        <v>3.8160874799893912E-3</v>
      </c>
    </row>
    <row r="179" spans="1:11" x14ac:dyDescent="0.4">
      <c r="A179" s="1">
        <v>70.177099999999996</v>
      </c>
      <c r="B179" s="1">
        <v>262</v>
      </c>
      <c r="C179" s="1">
        <v>5459.0834999999997</v>
      </c>
      <c r="D179" s="2">
        <v>1</v>
      </c>
      <c r="E179" s="15">
        <f t="shared" si="4"/>
        <v>4.7993404021022944E-2</v>
      </c>
      <c r="G179" s="1">
        <v>70.174599999999998</v>
      </c>
      <c r="H179" s="1">
        <v>19</v>
      </c>
      <c r="I179" s="1">
        <v>3405.0951</v>
      </c>
      <c r="J179" s="2">
        <v>1</v>
      </c>
      <c r="K179" s="15">
        <f t="shared" si="5"/>
        <v>5.579873525411963E-3</v>
      </c>
    </row>
    <row r="180" spans="1:11" x14ac:dyDescent="0.4">
      <c r="A180" s="1">
        <v>70.187100000000001</v>
      </c>
      <c r="B180" s="1">
        <v>232</v>
      </c>
      <c r="C180" s="1">
        <v>5456.058</v>
      </c>
      <c r="D180" s="2">
        <v>1</v>
      </c>
      <c r="E180" s="15">
        <f t="shared" si="4"/>
        <v>4.2521542109706309E-2</v>
      </c>
      <c r="G180" s="1">
        <v>70.184600000000003</v>
      </c>
      <c r="H180" s="1">
        <v>18</v>
      </c>
      <c r="I180" s="1">
        <v>3405.0805999999998</v>
      </c>
      <c r="J180" s="2">
        <v>1</v>
      </c>
      <c r="K180" s="15">
        <f t="shared" si="5"/>
        <v>5.2862184818767586E-3</v>
      </c>
    </row>
    <row r="181" spans="1:11" x14ac:dyDescent="0.4">
      <c r="A181" s="1">
        <v>70.197100000000006</v>
      </c>
      <c r="B181" s="1">
        <v>226</v>
      </c>
      <c r="C181" s="1">
        <v>5454.7509</v>
      </c>
      <c r="D181" s="2">
        <v>1</v>
      </c>
      <c r="E181" s="15">
        <f t="shared" si="4"/>
        <v>4.1431772805610612E-2</v>
      </c>
      <c r="G181" s="1">
        <v>70.194599999999994</v>
      </c>
      <c r="H181" s="1">
        <v>21</v>
      </c>
      <c r="I181" s="1">
        <v>3402.57</v>
      </c>
      <c r="J181" s="2">
        <v>1</v>
      </c>
      <c r="K181" s="15">
        <f t="shared" si="5"/>
        <v>6.1718054294254048E-3</v>
      </c>
    </row>
    <row r="182" spans="1:11" x14ac:dyDescent="0.4">
      <c r="A182" s="1">
        <v>70.207099999999997</v>
      </c>
      <c r="B182" s="1">
        <v>214</v>
      </c>
      <c r="C182" s="1">
        <v>5451.0654999999997</v>
      </c>
      <c r="D182" s="2">
        <v>1</v>
      </c>
      <c r="E182" s="15">
        <f t="shared" si="4"/>
        <v>3.925837985252608E-2</v>
      </c>
      <c r="G182" s="1">
        <v>70.204599999999999</v>
      </c>
      <c r="H182" s="1">
        <v>16</v>
      </c>
      <c r="I182" s="1">
        <v>3402.5731000000001</v>
      </c>
      <c r="J182" s="2">
        <v>1</v>
      </c>
      <c r="K182" s="15">
        <f t="shared" si="5"/>
        <v>4.7023236620544612E-3</v>
      </c>
    </row>
    <row r="183" spans="1:11" x14ac:dyDescent="0.4">
      <c r="A183" s="1">
        <v>70.217100000000002</v>
      </c>
      <c r="B183" s="1">
        <v>221</v>
      </c>
      <c r="C183" s="1">
        <v>5451.1849000000002</v>
      </c>
      <c r="D183" s="2">
        <v>1</v>
      </c>
      <c r="E183" s="15">
        <f t="shared" si="4"/>
        <v>4.0541644441376402E-2</v>
      </c>
      <c r="G183" s="1">
        <v>70.214600000000004</v>
      </c>
      <c r="H183" s="1">
        <v>12</v>
      </c>
      <c r="I183" s="1">
        <v>3405.2235000000001</v>
      </c>
      <c r="J183" s="2">
        <v>1</v>
      </c>
      <c r="K183" s="15">
        <f t="shared" si="5"/>
        <v>3.5239977640234188E-3</v>
      </c>
    </row>
    <row r="184" spans="1:11" x14ac:dyDescent="0.4">
      <c r="A184" s="1">
        <v>70.227099999999993</v>
      </c>
      <c r="B184" s="1">
        <v>203</v>
      </c>
      <c r="C184" s="1">
        <v>5447.3401999999996</v>
      </c>
      <c r="D184" s="2">
        <v>1</v>
      </c>
      <c r="E184" s="15">
        <f t="shared" si="4"/>
        <v>3.7265893545624346E-2</v>
      </c>
      <c r="G184" s="1">
        <v>70.224599999999995</v>
      </c>
      <c r="H184" s="1">
        <v>16</v>
      </c>
      <c r="I184" s="1">
        <v>3404.1336000000001</v>
      </c>
      <c r="J184" s="2">
        <v>1</v>
      </c>
      <c r="K184" s="15">
        <f t="shared" si="5"/>
        <v>4.7001680545087892E-3</v>
      </c>
    </row>
    <row r="185" spans="1:11" x14ac:dyDescent="0.4">
      <c r="A185" s="1">
        <v>70.237099999999998</v>
      </c>
      <c r="B185" s="1">
        <v>193</v>
      </c>
      <c r="C185" s="1">
        <v>5444.3833000000004</v>
      </c>
      <c r="D185" s="2">
        <v>1</v>
      </c>
      <c r="E185" s="15">
        <f t="shared" si="4"/>
        <v>3.5449377710052118E-2</v>
      </c>
      <c r="G185" s="1">
        <v>70.2346</v>
      </c>
      <c r="H185" s="1">
        <v>8</v>
      </c>
      <c r="I185" s="1">
        <v>3404.1486</v>
      </c>
      <c r="J185" s="2">
        <v>1</v>
      </c>
      <c r="K185" s="15">
        <f t="shared" si="5"/>
        <v>2.350073671872021E-3</v>
      </c>
    </row>
    <row r="186" spans="1:11" x14ac:dyDescent="0.4">
      <c r="A186" s="1">
        <v>70.247100000000003</v>
      </c>
      <c r="B186" s="1">
        <v>157</v>
      </c>
      <c r="C186" s="1">
        <v>5445.8342000000002</v>
      </c>
      <c r="D186" s="2">
        <v>1</v>
      </c>
      <c r="E186" s="15">
        <f t="shared" si="4"/>
        <v>2.8829375672142204E-2</v>
      </c>
      <c r="G186" s="1">
        <v>70.244600000000005</v>
      </c>
      <c r="H186" s="1">
        <v>12</v>
      </c>
      <c r="I186" s="1">
        <v>3404.2923000000001</v>
      </c>
      <c r="J186" s="2">
        <v>1</v>
      </c>
      <c r="K186" s="15">
        <f t="shared" si="5"/>
        <v>3.5249617079003469E-3</v>
      </c>
    </row>
    <row r="187" spans="1:11" x14ac:dyDescent="0.4">
      <c r="A187" s="1">
        <v>70.257099999999994</v>
      </c>
      <c r="B187" s="1">
        <v>182</v>
      </c>
      <c r="C187" s="1">
        <v>5445.0086000000001</v>
      </c>
      <c r="D187" s="2">
        <v>1</v>
      </c>
      <c r="E187" s="15">
        <f t="shared" si="4"/>
        <v>3.3425107905247387E-2</v>
      </c>
      <c r="G187" s="1">
        <v>70.254599999999996</v>
      </c>
      <c r="H187" s="1">
        <v>8</v>
      </c>
      <c r="I187" s="1">
        <v>3402.5336000000002</v>
      </c>
      <c r="J187" s="2">
        <v>1</v>
      </c>
      <c r="K187" s="15">
        <f t="shared" si="5"/>
        <v>2.3511891256562463E-3</v>
      </c>
    </row>
    <row r="188" spans="1:11" x14ac:dyDescent="0.4">
      <c r="A188" s="1">
        <v>70.267099999999999</v>
      </c>
      <c r="B188" s="1">
        <v>184</v>
      </c>
      <c r="C188" s="1">
        <v>5441.2012000000004</v>
      </c>
      <c r="D188" s="2">
        <v>1</v>
      </c>
      <c r="E188" s="15">
        <f t="shared" si="4"/>
        <v>3.3816062526781765E-2</v>
      </c>
      <c r="G188" s="1">
        <v>70.264600000000002</v>
      </c>
      <c r="H188" s="1">
        <v>15</v>
      </c>
      <c r="I188" s="1">
        <v>3403.0979000000002</v>
      </c>
      <c r="J188" s="2">
        <v>1</v>
      </c>
      <c r="K188" s="15">
        <f t="shared" si="5"/>
        <v>4.4077485987106041E-3</v>
      </c>
    </row>
    <row r="189" spans="1:11" x14ac:dyDescent="0.4">
      <c r="A189" s="1">
        <v>70.277100000000004</v>
      </c>
      <c r="B189" s="1">
        <v>160</v>
      </c>
      <c r="C189" s="1">
        <v>5439.5236000000004</v>
      </c>
      <c r="D189" s="2">
        <v>1</v>
      </c>
      <c r="E189" s="15">
        <f t="shared" si="4"/>
        <v>2.941434062350607E-2</v>
      </c>
      <c r="G189" s="1">
        <v>70.274600000000007</v>
      </c>
      <c r="H189" s="1">
        <v>6</v>
      </c>
      <c r="I189" s="1">
        <v>3402.4335999999998</v>
      </c>
      <c r="J189" s="2">
        <v>1</v>
      </c>
      <c r="K189" s="15">
        <f t="shared" si="5"/>
        <v>1.7634436716119897E-3</v>
      </c>
    </row>
    <row r="190" spans="1:11" x14ac:dyDescent="0.4">
      <c r="A190" s="1">
        <v>70.287099999999995</v>
      </c>
      <c r="B190" s="1">
        <v>152</v>
      </c>
      <c r="C190" s="1">
        <v>5438.6862000000001</v>
      </c>
      <c r="D190" s="2">
        <v>1</v>
      </c>
      <c r="E190" s="15">
        <f t="shared" si="4"/>
        <v>2.79479261002409E-2</v>
      </c>
      <c r="G190" s="1">
        <v>70.284599999999998</v>
      </c>
      <c r="H190" s="1">
        <v>6</v>
      </c>
      <c r="I190" s="1">
        <v>3402.1729999999998</v>
      </c>
      <c r="J190" s="2">
        <v>1</v>
      </c>
      <c r="K190" s="15">
        <f t="shared" si="5"/>
        <v>1.7635787480530826E-3</v>
      </c>
    </row>
    <row r="191" spans="1:11" x14ac:dyDescent="0.4">
      <c r="A191" s="1">
        <v>70.2971</v>
      </c>
      <c r="B191" s="1">
        <v>173</v>
      </c>
      <c r="C191" s="1">
        <v>5434.3140999999996</v>
      </c>
      <c r="D191" s="2">
        <v>1</v>
      </c>
      <c r="E191" s="15">
        <f t="shared" si="4"/>
        <v>3.1834744333236097E-2</v>
      </c>
      <c r="G191" s="1">
        <v>70.294600000000003</v>
      </c>
      <c r="H191" s="1">
        <v>13</v>
      </c>
      <c r="I191" s="1">
        <v>3403.4223000000002</v>
      </c>
      <c r="J191" s="2">
        <v>1</v>
      </c>
      <c r="K191" s="15">
        <f t="shared" si="5"/>
        <v>3.8196846744525353E-3</v>
      </c>
    </row>
    <row r="192" spans="1:11" x14ac:dyDescent="0.4">
      <c r="A192" s="1">
        <v>70.307100000000005</v>
      </c>
      <c r="B192" s="1">
        <v>156</v>
      </c>
      <c r="C192" s="1">
        <v>5433.058</v>
      </c>
      <c r="D192" s="2">
        <v>1</v>
      </c>
      <c r="E192" s="15">
        <f t="shared" si="4"/>
        <v>2.8713111474237898E-2</v>
      </c>
      <c r="G192" s="1">
        <v>70.304599999999994</v>
      </c>
      <c r="H192" s="1">
        <v>8</v>
      </c>
      <c r="I192" s="1">
        <v>3400.5745999999999</v>
      </c>
      <c r="J192" s="2">
        <v>1</v>
      </c>
      <c r="K192" s="15">
        <f t="shared" si="5"/>
        <v>2.3525435966027623E-3</v>
      </c>
    </row>
    <row r="193" spans="1:11" x14ac:dyDescent="0.4">
      <c r="A193" s="1">
        <v>70.317099999999996</v>
      </c>
      <c r="B193" s="1">
        <v>136</v>
      </c>
      <c r="C193" s="1">
        <v>5430.2583999999997</v>
      </c>
      <c r="D193" s="2">
        <v>1</v>
      </c>
      <c r="E193" s="15">
        <f t="shared" si="4"/>
        <v>2.5044848694493065E-2</v>
      </c>
      <c r="G193" s="1">
        <v>70.314599999999999</v>
      </c>
      <c r="H193" s="1">
        <v>7</v>
      </c>
      <c r="I193" s="1">
        <v>3398.2646</v>
      </c>
      <c r="J193" s="2">
        <v>1</v>
      </c>
      <c r="K193" s="15">
        <f t="shared" si="5"/>
        <v>2.0598749138015914E-3</v>
      </c>
    </row>
    <row r="194" spans="1:11" x14ac:dyDescent="0.4">
      <c r="A194" s="1">
        <v>70.327100000000002</v>
      </c>
      <c r="B194" s="1">
        <v>141</v>
      </c>
      <c r="C194" s="1">
        <v>5429.1817000000001</v>
      </c>
      <c r="D194" s="2">
        <v>1</v>
      </c>
      <c r="E194" s="15">
        <f t="shared" si="4"/>
        <v>2.5970764618174411E-2</v>
      </c>
      <c r="G194" s="1">
        <v>70.324600000000004</v>
      </c>
      <c r="H194" s="1">
        <v>5</v>
      </c>
      <c r="I194" s="1">
        <v>3398.6869999999999</v>
      </c>
      <c r="J194" s="2">
        <v>1</v>
      </c>
      <c r="K194" s="15">
        <f t="shared" si="5"/>
        <v>1.4711563612653945E-3</v>
      </c>
    </row>
    <row r="195" spans="1:11" x14ac:dyDescent="0.4">
      <c r="A195" s="1">
        <v>70.337100000000007</v>
      </c>
      <c r="B195" s="1">
        <v>133</v>
      </c>
      <c r="C195" s="1">
        <v>5431.4345000000003</v>
      </c>
      <c r="D195" s="2">
        <v>1</v>
      </c>
      <c r="E195" s="15">
        <f t="shared" si="4"/>
        <v>2.4487085317884252E-2</v>
      </c>
      <c r="G195" s="1">
        <v>70.334599999999995</v>
      </c>
      <c r="H195" s="1">
        <v>8</v>
      </c>
      <c r="I195" s="1">
        <v>3401.2921000000001</v>
      </c>
      <c r="J195" s="2">
        <v>1</v>
      </c>
      <c r="K195" s="15">
        <f t="shared" si="5"/>
        <v>2.3520473293075885E-3</v>
      </c>
    </row>
    <row r="196" spans="1:11" x14ac:dyDescent="0.4">
      <c r="A196" s="1">
        <v>70.347099999999998</v>
      </c>
      <c r="B196" s="1">
        <v>140</v>
      </c>
      <c r="C196" s="1">
        <v>5433.5325999999995</v>
      </c>
      <c r="D196" s="2">
        <v>1</v>
      </c>
      <c r="E196" s="15">
        <f t="shared" si="4"/>
        <v>2.5765926204252464E-2</v>
      </c>
      <c r="G196" s="1">
        <v>70.3446</v>
      </c>
      <c r="H196" s="1">
        <v>7</v>
      </c>
      <c r="I196" s="1">
        <v>3399.2071000000001</v>
      </c>
      <c r="J196" s="2">
        <v>1</v>
      </c>
      <c r="K196" s="15">
        <f t="shared" si="5"/>
        <v>2.059303771164752E-3</v>
      </c>
    </row>
    <row r="197" spans="1:11" x14ac:dyDescent="0.4">
      <c r="A197" s="1">
        <v>70.357100000000003</v>
      </c>
      <c r="B197" s="1">
        <v>115</v>
      </c>
      <c r="C197" s="1">
        <v>5431.4018999999998</v>
      </c>
      <c r="D197" s="2">
        <v>1</v>
      </c>
      <c r="E197" s="15">
        <f t="shared" si="4"/>
        <v>2.1173170779352567E-2</v>
      </c>
      <c r="G197" s="1">
        <v>70.354600000000005</v>
      </c>
      <c r="H197" s="1">
        <v>5</v>
      </c>
      <c r="I197" s="1">
        <v>3396.0940999999998</v>
      </c>
      <c r="J197" s="2">
        <v>1</v>
      </c>
      <c r="K197" s="15">
        <f t="shared" si="5"/>
        <v>1.4722795814167812E-3</v>
      </c>
    </row>
    <row r="198" spans="1:11" x14ac:dyDescent="0.4">
      <c r="A198" s="1">
        <v>70.367099999999994</v>
      </c>
      <c r="B198" s="1">
        <v>115</v>
      </c>
      <c r="C198" s="1">
        <v>5431.5681000000004</v>
      </c>
      <c r="D198" s="2">
        <v>1</v>
      </c>
      <c r="E198" s="15">
        <f t="shared" si="4"/>
        <v>2.1172522903652811E-2</v>
      </c>
      <c r="G198" s="1">
        <v>70.364599999999996</v>
      </c>
      <c r="H198" s="1">
        <v>6</v>
      </c>
      <c r="I198" s="1">
        <v>3397.6109000000001</v>
      </c>
      <c r="J198" s="2">
        <v>1</v>
      </c>
      <c r="K198" s="15">
        <f t="shared" si="5"/>
        <v>1.7659467715976541E-3</v>
      </c>
    </row>
    <row r="199" spans="1:11" x14ac:dyDescent="0.4">
      <c r="A199" s="1">
        <v>70.377099999999999</v>
      </c>
      <c r="B199" s="1">
        <v>120</v>
      </c>
      <c r="C199" s="1">
        <v>5428.2480999999998</v>
      </c>
      <c r="D199" s="2">
        <v>1</v>
      </c>
      <c r="E199" s="15">
        <f t="shared" si="4"/>
        <v>2.2106579837424898E-2</v>
      </c>
      <c r="G199" s="1">
        <v>70.374600000000001</v>
      </c>
      <c r="H199" s="1">
        <v>4</v>
      </c>
      <c r="I199" s="1">
        <v>3395.9780000000001</v>
      </c>
      <c r="J199" s="2">
        <v>1</v>
      </c>
      <c r="K199" s="15">
        <f t="shared" si="5"/>
        <v>1.1778639319807137E-3</v>
      </c>
    </row>
    <row r="200" spans="1:11" x14ac:dyDescent="0.4">
      <c r="A200" s="1">
        <v>70.387100000000004</v>
      </c>
      <c r="B200" s="1">
        <v>131</v>
      </c>
      <c r="C200" s="1">
        <v>5428.7816000000003</v>
      </c>
      <c r="D200" s="2">
        <v>1</v>
      </c>
      <c r="E200" s="15">
        <f t="shared" si="4"/>
        <v>2.4130644710407947E-2</v>
      </c>
      <c r="G200" s="1">
        <v>70.384600000000006</v>
      </c>
      <c r="H200" s="1">
        <v>17</v>
      </c>
      <c r="I200" s="1">
        <v>3395.4821999999999</v>
      </c>
      <c r="J200" s="2">
        <v>1</v>
      </c>
      <c r="K200" s="15">
        <f t="shared" si="5"/>
        <v>5.0066526633536761E-3</v>
      </c>
    </row>
    <row r="201" spans="1:11" x14ac:dyDescent="0.4">
      <c r="A201" s="1">
        <v>70.397099999999995</v>
      </c>
      <c r="B201" s="1">
        <v>98</v>
      </c>
      <c r="C201" s="1">
        <v>5425.5553</v>
      </c>
      <c r="D201" s="2">
        <v>1</v>
      </c>
      <c r="E201" s="15">
        <f t="shared" si="4"/>
        <v>1.8062667244401694E-2</v>
      </c>
      <c r="G201" s="1">
        <v>70.394599999999997</v>
      </c>
      <c r="H201" s="1">
        <v>6</v>
      </c>
      <c r="I201" s="1">
        <v>3396.7471999999998</v>
      </c>
      <c r="J201" s="2">
        <v>1</v>
      </c>
      <c r="K201" s="15">
        <f t="shared" si="5"/>
        <v>1.7663958036088173E-3</v>
      </c>
    </row>
    <row r="202" spans="1:11" x14ac:dyDescent="0.4">
      <c r="A202" s="1">
        <v>70.4071</v>
      </c>
      <c r="B202" s="1">
        <v>110</v>
      </c>
      <c r="C202" s="1">
        <v>5422.0950000000003</v>
      </c>
      <c r="D202" s="2">
        <v>1</v>
      </c>
      <c r="E202" s="15">
        <f t="shared" si="4"/>
        <v>2.0287361250586718E-2</v>
      </c>
      <c r="G202" s="1">
        <v>70.404600000000002</v>
      </c>
      <c r="H202" s="1">
        <v>6</v>
      </c>
      <c r="I202" s="1">
        <v>3395.9034999999999</v>
      </c>
      <c r="J202" s="2">
        <v>1</v>
      </c>
      <c r="K202" s="15">
        <f t="shared" si="5"/>
        <v>1.7668346582875515E-3</v>
      </c>
    </row>
    <row r="203" spans="1:11" x14ac:dyDescent="0.4">
      <c r="A203" s="1">
        <v>70.417100000000005</v>
      </c>
      <c r="B203" s="1">
        <v>85</v>
      </c>
      <c r="C203" s="1">
        <v>5419.7030000000004</v>
      </c>
      <c r="D203" s="2">
        <v>1</v>
      </c>
      <c r="E203" s="15">
        <f t="shared" si="4"/>
        <v>1.5683516236959846E-2</v>
      </c>
      <c r="G203" s="1">
        <v>70.414599999999993</v>
      </c>
      <c r="H203" s="1">
        <v>5</v>
      </c>
      <c r="I203" s="1">
        <v>3395.337</v>
      </c>
      <c r="J203" s="2">
        <v>1</v>
      </c>
      <c r="K203" s="15">
        <f t="shared" si="5"/>
        <v>1.4726078736808747E-3</v>
      </c>
    </row>
    <row r="204" spans="1:11" x14ac:dyDescent="0.4">
      <c r="A204" s="1">
        <v>70.427099999999996</v>
      </c>
      <c r="B204" s="1">
        <v>100</v>
      </c>
      <c r="C204" s="1">
        <v>5417.8757999999998</v>
      </c>
      <c r="D204" s="2">
        <v>1</v>
      </c>
      <c r="E204" s="15">
        <f t="shared" si="4"/>
        <v>1.8457418311434898E-2</v>
      </c>
      <c r="G204" s="1">
        <v>70.424599999999998</v>
      </c>
      <c r="H204" s="1">
        <v>3</v>
      </c>
      <c r="I204" s="1">
        <v>3395.7977999999998</v>
      </c>
      <c r="J204" s="2">
        <v>1</v>
      </c>
      <c r="K204" s="15">
        <f t="shared" si="5"/>
        <v>8.834448270153188E-4</v>
      </c>
    </row>
    <row r="205" spans="1:11" x14ac:dyDescent="0.4">
      <c r="A205" s="1">
        <v>70.437100000000001</v>
      </c>
      <c r="B205" s="1">
        <v>107</v>
      </c>
      <c r="C205" s="1">
        <v>5417.0793000000003</v>
      </c>
      <c r="D205" s="2">
        <v>1</v>
      </c>
      <c r="E205" s="15">
        <f t="shared" si="4"/>
        <v>1.9752341450862642E-2</v>
      </c>
      <c r="G205" s="1">
        <v>70.434600000000003</v>
      </c>
      <c r="H205" s="1">
        <v>5</v>
      </c>
      <c r="I205" s="1">
        <v>3395.0680000000002</v>
      </c>
      <c r="J205" s="2">
        <v>1</v>
      </c>
      <c r="K205" s="15">
        <f t="shared" si="5"/>
        <v>1.4727245522033726E-3</v>
      </c>
    </row>
    <row r="206" spans="1:11" x14ac:dyDescent="0.4">
      <c r="A206" s="1">
        <v>70.447100000000006</v>
      </c>
      <c r="B206" s="1">
        <v>89</v>
      </c>
      <c r="C206" s="1">
        <v>5411.7071999999998</v>
      </c>
      <c r="D206" s="2">
        <v>1</v>
      </c>
      <c r="E206" s="15">
        <f t="shared" si="4"/>
        <v>1.6445826928700061E-2</v>
      </c>
      <c r="G206" s="1">
        <v>70.444599999999994</v>
      </c>
      <c r="H206" s="1">
        <v>5</v>
      </c>
      <c r="I206" s="1">
        <v>3394.2114999999999</v>
      </c>
      <c r="J206" s="2">
        <v>1</v>
      </c>
      <c r="K206" s="15">
        <f t="shared" si="5"/>
        <v>1.4730961815431949E-3</v>
      </c>
    </row>
    <row r="207" spans="1:11" x14ac:dyDescent="0.4">
      <c r="A207" s="1">
        <v>70.457099999999997</v>
      </c>
      <c r="B207" s="1">
        <v>81</v>
      </c>
      <c r="C207" s="1">
        <v>5410.4372999999996</v>
      </c>
      <c r="D207" s="2">
        <v>1</v>
      </c>
      <c r="E207" s="15">
        <f t="shared" si="4"/>
        <v>1.4971063429567884E-2</v>
      </c>
      <c r="G207" s="1">
        <v>70.454599999999999</v>
      </c>
      <c r="H207" s="1">
        <v>6</v>
      </c>
      <c r="I207" s="1">
        <v>3392.1511</v>
      </c>
      <c r="J207" s="2">
        <v>1</v>
      </c>
      <c r="K207" s="15">
        <f t="shared" si="5"/>
        <v>1.7687891320643115E-3</v>
      </c>
    </row>
    <row r="208" spans="1:11" x14ac:dyDescent="0.4">
      <c r="A208" s="1">
        <v>70.467100000000002</v>
      </c>
      <c r="B208" s="1">
        <v>82</v>
      </c>
      <c r="C208" s="1">
        <v>5405.0389999999998</v>
      </c>
      <c r="D208" s="2">
        <v>1</v>
      </c>
      <c r="E208" s="15">
        <f t="shared" si="4"/>
        <v>1.5171028368157936E-2</v>
      </c>
      <c r="G208" s="1">
        <v>70.464600000000004</v>
      </c>
      <c r="H208" s="1">
        <v>3</v>
      </c>
      <c r="I208" s="1">
        <v>3391.1021000000001</v>
      </c>
      <c r="J208" s="2">
        <v>1</v>
      </c>
      <c r="K208" s="15">
        <f t="shared" si="5"/>
        <v>8.846681437282587E-4</v>
      </c>
    </row>
    <row r="209" spans="1:11" x14ac:dyDescent="0.4">
      <c r="A209" s="1">
        <v>70.477099999999993</v>
      </c>
      <c r="B209" s="1">
        <v>100</v>
      </c>
      <c r="C209" s="1">
        <v>5402.3208000000004</v>
      </c>
      <c r="D209" s="2">
        <v>1</v>
      </c>
      <c r="E209" s="15">
        <f t="shared" si="4"/>
        <v>1.8510563089848348E-2</v>
      </c>
      <c r="G209" s="1">
        <v>70.474599999999995</v>
      </c>
      <c r="H209" s="1">
        <v>1</v>
      </c>
      <c r="I209" s="1">
        <v>3390.3474000000001</v>
      </c>
      <c r="J209" s="2">
        <v>1</v>
      </c>
      <c r="K209" s="15">
        <f t="shared" si="5"/>
        <v>2.9495502437301853E-4</v>
      </c>
    </row>
    <row r="210" spans="1:11" x14ac:dyDescent="0.4">
      <c r="A210" s="1">
        <v>70.487099999999998</v>
      </c>
      <c r="B210" s="1">
        <v>77</v>
      </c>
      <c r="C210" s="1">
        <v>5401.3158999999996</v>
      </c>
      <c r="D210" s="2">
        <v>1</v>
      </c>
      <c r="E210" s="15">
        <f t="shared" si="4"/>
        <v>1.4255785335569801E-2</v>
      </c>
      <c r="G210" s="1">
        <v>70.4846</v>
      </c>
      <c r="H210" s="1">
        <v>5</v>
      </c>
      <c r="I210" s="1">
        <v>3389.0518000000002</v>
      </c>
      <c r="J210" s="2">
        <v>1</v>
      </c>
      <c r="K210" s="15">
        <f t="shared" si="5"/>
        <v>1.4753389133798425E-3</v>
      </c>
    </row>
    <row r="211" spans="1:11" x14ac:dyDescent="0.4">
      <c r="A211" s="1">
        <v>70.497100000000003</v>
      </c>
      <c r="B211" s="1">
        <v>84</v>
      </c>
      <c r="C211" s="1">
        <v>5402.6752999999999</v>
      </c>
      <c r="D211" s="2">
        <v>1</v>
      </c>
      <c r="E211" s="15">
        <f t="shared" si="4"/>
        <v>1.5547852746212603E-2</v>
      </c>
      <c r="G211" s="1">
        <v>70.494600000000005</v>
      </c>
      <c r="H211" s="1">
        <v>5</v>
      </c>
      <c r="I211" s="1">
        <v>3390.6464000000001</v>
      </c>
      <c r="J211" s="2">
        <v>1</v>
      </c>
      <c r="K211" s="15">
        <f t="shared" si="5"/>
        <v>1.4746450706272409E-3</v>
      </c>
    </row>
    <row r="212" spans="1:11" x14ac:dyDescent="0.4">
      <c r="A212" s="1">
        <v>70.507099999999994</v>
      </c>
      <c r="B212" s="1">
        <v>69</v>
      </c>
      <c r="C212" s="1">
        <v>5399.9992000000002</v>
      </c>
      <c r="D212" s="2">
        <v>1</v>
      </c>
      <c r="E212" s="15">
        <f t="shared" si="4"/>
        <v>1.2777779670782172E-2</v>
      </c>
      <c r="G212" s="1">
        <v>70.504599999999996</v>
      </c>
      <c r="H212" s="1">
        <v>7</v>
      </c>
      <c r="I212" s="1">
        <v>3387.9340999999999</v>
      </c>
      <c r="J212" s="2">
        <v>1</v>
      </c>
      <c r="K212" s="15">
        <f t="shared" si="5"/>
        <v>2.0661558912848984E-3</v>
      </c>
    </row>
    <row r="213" spans="1:11" x14ac:dyDescent="0.4">
      <c r="A213" s="1">
        <v>70.517099999999999</v>
      </c>
      <c r="B213" s="1">
        <v>69</v>
      </c>
      <c r="C213" s="1">
        <v>5397.0084999999999</v>
      </c>
      <c r="D213" s="2">
        <v>1</v>
      </c>
      <c r="E213" s="15">
        <f t="shared" ref="E213:E220" si="6">B213/C213*D213</f>
        <v>1.2784860353657031E-2</v>
      </c>
      <c r="G213" s="1">
        <v>70.514600000000002</v>
      </c>
      <c r="H213" s="1">
        <v>9</v>
      </c>
      <c r="I213" s="1">
        <v>3386.2615999999998</v>
      </c>
      <c r="J213" s="2">
        <v>1</v>
      </c>
      <c r="K213" s="15">
        <f t="shared" ref="K213:K220" si="7">H213/I213*J213</f>
        <v>2.6577982043679083E-3</v>
      </c>
    </row>
    <row r="214" spans="1:11" x14ac:dyDescent="0.4">
      <c r="A214" s="1">
        <v>70.527100000000004</v>
      </c>
      <c r="B214" s="1">
        <v>74</v>
      </c>
      <c r="C214" s="1">
        <v>5393.8325000000004</v>
      </c>
      <c r="D214" s="2">
        <v>1</v>
      </c>
      <c r="E214" s="15">
        <f t="shared" si="6"/>
        <v>1.3719373006113927E-2</v>
      </c>
      <c r="G214" s="1">
        <v>70.524600000000007</v>
      </c>
      <c r="H214" s="1">
        <v>2</v>
      </c>
      <c r="I214" s="1">
        <v>3387.1592000000001</v>
      </c>
      <c r="J214" s="2">
        <v>1</v>
      </c>
      <c r="K214" s="15">
        <f t="shared" si="7"/>
        <v>5.9046530791939157E-4</v>
      </c>
    </row>
    <row r="215" spans="1:11" x14ac:dyDescent="0.4">
      <c r="A215" s="1">
        <v>70.537099999999995</v>
      </c>
      <c r="B215" s="1">
        <v>76</v>
      </c>
      <c r="C215" s="1">
        <v>5394.5865999999996</v>
      </c>
      <c r="D215" s="2">
        <v>1</v>
      </c>
      <c r="E215" s="15">
        <f t="shared" si="6"/>
        <v>1.4088197230905517E-2</v>
      </c>
      <c r="G215" s="1">
        <v>70.534599999999998</v>
      </c>
      <c r="H215" s="1">
        <v>3</v>
      </c>
      <c r="I215" s="1">
        <v>3388.2469999999998</v>
      </c>
      <c r="J215" s="2">
        <v>1</v>
      </c>
      <c r="K215" s="15">
        <f t="shared" si="7"/>
        <v>8.8541360768562625E-4</v>
      </c>
    </row>
    <row r="216" spans="1:11" x14ac:dyDescent="0.4">
      <c r="A216" s="1">
        <v>70.5471</v>
      </c>
      <c r="B216" s="1">
        <v>52</v>
      </c>
      <c r="C216" s="1">
        <v>5392.8069999999998</v>
      </c>
      <c r="D216" s="2">
        <v>1</v>
      </c>
      <c r="E216" s="15">
        <f t="shared" si="6"/>
        <v>9.6424737618090173E-3</v>
      </c>
      <c r="G216" s="1">
        <v>70.544600000000003</v>
      </c>
      <c r="H216" s="1">
        <v>6</v>
      </c>
      <c r="I216" s="1">
        <v>3385.8647000000001</v>
      </c>
      <c r="J216" s="2">
        <v>1</v>
      </c>
      <c r="K216" s="15">
        <f t="shared" si="7"/>
        <v>1.7720731723272936E-3</v>
      </c>
    </row>
    <row r="217" spans="1:11" x14ac:dyDescent="0.4">
      <c r="A217" s="1">
        <v>70.557100000000005</v>
      </c>
      <c r="B217" s="1">
        <v>48</v>
      </c>
      <c r="C217" s="1">
        <v>5399.0171</v>
      </c>
      <c r="D217" s="2">
        <v>1</v>
      </c>
      <c r="E217" s="15">
        <f t="shared" si="6"/>
        <v>8.8905071258248095E-3</v>
      </c>
      <c r="G217" s="1">
        <v>70.554599999999994</v>
      </c>
      <c r="H217" s="1">
        <v>4</v>
      </c>
      <c r="I217" s="1">
        <v>3388.5488</v>
      </c>
      <c r="J217" s="2">
        <v>1</v>
      </c>
      <c r="K217" s="15">
        <f t="shared" si="7"/>
        <v>1.1804463314797177E-3</v>
      </c>
    </row>
    <row r="218" spans="1:11" x14ac:dyDescent="0.4">
      <c r="A218" s="1">
        <v>70.567099999999996</v>
      </c>
      <c r="B218" s="1">
        <v>56</v>
      </c>
      <c r="C218" s="1">
        <v>5399.9242000000004</v>
      </c>
      <c r="D218" s="2">
        <v>1</v>
      </c>
      <c r="E218" s="15">
        <f t="shared" si="6"/>
        <v>1.0370515941686736E-2</v>
      </c>
      <c r="G218" s="1">
        <v>70.564599999999999</v>
      </c>
      <c r="H218" s="1">
        <v>2</v>
      </c>
      <c r="I218" s="1">
        <v>3387.0594999999998</v>
      </c>
      <c r="J218" s="2">
        <v>1</v>
      </c>
      <c r="K218" s="15">
        <f t="shared" si="7"/>
        <v>5.904826885975874E-4</v>
      </c>
    </row>
    <row r="219" spans="1:11" x14ac:dyDescent="0.4">
      <c r="A219" s="1">
        <v>70.577100000000002</v>
      </c>
      <c r="B219" s="1">
        <v>47</v>
      </c>
      <c r="C219" s="1">
        <v>5402.9931999999999</v>
      </c>
      <c r="D219" s="2">
        <v>1</v>
      </c>
      <c r="E219" s="15">
        <f t="shared" si="6"/>
        <v>8.6988819456593064E-3</v>
      </c>
      <c r="G219" s="1">
        <v>70.574600000000004</v>
      </c>
      <c r="H219" s="1">
        <v>1</v>
      </c>
      <c r="I219" s="1">
        <v>3388.6559000000002</v>
      </c>
      <c r="J219" s="2">
        <v>1</v>
      </c>
      <c r="K219" s="15">
        <f t="shared" si="7"/>
        <v>2.951022557350836E-4</v>
      </c>
    </row>
    <row r="220" spans="1:11" x14ac:dyDescent="0.4">
      <c r="A220" s="1">
        <v>70.587100000000007</v>
      </c>
      <c r="B220" s="1">
        <v>41</v>
      </c>
      <c r="C220" s="1">
        <v>5405.7250000000004</v>
      </c>
      <c r="D220" s="2">
        <v>1</v>
      </c>
      <c r="E220" s="15">
        <f t="shared" si="6"/>
        <v>7.584551563388814E-3</v>
      </c>
      <c r="G220" s="1">
        <v>70.584599999999995</v>
      </c>
      <c r="H220" s="1">
        <v>4</v>
      </c>
      <c r="I220" s="1">
        <v>3390.5785000000001</v>
      </c>
      <c r="J220" s="2">
        <v>1</v>
      </c>
      <c r="K220" s="15">
        <f t="shared" si="7"/>
        <v>1.1797396815912092E-3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ω</vt:lpstr>
      <vt:lpstr>Si_TEOS_2thome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2025-09-08T10:08:21Z</dcterms:modified>
</cp:coreProperties>
</file>