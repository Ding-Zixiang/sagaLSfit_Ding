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15-Admin\Desktop\"/>
    </mc:Choice>
  </mc:AlternateContent>
  <xr:revisionPtr revIDLastSave="0" documentId="13_ncr:1_{83CC8B3C-1A9D-4985-ADEF-7C1392962339}" xr6:coauthVersionLast="47" xr6:coauthVersionMax="47" xr10:uidLastSave="{00000000-0000-0000-0000-000000000000}"/>
  <bookViews>
    <workbookView xWindow="13710" yWindow="3360" windowWidth="23205" windowHeight="18030" activeTab="2" xr2:uid="{00000000-000D-0000-FFFF-FFFF00000000}"/>
  </bookViews>
  <sheets>
    <sheet name="角度計算" sheetId="1" r:id="rId1"/>
    <sheet name="E計算" sheetId="2" r:id="rId2"/>
    <sheet name="Si" sheetId="3" r:id="rId3"/>
    <sheet name="半値幅(Powder)" sheetId="4" r:id="rId4"/>
    <sheet name="半値幅(single)" sheetId="5" r:id="rId5"/>
  </sheets>
  <definedNames>
    <definedName name="_xlnm.Print_Area" localSheetId="0">角度計算!$A$1:$S$21</definedName>
    <definedName name="solver_adj" localSheetId="2" hidden="1">Si!$C$3</definedName>
    <definedName name="solver_adj" localSheetId="0" hidden="1">角度計算!$C$3</definedName>
    <definedName name="solver_adj" localSheetId="3" hidden="1">'半値幅(Powder)'!$C$3</definedName>
    <definedName name="solver_cvg" localSheetId="2" hidden="1">0.0001</definedName>
    <definedName name="solver_cvg" localSheetId="0" hidden="1">0.0001</definedName>
    <definedName name="solver_cvg" localSheetId="3" hidden="1">0.0001</definedName>
    <definedName name="solver_drv" localSheetId="2" hidden="1">1</definedName>
    <definedName name="solver_drv" localSheetId="0" hidden="1">1</definedName>
    <definedName name="solver_drv" localSheetId="3" hidden="1">1</definedName>
    <definedName name="solver_eng" localSheetId="2" hidden="1">1</definedName>
    <definedName name="solver_eng" localSheetId="0" hidden="1">1</definedName>
    <definedName name="solver_eng" localSheetId="3" hidden="1">1</definedName>
    <definedName name="solver_est" localSheetId="2" hidden="1">1</definedName>
    <definedName name="solver_est" localSheetId="0" hidden="1">1</definedName>
    <definedName name="solver_est" localSheetId="3" hidden="1">1</definedName>
    <definedName name="solver_itr" localSheetId="2" hidden="1">2147483647</definedName>
    <definedName name="solver_itr" localSheetId="0" hidden="1">2147483647</definedName>
    <definedName name="solver_itr" localSheetId="3" hidden="1">2147483647</definedName>
    <definedName name="solver_mip" localSheetId="2" hidden="1">2147483647</definedName>
    <definedName name="solver_mip" localSheetId="0" hidden="1">2147483647</definedName>
    <definedName name="solver_mip" localSheetId="3" hidden="1">2147483647</definedName>
    <definedName name="solver_mni" localSheetId="2" hidden="1">30</definedName>
    <definedName name="solver_mni" localSheetId="0" hidden="1">30</definedName>
    <definedName name="solver_mni" localSheetId="3" hidden="1">30</definedName>
    <definedName name="solver_mrt" localSheetId="2" hidden="1">0.075</definedName>
    <definedName name="solver_mrt" localSheetId="0" hidden="1">0.075</definedName>
    <definedName name="solver_mrt" localSheetId="3" hidden="1">0.075</definedName>
    <definedName name="solver_msl" localSheetId="2" hidden="1">2</definedName>
    <definedName name="solver_msl" localSheetId="0" hidden="1">2</definedName>
    <definedName name="solver_msl" localSheetId="3" hidden="1">2</definedName>
    <definedName name="solver_neg" localSheetId="2" hidden="1">1</definedName>
    <definedName name="solver_neg" localSheetId="0" hidden="1">1</definedName>
    <definedName name="solver_neg" localSheetId="3" hidden="1">1</definedName>
    <definedName name="solver_nod" localSheetId="2" hidden="1">2147483647</definedName>
    <definedName name="solver_nod" localSheetId="0" hidden="1">2147483647</definedName>
    <definedName name="solver_nod" localSheetId="3" hidden="1">2147483647</definedName>
    <definedName name="solver_num" localSheetId="2" hidden="1">0</definedName>
    <definedName name="solver_num" localSheetId="0" hidden="1">0</definedName>
    <definedName name="solver_num" localSheetId="3" hidden="1">0</definedName>
    <definedName name="solver_nwt" localSheetId="2" hidden="1">1</definedName>
    <definedName name="solver_nwt" localSheetId="0" hidden="1">1</definedName>
    <definedName name="solver_nwt" localSheetId="3" hidden="1">1</definedName>
    <definedName name="solver_opt" localSheetId="2" hidden="1">Si!$L$17</definedName>
    <definedName name="solver_opt" localSheetId="0" hidden="1">角度計算!$K$11</definedName>
    <definedName name="solver_opt" localSheetId="3" hidden="1">'半値幅(Powder)'!$M$13</definedName>
    <definedName name="solver_pre" localSheetId="2" hidden="1">0.000001</definedName>
    <definedName name="solver_pre" localSheetId="0" hidden="1">0.000001</definedName>
    <definedName name="solver_pre" localSheetId="3" hidden="1">0.000001</definedName>
    <definedName name="solver_rbv" localSheetId="2" hidden="1">1</definedName>
    <definedName name="solver_rbv" localSheetId="0" hidden="1">1</definedName>
    <definedName name="solver_rbv" localSheetId="3" hidden="1">1</definedName>
    <definedName name="solver_rlx" localSheetId="2" hidden="1">2</definedName>
    <definedName name="solver_rlx" localSheetId="0" hidden="1">2</definedName>
    <definedName name="solver_rlx" localSheetId="3" hidden="1">2</definedName>
    <definedName name="solver_rsd" localSheetId="2" hidden="1">0</definedName>
    <definedName name="solver_rsd" localSheetId="0" hidden="1">0</definedName>
    <definedName name="solver_rsd" localSheetId="3" hidden="1">0</definedName>
    <definedName name="solver_scl" localSheetId="2" hidden="1">1</definedName>
    <definedName name="solver_scl" localSheetId="0" hidden="1">1</definedName>
    <definedName name="solver_scl" localSheetId="3" hidden="1">1</definedName>
    <definedName name="solver_sho" localSheetId="2" hidden="1">2</definedName>
    <definedName name="solver_sho" localSheetId="0" hidden="1">2</definedName>
    <definedName name="solver_sho" localSheetId="3" hidden="1">2</definedName>
    <definedName name="solver_ssz" localSheetId="2" hidden="1">100</definedName>
    <definedName name="solver_ssz" localSheetId="0" hidden="1">100</definedName>
    <definedName name="solver_ssz" localSheetId="3" hidden="1">100</definedName>
    <definedName name="solver_tim" localSheetId="2" hidden="1">2147483647</definedName>
    <definedName name="solver_tim" localSheetId="0" hidden="1">2147483647</definedName>
    <definedName name="solver_tim" localSheetId="3" hidden="1">2147483647</definedName>
    <definedName name="solver_tol" localSheetId="2" hidden="1">0.01</definedName>
    <definedName name="solver_tol" localSheetId="0" hidden="1">0.01</definedName>
    <definedName name="solver_tol" localSheetId="3" hidden="1">0.01</definedName>
    <definedName name="solver_typ" localSheetId="2" hidden="1">2</definedName>
    <definedName name="solver_typ" localSheetId="0" hidden="1">2</definedName>
    <definedName name="solver_typ" localSheetId="3" hidden="1">2</definedName>
    <definedName name="solver_val" localSheetId="2" hidden="1">0</definedName>
    <definedName name="solver_val" localSheetId="0" hidden="1">0</definedName>
    <definedName name="solver_val" localSheetId="3" hidden="1">0</definedName>
    <definedName name="solver_ver" localSheetId="2" hidden="1">3</definedName>
    <definedName name="solver_ver" localSheetId="0" hidden="1">3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" i="3" l="1"/>
  <c r="D3" i="3"/>
  <c r="E3" i="3" s="1"/>
  <c r="D3" i="1"/>
  <c r="E3" i="1" s="1"/>
  <c r="G6" i="4"/>
  <c r="F6" i="4"/>
  <c r="I3" i="4"/>
  <c r="C6" i="4" s="1"/>
  <c r="H9" i="4" l="1"/>
  <c r="E9" i="5" l="1"/>
  <c r="D9" i="5"/>
  <c r="H6" i="5"/>
  <c r="G6" i="5"/>
  <c r="F6" i="5"/>
  <c r="I3" i="5"/>
  <c r="C6" i="5" s="1"/>
  <c r="D9" i="4"/>
  <c r="H6" i="4"/>
  <c r="D9" i="3"/>
  <c r="H6" i="3"/>
  <c r="G6" i="3"/>
  <c r="F6" i="3"/>
  <c r="I3" i="3"/>
  <c r="E6" i="3" s="1"/>
  <c r="D6" i="5" l="1"/>
  <c r="E6" i="5"/>
  <c r="F9" i="5"/>
  <c r="E6" i="4"/>
  <c r="D6" i="4"/>
  <c r="C6" i="3"/>
  <c r="D6" i="3"/>
  <c r="D9" i="1"/>
  <c r="F182" i="5" l="1"/>
  <c r="F187" i="5"/>
  <c r="H187" i="5" s="1"/>
  <c r="J187" i="5" s="1"/>
  <c r="F96" i="5"/>
  <c r="F30" i="5"/>
  <c r="H30" i="5" s="1"/>
  <c r="F162" i="5"/>
  <c r="G162" i="5" s="1"/>
  <c r="F163" i="5"/>
  <c r="G163" i="5" s="1"/>
  <c r="F14" i="5"/>
  <c r="F36" i="5"/>
  <c r="H36" i="5" s="1"/>
  <c r="J36" i="5" s="1"/>
  <c r="F61" i="5"/>
  <c r="G61" i="5" s="1"/>
  <c r="F120" i="5"/>
  <c r="H120" i="5" s="1"/>
  <c r="F13" i="5"/>
  <c r="G13" i="5" s="1"/>
  <c r="F45" i="5"/>
  <c r="G45" i="5" s="1"/>
  <c r="F58" i="5"/>
  <c r="G58" i="5" s="1"/>
  <c r="F166" i="5"/>
  <c r="H166" i="5" s="1"/>
  <c r="F95" i="5"/>
  <c r="G95" i="5" s="1"/>
  <c r="F122" i="5"/>
  <c r="H122" i="5" s="1"/>
  <c r="F117" i="5"/>
  <c r="G117" i="5" s="1"/>
  <c r="F168" i="5"/>
  <c r="H168" i="5" s="1"/>
  <c r="F49" i="5"/>
  <c r="F37" i="5"/>
  <c r="H37" i="5" s="1"/>
  <c r="F87" i="5"/>
  <c r="G87" i="5" s="1"/>
  <c r="F18" i="5"/>
  <c r="G18" i="5" s="1"/>
  <c r="F42" i="5"/>
  <c r="H42" i="5" s="1"/>
  <c r="F65" i="5"/>
  <c r="G65" i="5" s="1"/>
  <c r="F60" i="5"/>
  <c r="G60" i="5" s="1"/>
  <c r="F21" i="5"/>
  <c r="G21" i="5" s="1"/>
  <c r="F59" i="5"/>
  <c r="G59" i="5" s="1"/>
  <c r="F82" i="5"/>
  <c r="G82" i="5" s="1"/>
  <c r="F71" i="5"/>
  <c r="G71" i="5" s="1"/>
  <c r="F103" i="5"/>
  <c r="H103" i="5" s="1"/>
  <c r="F135" i="5"/>
  <c r="G135" i="5" s="1"/>
  <c r="F125" i="5"/>
  <c r="G125" i="5" s="1"/>
  <c r="F132" i="5"/>
  <c r="H132" i="5" s="1"/>
  <c r="F181" i="5"/>
  <c r="G181" i="5" s="1"/>
  <c r="F28" i="5"/>
  <c r="H28" i="5" s="1"/>
  <c r="F134" i="5"/>
  <c r="H134" i="5" s="1"/>
  <c r="F118" i="5"/>
  <c r="H118" i="5" s="1"/>
  <c r="F169" i="5"/>
  <c r="H169" i="5" s="1"/>
  <c r="F153" i="5"/>
  <c r="H153" i="5" s="1"/>
  <c r="F24" i="5"/>
  <c r="H24" i="5" s="1"/>
  <c r="F48" i="5"/>
  <c r="H48" i="5" s="1"/>
  <c r="F88" i="5"/>
  <c r="H88" i="5" s="1"/>
  <c r="F86" i="5"/>
  <c r="H86" i="5" s="1"/>
  <c r="F29" i="5"/>
  <c r="H29" i="5" s="1"/>
  <c r="F84" i="5"/>
  <c r="H84" i="5" s="1"/>
  <c r="F141" i="5"/>
  <c r="H141" i="5" s="1"/>
  <c r="F79" i="5"/>
  <c r="G79" i="5" s="1"/>
  <c r="F115" i="5"/>
  <c r="G115" i="5" s="1"/>
  <c r="F151" i="5"/>
  <c r="H151" i="5" s="1"/>
  <c r="F137" i="5"/>
  <c r="G137" i="5" s="1"/>
  <c r="F148" i="5"/>
  <c r="G148" i="5" s="1"/>
  <c r="G187" i="5"/>
  <c r="G30" i="5"/>
  <c r="G151" i="5"/>
  <c r="G49" i="5"/>
  <c r="H49" i="5"/>
  <c r="H96" i="5"/>
  <c r="G96" i="5"/>
  <c r="I6" i="5"/>
  <c r="F64" i="5"/>
  <c r="F94" i="5"/>
  <c r="F16" i="5"/>
  <c r="F15" i="5"/>
  <c r="F23" i="5"/>
  <c r="F31" i="5"/>
  <c r="F39" i="5"/>
  <c r="F47" i="5"/>
  <c r="F63" i="5"/>
  <c r="F92" i="5"/>
  <c r="F38" i="5"/>
  <c r="F62" i="5"/>
  <c r="F90" i="5"/>
  <c r="F108" i="5"/>
  <c r="F126" i="5"/>
  <c r="F180" i="5"/>
  <c r="F73" i="5"/>
  <c r="F81" i="5"/>
  <c r="F89" i="5"/>
  <c r="F97" i="5"/>
  <c r="F105" i="5"/>
  <c r="F124" i="5"/>
  <c r="F106" i="5"/>
  <c r="F130" i="5"/>
  <c r="F136" i="5"/>
  <c r="F152" i="5"/>
  <c r="F173" i="5"/>
  <c r="F119" i="5"/>
  <c r="F127" i="5"/>
  <c r="F138" i="5"/>
  <c r="F154" i="5"/>
  <c r="F172" i="5"/>
  <c r="F139" i="5"/>
  <c r="F155" i="5"/>
  <c r="F167" i="5"/>
  <c r="F175" i="5"/>
  <c r="F183" i="5"/>
  <c r="G24" i="5"/>
  <c r="H61" i="5"/>
  <c r="G118" i="5"/>
  <c r="H148" i="5"/>
  <c r="F20" i="5"/>
  <c r="F32" i="5"/>
  <c r="F44" i="5"/>
  <c r="F53" i="5"/>
  <c r="F72" i="5"/>
  <c r="F104" i="5"/>
  <c r="F52" i="5"/>
  <c r="F70" i="5"/>
  <c r="F102" i="5"/>
  <c r="F26" i="5"/>
  <c r="F17" i="5"/>
  <c r="F25" i="5"/>
  <c r="F33" i="5"/>
  <c r="F41" i="5"/>
  <c r="F51" i="5"/>
  <c r="F68" i="5"/>
  <c r="F100" i="5"/>
  <c r="F50" i="5"/>
  <c r="F66" i="5"/>
  <c r="F98" i="5"/>
  <c r="F112" i="5"/>
  <c r="F142" i="5"/>
  <c r="F67" i="5"/>
  <c r="F75" i="5"/>
  <c r="F83" i="5"/>
  <c r="F91" i="5"/>
  <c r="F99" i="5"/>
  <c r="F107" i="5"/>
  <c r="F150" i="5"/>
  <c r="F110" i="5"/>
  <c r="F133" i="5"/>
  <c r="F143" i="5"/>
  <c r="F161" i="5"/>
  <c r="F178" i="5"/>
  <c r="F121" i="5"/>
  <c r="F129" i="5"/>
  <c r="F145" i="5"/>
  <c r="F160" i="5"/>
  <c r="F176" i="5"/>
  <c r="F140" i="5"/>
  <c r="F156" i="5"/>
  <c r="F171" i="5"/>
  <c r="F177" i="5"/>
  <c r="F185" i="5"/>
  <c r="H14" i="5"/>
  <c r="G14" i="5"/>
  <c r="G48" i="5"/>
  <c r="H13" i="5"/>
  <c r="G37" i="5"/>
  <c r="H117" i="5"/>
  <c r="G132" i="5"/>
  <c r="H182" i="5"/>
  <c r="G182" i="5"/>
  <c r="F22" i="5"/>
  <c r="F34" i="5"/>
  <c r="F46" i="5"/>
  <c r="F57" i="5"/>
  <c r="F80" i="5"/>
  <c r="F113" i="5"/>
  <c r="F56" i="5"/>
  <c r="F78" i="5"/>
  <c r="F109" i="5"/>
  <c r="F40" i="5"/>
  <c r="F19" i="5"/>
  <c r="F27" i="5"/>
  <c r="F35" i="5"/>
  <c r="F43" i="5"/>
  <c r="F55" i="5"/>
  <c r="F76" i="5"/>
  <c r="F170" i="5"/>
  <c r="F54" i="5"/>
  <c r="F74" i="5"/>
  <c r="F128" i="5"/>
  <c r="F116" i="5"/>
  <c r="F149" i="5"/>
  <c r="F69" i="5"/>
  <c r="F77" i="5"/>
  <c r="F85" i="5"/>
  <c r="F93" i="5"/>
  <c r="F101" i="5"/>
  <c r="F111" i="5"/>
  <c r="F157" i="5"/>
  <c r="F114" i="5"/>
  <c r="F158" i="5"/>
  <c r="F144" i="5"/>
  <c r="F165" i="5"/>
  <c r="F186" i="5"/>
  <c r="F123" i="5"/>
  <c r="F131" i="5"/>
  <c r="F146" i="5"/>
  <c r="F164" i="5"/>
  <c r="F184" i="5"/>
  <c r="F147" i="5"/>
  <c r="F159" i="5"/>
  <c r="F174" i="5"/>
  <c r="F179" i="5"/>
  <c r="F16" i="4"/>
  <c r="F17" i="4"/>
  <c r="F18" i="4"/>
  <c r="F13" i="4"/>
  <c r="M13" i="4" s="1"/>
  <c r="F14" i="4"/>
  <c r="F15" i="4"/>
  <c r="F139" i="4"/>
  <c r="F135" i="4"/>
  <c r="F131" i="4"/>
  <c r="F127" i="4"/>
  <c r="F123" i="4"/>
  <c r="F119" i="4"/>
  <c r="F115" i="4"/>
  <c r="F111" i="4"/>
  <c r="F107" i="4"/>
  <c r="F188" i="4"/>
  <c r="F186" i="4"/>
  <c r="F184" i="4"/>
  <c r="F182" i="4"/>
  <c r="F180" i="4"/>
  <c r="F178" i="4"/>
  <c r="F176" i="4"/>
  <c r="F174" i="4"/>
  <c r="F172" i="4"/>
  <c r="F170" i="4"/>
  <c r="F168" i="4"/>
  <c r="F166" i="4"/>
  <c r="F164" i="4"/>
  <c r="F162" i="4"/>
  <c r="F160" i="4"/>
  <c r="F158" i="4"/>
  <c r="F156" i="4"/>
  <c r="F154" i="4"/>
  <c r="F152" i="4"/>
  <c r="F150" i="4"/>
  <c r="F148" i="4"/>
  <c r="F146" i="4"/>
  <c r="F144" i="4"/>
  <c r="F142" i="4"/>
  <c r="F140" i="4"/>
  <c r="F136" i="4"/>
  <c r="F132" i="4"/>
  <c r="F128" i="4"/>
  <c r="F124" i="4"/>
  <c r="F120" i="4"/>
  <c r="F116" i="4"/>
  <c r="F112" i="4"/>
  <c r="F108" i="4"/>
  <c r="F104" i="4"/>
  <c r="F103" i="4"/>
  <c r="F102" i="4"/>
  <c r="F101" i="4"/>
  <c r="F100" i="4"/>
  <c r="F99" i="4"/>
  <c r="F98" i="4"/>
  <c r="F97" i="4"/>
  <c r="F96" i="4"/>
  <c r="F95" i="4"/>
  <c r="F94" i="4"/>
  <c r="F137" i="4"/>
  <c r="F133" i="4"/>
  <c r="F129" i="4"/>
  <c r="F125" i="4"/>
  <c r="F121" i="4"/>
  <c r="F117" i="4"/>
  <c r="F113" i="4"/>
  <c r="F109" i="4"/>
  <c r="F105" i="4"/>
  <c r="F187" i="4"/>
  <c r="F179" i="4"/>
  <c r="F171" i="4"/>
  <c r="F163" i="4"/>
  <c r="F155" i="4"/>
  <c r="F147" i="4"/>
  <c r="F134" i="4"/>
  <c r="F118" i="4"/>
  <c r="F92" i="4"/>
  <c r="F90" i="4"/>
  <c r="F88" i="4"/>
  <c r="F86" i="4"/>
  <c r="F84" i="4"/>
  <c r="F82" i="4"/>
  <c r="F80" i="4"/>
  <c r="F78" i="4"/>
  <c r="F76" i="4"/>
  <c r="F74" i="4"/>
  <c r="F72" i="4"/>
  <c r="F70" i="4"/>
  <c r="F185" i="4"/>
  <c r="F177" i="4"/>
  <c r="F169" i="4"/>
  <c r="F161" i="4"/>
  <c r="F153" i="4"/>
  <c r="F145" i="4"/>
  <c r="F138" i="4"/>
  <c r="F122" i="4"/>
  <c r="F106" i="4"/>
  <c r="I6" i="4"/>
  <c r="F181" i="4"/>
  <c r="F173" i="4"/>
  <c r="F165" i="4"/>
  <c r="F157" i="4"/>
  <c r="F149" i="4"/>
  <c r="F183" i="4"/>
  <c r="F175" i="4"/>
  <c r="F167" i="4"/>
  <c r="F159" i="4"/>
  <c r="F151" i="4"/>
  <c r="F143" i="4"/>
  <c r="F126" i="4"/>
  <c r="F110" i="4"/>
  <c r="F93" i="4"/>
  <c r="F91" i="4"/>
  <c r="F89" i="4"/>
  <c r="F87" i="4"/>
  <c r="F85" i="4"/>
  <c r="F83" i="4"/>
  <c r="F81" i="4"/>
  <c r="F79" i="4"/>
  <c r="F77" i="4"/>
  <c r="F75" i="4"/>
  <c r="F73" i="4"/>
  <c r="F71" i="4"/>
  <c r="F141" i="4"/>
  <c r="F67" i="4"/>
  <c r="F63" i="4"/>
  <c r="F59" i="4"/>
  <c r="F55" i="4"/>
  <c r="F51" i="4"/>
  <c r="F47" i="4"/>
  <c r="F43" i="4"/>
  <c r="F39" i="4"/>
  <c r="F35" i="4"/>
  <c r="F31" i="4"/>
  <c r="F26" i="4"/>
  <c r="F22" i="4"/>
  <c r="F46" i="4"/>
  <c r="F38" i="4"/>
  <c r="F34" i="4"/>
  <c r="F25" i="4"/>
  <c r="F21" i="4"/>
  <c r="F114" i="4"/>
  <c r="F66" i="4"/>
  <c r="F62" i="4"/>
  <c r="F58" i="4"/>
  <c r="F54" i="4"/>
  <c r="F50" i="4"/>
  <c r="F42" i="4"/>
  <c r="F30" i="4"/>
  <c r="F68" i="4"/>
  <c r="F60" i="4"/>
  <c r="F56" i="4"/>
  <c r="F48" i="4"/>
  <c r="F40" i="4"/>
  <c r="F32" i="4"/>
  <c r="F23" i="4"/>
  <c r="F130" i="4"/>
  <c r="F69" i="4"/>
  <c r="F65" i="4"/>
  <c r="F61" i="4"/>
  <c r="F57" i="4"/>
  <c r="F53" i="4"/>
  <c r="F49" i="4"/>
  <c r="F45" i="4"/>
  <c r="F41" i="4"/>
  <c r="F37" i="4"/>
  <c r="F33" i="4"/>
  <c r="F29" i="4"/>
  <c r="F24" i="4"/>
  <c r="F20" i="4"/>
  <c r="L20" i="4" s="1"/>
  <c r="F64" i="4"/>
  <c r="F52" i="4"/>
  <c r="F44" i="4"/>
  <c r="F36" i="4"/>
  <c r="F27" i="4"/>
  <c r="F19" i="4"/>
  <c r="L19" i="4" s="1"/>
  <c r="F28" i="3"/>
  <c r="F33" i="3"/>
  <c r="F36" i="3"/>
  <c r="F41" i="3"/>
  <c r="F44" i="3"/>
  <c r="F49" i="3"/>
  <c r="F52" i="3"/>
  <c r="F57" i="3"/>
  <c r="F60" i="3"/>
  <c r="F65" i="3"/>
  <c r="F68" i="3"/>
  <c r="F73" i="3"/>
  <c r="F76" i="3"/>
  <c r="F81" i="3"/>
  <c r="F88" i="3"/>
  <c r="F91" i="3"/>
  <c r="F94" i="3"/>
  <c r="F97" i="3"/>
  <c r="F104" i="3"/>
  <c r="F107" i="3"/>
  <c r="F110" i="3"/>
  <c r="F113" i="3"/>
  <c r="F116" i="3"/>
  <c r="F121" i="3"/>
  <c r="F124" i="3"/>
  <c r="F129" i="3"/>
  <c r="F132" i="3"/>
  <c r="F137" i="3"/>
  <c r="F140" i="3"/>
  <c r="F145" i="3"/>
  <c r="F148" i="3"/>
  <c r="F153" i="3"/>
  <c r="F156" i="3"/>
  <c r="F158" i="3"/>
  <c r="F160" i="3"/>
  <c r="F162" i="3"/>
  <c r="F164" i="3"/>
  <c r="F166" i="3"/>
  <c r="F168" i="3"/>
  <c r="F170" i="3"/>
  <c r="F172" i="3"/>
  <c r="F174" i="3"/>
  <c r="F176" i="3"/>
  <c r="F178" i="3"/>
  <c r="F180" i="3"/>
  <c r="F29" i="3"/>
  <c r="F56" i="3"/>
  <c r="F64" i="3"/>
  <c r="F69" i="3"/>
  <c r="F80" i="3"/>
  <c r="F86" i="3"/>
  <c r="F99" i="3"/>
  <c r="F105" i="3"/>
  <c r="F120" i="3"/>
  <c r="F125" i="3"/>
  <c r="F133" i="3"/>
  <c r="F144" i="3"/>
  <c r="F149" i="3"/>
  <c r="F157" i="3"/>
  <c r="F161" i="3"/>
  <c r="F165" i="3"/>
  <c r="F31" i="3"/>
  <c r="F34" i="3"/>
  <c r="F39" i="3"/>
  <c r="F42" i="3"/>
  <c r="F47" i="3"/>
  <c r="F50" i="3"/>
  <c r="F55" i="3"/>
  <c r="F58" i="3"/>
  <c r="F63" i="3"/>
  <c r="F66" i="3"/>
  <c r="F71" i="3"/>
  <c r="F74" i="3"/>
  <c r="F79" i="3"/>
  <c r="F82" i="3"/>
  <c r="F85" i="3"/>
  <c r="F92" i="3"/>
  <c r="F95" i="3"/>
  <c r="F98" i="3"/>
  <c r="F101" i="3"/>
  <c r="F108" i="3"/>
  <c r="F111" i="3"/>
  <c r="F114" i="3"/>
  <c r="F119" i="3"/>
  <c r="F122" i="3"/>
  <c r="F127" i="3"/>
  <c r="F130" i="3"/>
  <c r="F135" i="3"/>
  <c r="F138" i="3"/>
  <c r="F143" i="3"/>
  <c r="F146" i="3"/>
  <c r="F151" i="3"/>
  <c r="F154" i="3"/>
  <c r="F32" i="3"/>
  <c r="F37" i="3"/>
  <c r="F40" i="3"/>
  <c r="F45" i="3"/>
  <c r="F48" i="3"/>
  <c r="F53" i="3"/>
  <c r="F61" i="3"/>
  <c r="F72" i="3"/>
  <c r="F77" i="3"/>
  <c r="F83" i="3"/>
  <c r="F89" i="3"/>
  <c r="F96" i="3"/>
  <c r="F102" i="3"/>
  <c r="F112" i="3"/>
  <c r="F117" i="3"/>
  <c r="F128" i="3"/>
  <c r="F136" i="3"/>
  <c r="F141" i="3"/>
  <c r="F152" i="3"/>
  <c r="F159" i="3"/>
  <c r="F163" i="3"/>
  <c r="F43" i="3"/>
  <c r="F54" i="3"/>
  <c r="F75" i="3"/>
  <c r="F87" i="3"/>
  <c r="F100" i="3"/>
  <c r="F123" i="3"/>
  <c r="F134" i="3"/>
  <c r="F155" i="3"/>
  <c r="F169" i="3"/>
  <c r="F173" i="3"/>
  <c r="F177" i="3"/>
  <c r="F181" i="3"/>
  <c r="F59" i="3"/>
  <c r="F106" i="3"/>
  <c r="F139" i="3"/>
  <c r="F171" i="3"/>
  <c r="F175" i="3"/>
  <c r="F30" i="3"/>
  <c r="F51" i="3"/>
  <c r="F131" i="3"/>
  <c r="F35" i="3"/>
  <c r="F46" i="3"/>
  <c r="F67" i="3"/>
  <c r="F78" i="3"/>
  <c r="F90" i="3"/>
  <c r="F103" i="3"/>
  <c r="F115" i="3"/>
  <c r="F126" i="3"/>
  <c r="F147" i="3"/>
  <c r="F38" i="3"/>
  <c r="F70" i="3"/>
  <c r="F93" i="3"/>
  <c r="F118" i="3"/>
  <c r="F150" i="3"/>
  <c r="F167" i="3"/>
  <c r="F179" i="3"/>
  <c r="F62" i="3"/>
  <c r="F84" i="3"/>
  <c r="F109" i="3"/>
  <c r="F142" i="3"/>
  <c r="F22" i="3"/>
  <c r="F26" i="3"/>
  <c r="F23" i="3"/>
  <c r="F27" i="3"/>
  <c r="F24" i="3"/>
  <c r="F25" i="3"/>
  <c r="F20" i="3"/>
  <c r="F16" i="3"/>
  <c r="F19" i="3"/>
  <c r="F15" i="3"/>
  <c r="F18" i="3"/>
  <c r="F14" i="3"/>
  <c r="I6" i="3"/>
  <c r="F21" i="3"/>
  <c r="F17" i="3"/>
  <c r="F13" i="3"/>
  <c r="N9" i="1"/>
  <c r="S3" i="1"/>
  <c r="N6" i="1" s="1"/>
  <c r="P6" i="1"/>
  <c r="Q6" i="1"/>
  <c r="R6" i="1"/>
  <c r="M9" i="1"/>
  <c r="C50" i="1"/>
  <c r="C49" i="1"/>
  <c r="C45" i="1"/>
  <c r="C46" i="1"/>
  <c r="C47" i="1"/>
  <c r="C48" i="1"/>
  <c r="C44" i="1"/>
  <c r="H6" i="2"/>
  <c r="G6" i="2"/>
  <c r="F6" i="2"/>
  <c r="I3" i="2"/>
  <c r="D6" i="2" s="1"/>
  <c r="I3" i="1"/>
  <c r="C6" i="1" s="1"/>
  <c r="H6" i="1"/>
  <c r="G6" i="1"/>
  <c r="F6" i="1"/>
  <c r="Q4" i="2"/>
  <c r="H115" i="5" l="1"/>
  <c r="H58" i="5"/>
  <c r="H95" i="5"/>
  <c r="H82" i="5"/>
  <c r="G29" i="5"/>
  <c r="H79" i="5"/>
  <c r="J79" i="5" s="1"/>
  <c r="K79" i="5" s="1"/>
  <c r="H59" i="5"/>
  <c r="G153" i="5"/>
  <c r="G86" i="5"/>
  <c r="G134" i="5"/>
  <c r="G36" i="5"/>
  <c r="H135" i="5"/>
  <c r="I135" i="5" s="1"/>
  <c r="G28" i="5"/>
  <c r="G122" i="5"/>
  <c r="H65" i="5"/>
  <c r="G42" i="5"/>
  <c r="H125" i="5"/>
  <c r="J125" i="5" s="1"/>
  <c r="H45" i="5"/>
  <c r="G141" i="5"/>
  <c r="J84" i="5"/>
  <c r="K84" i="5" s="1"/>
  <c r="J118" i="5"/>
  <c r="K118" i="5" s="1"/>
  <c r="J48" i="5"/>
  <c r="K48" i="5" s="1"/>
  <c r="J132" i="5"/>
  <c r="K132" i="5" s="1"/>
  <c r="J86" i="5"/>
  <c r="K86" i="5" s="1"/>
  <c r="J58" i="5"/>
  <c r="K58" i="5" s="1"/>
  <c r="J37" i="5"/>
  <c r="K37" i="5" s="1"/>
  <c r="J42" i="5"/>
  <c r="K42" i="5" s="1"/>
  <c r="H162" i="5"/>
  <c r="I162" i="5" s="1"/>
  <c r="H71" i="5"/>
  <c r="I71" i="5" s="1"/>
  <c r="J30" i="5"/>
  <c r="K30" i="5" s="1"/>
  <c r="K187" i="5"/>
  <c r="J153" i="5"/>
  <c r="K153" i="5" s="1"/>
  <c r="H87" i="5"/>
  <c r="G84" i="5"/>
  <c r="J29" i="5"/>
  <c r="K29" i="5" s="1"/>
  <c r="H60" i="5"/>
  <c r="J59" i="5"/>
  <c r="K59" i="5"/>
  <c r="J182" i="5"/>
  <c r="K182" i="5" s="1"/>
  <c r="J148" i="5"/>
  <c r="K148" i="5" s="1"/>
  <c r="J96" i="5"/>
  <c r="K96" i="5" s="1"/>
  <c r="J95" i="5"/>
  <c r="K95" i="5" s="1"/>
  <c r="K36" i="5"/>
  <c r="G168" i="5"/>
  <c r="G166" i="5"/>
  <c r="G103" i="5"/>
  <c r="H18" i="5"/>
  <c r="G169" i="5"/>
  <c r="G120" i="5"/>
  <c r="H181" i="5"/>
  <c r="I181" i="5" s="1"/>
  <c r="H137" i="5"/>
  <c r="H163" i="5"/>
  <c r="H21" i="5"/>
  <c r="G88" i="5"/>
  <c r="J88" i="5"/>
  <c r="K88" i="5" s="1"/>
  <c r="J168" i="5"/>
  <c r="K168" i="5" s="1"/>
  <c r="J141" i="5"/>
  <c r="K141" i="5" s="1"/>
  <c r="G159" i="5"/>
  <c r="H159" i="5"/>
  <c r="G157" i="5"/>
  <c r="H157" i="5"/>
  <c r="J157" i="5" s="1"/>
  <c r="G170" i="5"/>
  <c r="H170" i="5"/>
  <c r="H22" i="5"/>
  <c r="G22" i="5"/>
  <c r="H156" i="5"/>
  <c r="G156" i="5"/>
  <c r="H150" i="5"/>
  <c r="G150" i="5"/>
  <c r="H100" i="5"/>
  <c r="G100" i="5"/>
  <c r="H72" i="5"/>
  <c r="G72" i="5"/>
  <c r="I82" i="5"/>
  <c r="I24" i="5"/>
  <c r="H152" i="5"/>
  <c r="J152" i="5" s="1"/>
  <c r="G152" i="5"/>
  <c r="G108" i="5"/>
  <c r="H108" i="5"/>
  <c r="J108" i="5" s="1"/>
  <c r="H94" i="5"/>
  <c r="G94" i="5"/>
  <c r="I168" i="5"/>
  <c r="I151" i="5"/>
  <c r="I141" i="5"/>
  <c r="I45" i="5"/>
  <c r="G147" i="5"/>
  <c r="H147" i="5"/>
  <c r="G131" i="5"/>
  <c r="H131" i="5"/>
  <c r="H144" i="5"/>
  <c r="J144" i="5" s="1"/>
  <c r="G144" i="5"/>
  <c r="G111" i="5"/>
  <c r="H111" i="5"/>
  <c r="J111" i="5" s="1"/>
  <c r="G77" i="5"/>
  <c r="H77" i="5"/>
  <c r="H128" i="5"/>
  <c r="G128" i="5"/>
  <c r="H76" i="5"/>
  <c r="G76" i="5"/>
  <c r="G27" i="5"/>
  <c r="H27" i="5"/>
  <c r="H78" i="5"/>
  <c r="J78" i="5" s="1"/>
  <c r="G78" i="5"/>
  <c r="G57" i="5"/>
  <c r="H57" i="5"/>
  <c r="J57" i="5" s="1"/>
  <c r="I117" i="5"/>
  <c r="I115" i="5"/>
  <c r="I166" i="5"/>
  <c r="I13" i="5"/>
  <c r="G185" i="5"/>
  <c r="H185" i="5"/>
  <c r="H140" i="5"/>
  <c r="G140" i="5"/>
  <c r="G129" i="5"/>
  <c r="H129" i="5"/>
  <c r="G143" i="5"/>
  <c r="H143" i="5"/>
  <c r="G107" i="5"/>
  <c r="H107" i="5"/>
  <c r="G75" i="5"/>
  <c r="H75" i="5"/>
  <c r="J75" i="5" s="1"/>
  <c r="H98" i="5"/>
  <c r="J98" i="5" s="1"/>
  <c r="G98" i="5"/>
  <c r="H68" i="5"/>
  <c r="G68" i="5"/>
  <c r="G25" i="5"/>
  <c r="H25" i="5"/>
  <c r="H70" i="5"/>
  <c r="G70" i="5"/>
  <c r="G53" i="5"/>
  <c r="H53" i="5"/>
  <c r="I169" i="5"/>
  <c r="I103" i="5"/>
  <c r="I59" i="5"/>
  <c r="I61" i="5"/>
  <c r="G183" i="5"/>
  <c r="H183" i="5"/>
  <c r="G139" i="5"/>
  <c r="H139" i="5"/>
  <c r="G127" i="5"/>
  <c r="H127" i="5"/>
  <c r="H136" i="5"/>
  <c r="G136" i="5"/>
  <c r="G105" i="5"/>
  <c r="H105" i="5"/>
  <c r="J105" i="5" s="1"/>
  <c r="G73" i="5"/>
  <c r="H73" i="5"/>
  <c r="H90" i="5"/>
  <c r="G90" i="5"/>
  <c r="G63" i="5"/>
  <c r="H63" i="5"/>
  <c r="G23" i="5"/>
  <c r="H23" i="5"/>
  <c r="J23" i="5" s="1"/>
  <c r="G64" i="5"/>
  <c r="H64" i="5"/>
  <c r="I65" i="5"/>
  <c r="J13" i="5"/>
  <c r="K13" i="5" s="1"/>
  <c r="J45" i="5"/>
  <c r="K45" i="5" s="1"/>
  <c r="J115" i="5"/>
  <c r="K115" i="5" s="1"/>
  <c r="J103" i="5"/>
  <c r="K103" i="5" s="1"/>
  <c r="J117" i="5"/>
  <c r="K117" i="5" s="1"/>
  <c r="I86" i="5"/>
  <c r="I36" i="5"/>
  <c r="G165" i="5"/>
  <c r="H165" i="5"/>
  <c r="G116" i="5"/>
  <c r="H116" i="5"/>
  <c r="G109" i="5"/>
  <c r="H109" i="5"/>
  <c r="I182" i="5"/>
  <c r="I120" i="5"/>
  <c r="I14" i="5"/>
  <c r="G161" i="5"/>
  <c r="H161" i="5"/>
  <c r="G112" i="5"/>
  <c r="H112" i="5"/>
  <c r="J112" i="5" s="1"/>
  <c r="H102" i="5"/>
  <c r="J102" i="5" s="1"/>
  <c r="G102" i="5"/>
  <c r="G155" i="5"/>
  <c r="H155" i="5"/>
  <c r="G81" i="5"/>
  <c r="H81" i="5"/>
  <c r="G31" i="5"/>
  <c r="H31" i="5"/>
  <c r="J31" i="5" s="1"/>
  <c r="H184" i="5"/>
  <c r="G184" i="5"/>
  <c r="G123" i="5"/>
  <c r="H123" i="5"/>
  <c r="G158" i="5"/>
  <c r="H158" i="5"/>
  <c r="G101" i="5"/>
  <c r="H101" i="5"/>
  <c r="G69" i="5"/>
  <c r="H69" i="5"/>
  <c r="H74" i="5"/>
  <c r="G74" i="5"/>
  <c r="G55" i="5"/>
  <c r="H55" i="5"/>
  <c r="G19" i="5"/>
  <c r="H19" i="5"/>
  <c r="G56" i="5"/>
  <c r="H56" i="5"/>
  <c r="H46" i="5"/>
  <c r="G46" i="5"/>
  <c r="I132" i="5"/>
  <c r="I84" i="5"/>
  <c r="I48" i="5"/>
  <c r="G177" i="5"/>
  <c r="H177" i="5"/>
  <c r="H176" i="5"/>
  <c r="G176" i="5"/>
  <c r="G121" i="5"/>
  <c r="H121" i="5"/>
  <c r="G133" i="5"/>
  <c r="H133" i="5"/>
  <c r="J133" i="5" s="1"/>
  <c r="G99" i="5"/>
  <c r="H99" i="5"/>
  <c r="G67" i="5"/>
  <c r="H67" i="5"/>
  <c r="J67" i="5" s="1"/>
  <c r="H66" i="5"/>
  <c r="J66" i="5" s="1"/>
  <c r="G66" i="5"/>
  <c r="G51" i="5"/>
  <c r="H51" i="5"/>
  <c r="G17" i="5"/>
  <c r="H17" i="5"/>
  <c r="G52" i="5"/>
  <c r="H52" i="5"/>
  <c r="H44" i="5"/>
  <c r="G44" i="5"/>
  <c r="I28" i="5"/>
  <c r="I148" i="5"/>
  <c r="I118" i="5"/>
  <c r="I134" i="5"/>
  <c r="G175" i="5"/>
  <c r="H175" i="5"/>
  <c r="G172" i="5"/>
  <c r="H172" i="5"/>
  <c r="G119" i="5"/>
  <c r="H119" i="5"/>
  <c r="H130" i="5"/>
  <c r="G130" i="5"/>
  <c r="G97" i="5"/>
  <c r="H97" i="5"/>
  <c r="H180" i="5"/>
  <c r="G180" i="5"/>
  <c r="G62" i="5"/>
  <c r="H62" i="5"/>
  <c r="G47" i="5"/>
  <c r="H47" i="5"/>
  <c r="G15" i="5"/>
  <c r="H15" i="5"/>
  <c r="I42" i="5"/>
  <c r="J72" i="5"/>
  <c r="J28" i="5"/>
  <c r="K28" i="5" s="1"/>
  <c r="J61" i="5"/>
  <c r="K61" i="5" s="1"/>
  <c r="J151" i="5"/>
  <c r="K151" i="5" s="1"/>
  <c r="J127" i="5"/>
  <c r="J155" i="5"/>
  <c r="J166" i="5"/>
  <c r="K166" i="5" s="1"/>
  <c r="I163" i="5"/>
  <c r="I125" i="5"/>
  <c r="I21" i="5"/>
  <c r="I187" i="5"/>
  <c r="G146" i="5"/>
  <c r="H146" i="5"/>
  <c r="G85" i="5"/>
  <c r="H85" i="5"/>
  <c r="G35" i="5"/>
  <c r="H35" i="5"/>
  <c r="H80" i="5"/>
  <c r="G80" i="5"/>
  <c r="G145" i="5"/>
  <c r="H145" i="5"/>
  <c r="G83" i="5"/>
  <c r="H83" i="5"/>
  <c r="G33" i="5"/>
  <c r="H33" i="5"/>
  <c r="H20" i="5"/>
  <c r="G20" i="5"/>
  <c r="I122" i="5"/>
  <c r="G138" i="5"/>
  <c r="H138" i="5"/>
  <c r="H124" i="5"/>
  <c r="G124" i="5"/>
  <c r="H92" i="5"/>
  <c r="G92" i="5"/>
  <c r="I96" i="5"/>
  <c r="J82" i="5"/>
  <c r="K82" i="5" s="1"/>
  <c r="I95" i="5"/>
  <c r="G179" i="5"/>
  <c r="H179" i="5"/>
  <c r="H174" i="5"/>
  <c r="G174" i="5"/>
  <c r="G164" i="5"/>
  <c r="H164" i="5"/>
  <c r="H186" i="5"/>
  <c r="G186" i="5"/>
  <c r="G114" i="5"/>
  <c r="H114" i="5"/>
  <c r="G93" i="5"/>
  <c r="H93" i="5"/>
  <c r="G149" i="5"/>
  <c r="H149" i="5"/>
  <c r="G54" i="5"/>
  <c r="H54" i="5"/>
  <c r="J54" i="5" s="1"/>
  <c r="G43" i="5"/>
  <c r="H43" i="5"/>
  <c r="H40" i="5"/>
  <c r="J40" i="5" s="1"/>
  <c r="G40" i="5"/>
  <c r="G113" i="5"/>
  <c r="H113" i="5"/>
  <c r="H34" i="5"/>
  <c r="G34" i="5"/>
  <c r="I153" i="5"/>
  <c r="I58" i="5"/>
  <c r="I37" i="5"/>
  <c r="G171" i="5"/>
  <c r="H171" i="5"/>
  <c r="G160" i="5"/>
  <c r="H160" i="5"/>
  <c r="H178" i="5"/>
  <c r="G178" i="5"/>
  <c r="G110" i="5"/>
  <c r="H110" i="5"/>
  <c r="G91" i="5"/>
  <c r="H91" i="5"/>
  <c r="J91" i="5" s="1"/>
  <c r="H142" i="5"/>
  <c r="G142" i="5"/>
  <c r="G50" i="5"/>
  <c r="H50" i="5"/>
  <c r="G41" i="5"/>
  <c r="H41" i="5"/>
  <c r="H26" i="5"/>
  <c r="G26" i="5"/>
  <c r="H104" i="5"/>
  <c r="G104" i="5"/>
  <c r="H32" i="5"/>
  <c r="G32" i="5"/>
  <c r="I79" i="5"/>
  <c r="I29" i="5"/>
  <c r="I60" i="5"/>
  <c r="G167" i="5"/>
  <c r="H167" i="5"/>
  <c r="G154" i="5"/>
  <c r="H154" i="5"/>
  <c r="J154" i="5" s="1"/>
  <c r="G173" i="5"/>
  <c r="H173" i="5"/>
  <c r="G106" i="5"/>
  <c r="H106" i="5"/>
  <c r="G89" i="5"/>
  <c r="H89" i="5"/>
  <c r="H126" i="5"/>
  <c r="G126" i="5"/>
  <c r="H38" i="5"/>
  <c r="J38" i="5" s="1"/>
  <c r="G38" i="5"/>
  <c r="G39" i="5"/>
  <c r="H39" i="5"/>
  <c r="H16" i="5"/>
  <c r="G16" i="5"/>
  <c r="I49" i="5"/>
  <c r="J122" i="5"/>
  <c r="K122" i="5" s="1"/>
  <c r="J49" i="5"/>
  <c r="K49" i="5" s="1"/>
  <c r="J65" i="5"/>
  <c r="K65" i="5" s="1"/>
  <c r="J94" i="5"/>
  <c r="J14" i="5"/>
  <c r="K14" i="5" s="1"/>
  <c r="J24" i="5"/>
  <c r="K24" i="5" s="1"/>
  <c r="J120" i="5"/>
  <c r="K120" i="5" s="1"/>
  <c r="J143" i="5"/>
  <c r="J171" i="5"/>
  <c r="J134" i="5"/>
  <c r="K134" i="5" s="1"/>
  <c r="J169" i="5"/>
  <c r="K169" i="5" s="1"/>
  <c r="J183" i="5"/>
  <c r="I30" i="5"/>
  <c r="I88" i="5"/>
  <c r="H117" i="4"/>
  <c r="G18" i="4"/>
  <c r="H18" i="4"/>
  <c r="G17" i="4"/>
  <c r="H17" i="4"/>
  <c r="G16" i="4"/>
  <c r="H16" i="4"/>
  <c r="G15" i="4"/>
  <c r="H15" i="4"/>
  <c r="G14" i="4"/>
  <c r="H14" i="4"/>
  <c r="G13" i="4"/>
  <c r="H13" i="4"/>
  <c r="H20" i="4"/>
  <c r="K20" i="4" s="1"/>
  <c r="G20" i="4"/>
  <c r="G69" i="4"/>
  <c r="H69" i="4"/>
  <c r="H54" i="4"/>
  <c r="G54" i="4"/>
  <c r="H31" i="4"/>
  <c r="G31" i="4"/>
  <c r="G73" i="4"/>
  <c r="H73" i="4"/>
  <c r="H126" i="4"/>
  <c r="G126" i="4"/>
  <c r="G157" i="4"/>
  <c r="H157" i="4"/>
  <c r="G177" i="4"/>
  <c r="H177" i="4"/>
  <c r="G90" i="4"/>
  <c r="H90" i="4"/>
  <c r="H113" i="4"/>
  <c r="G113" i="4"/>
  <c r="G99" i="4"/>
  <c r="H99" i="4"/>
  <c r="G132" i="4"/>
  <c r="H132" i="4"/>
  <c r="G160" i="4"/>
  <c r="H160" i="4"/>
  <c r="G184" i="4"/>
  <c r="H184" i="4"/>
  <c r="H127" i="4"/>
  <c r="G127" i="4"/>
  <c r="H44" i="4"/>
  <c r="G44" i="4"/>
  <c r="H24" i="4"/>
  <c r="G24" i="4"/>
  <c r="H41" i="4"/>
  <c r="G41" i="4"/>
  <c r="H57" i="4"/>
  <c r="G57" i="4"/>
  <c r="H130" i="4"/>
  <c r="G130" i="4"/>
  <c r="H48" i="4"/>
  <c r="G48" i="4"/>
  <c r="H30" i="4"/>
  <c r="G30" i="4"/>
  <c r="H58" i="4"/>
  <c r="G58" i="4"/>
  <c r="H21" i="4"/>
  <c r="G21" i="4"/>
  <c r="H46" i="4"/>
  <c r="G46" i="4"/>
  <c r="H35" i="4"/>
  <c r="G35" i="4"/>
  <c r="H51" i="4"/>
  <c r="G51" i="4"/>
  <c r="H67" i="4"/>
  <c r="G67" i="4"/>
  <c r="G75" i="4"/>
  <c r="H75" i="4"/>
  <c r="G83" i="4"/>
  <c r="H83" i="4"/>
  <c r="G91" i="4"/>
  <c r="H91" i="4"/>
  <c r="G143" i="4"/>
  <c r="H143" i="4"/>
  <c r="G175" i="4"/>
  <c r="H175" i="4"/>
  <c r="G165" i="4"/>
  <c r="H165" i="4"/>
  <c r="H106" i="4"/>
  <c r="G106" i="4"/>
  <c r="G153" i="4"/>
  <c r="H153" i="4"/>
  <c r="G185" i="4"/>
  <c r="H185" i="4"/>
  <c r="G76" i="4"/>
  <c r="H76" i="4"/>
  <c r="G84" i="4"/>
  <c r="H84" i="4"/>
  <c r="G92" i="4"/>
  <c r="H92" i="4"/>
  <c r="G155" i="4"/>
  <c r="H155" i="4"/>
  <c r="G187" i="4"/>
  <c r="H187" i="4"/>
  <c r="G117" i="4"/>
  <c r="H133" i="4"/>
  <c r="G133" i="4"/>
  <c r="G96" i="4"/>
  <c r="H96" i="4"/>
  <c r="G100" i="4"/>
  <c r="H100" i="4"/>
  <c r="G104" i="4"/>
  <c r="H104" i="4"/>
  <c r="G120" i="4"/>
  <c r="H120" i="4"/>
  <c r="G136" i="4"/>
  <c r="H136" i="4"/>
  <c r="G146" i="4"/>
  <c r="H146" i="4"/>
  <c r="G154" i="4"/>
  <c r="H154" i="4"/>
  <c r="G162" i="4"/>
  <c r="H162" i="4"/>
  <c r="G170" i="4"/>
  <c r="H170" i="4"/>
  <c r="G178" i="4"/>
  <c r="H178" i="4"/>
  <c r="G186" i="4"/>
  <c r="H186" i="4"/>
  <c r="H115" i="4"/>
  <c r="G115" i="4"/>
  <c r="H131" i="4"/>
  <c r="G131" i="4"/>
  <c r="H37" i="4"/>
  <c r="G37" i="4"/>
  <c r="H40" i="4"/>
  <c r="G40" i="4"/>
  <c r="H114" i="4"/>
  <c r="G114" i="4"/>
  <c r="H47" i="4"/>
  <c r="G47" i="4"/>
  <c r="G81" i="4"/>
  <c r="H81" i="4"/>
  <c r="G167" i="4"/>
  <c r="H167" i="4"/>
  <c r="G145" i="4"/>
  <c r="H145" i="4"/>
  <c r="G82" i="4"/>
  <c r="H82" i="4"/>
  <c r="G179" i="4"/>
  <c r="H179" i="4"/>
  <c r="G95" i="4"/>
  <c r="H95" i="4"/>
  <c r="G116" i="4"/>
  <c r="H116" i="4"/>
  <c r="G168" i="4"/>
  <c r="H168" i="4"/>
  <c r="H19" i="4"/>
  <c r="G19" i="4"/>
  <c r="H52" i="4"/>
  <c r="G52" i="4"/>
  <c r="H29" i="4"/>
  <c r="G29" i="4"/>
  <c r="H45" i="4"/>
  <c r="G45" i="4"/>
  <c r="H61" i="4"/>
  <c r="G61" i="4"/>
  <c r="H23" i="4"/>
  <c r="G23" i="4"/>
  <c r="H56" i="4"/>
  <c r="G56" i="4"/>
  <c r="H42" i="4"/>
  <c r="G42" i="4"/>
  <c r="H62" i="4"/>
  <c r="G62" i="4"/>
  <c r="H25" i="4"/>
  <c r="G25" i="4"/>
  <c r="H22" i="4"/>
  <c r="G22" i="4"/>
  <c r="H39" i="4"/>
  <c r="G39" i="4"/>
  <c r="H55" i="4"/>
  <c r="G55" i="4"/>
  <c r="G141" i="4"/>
  <c r="H141" i="4"/>
  <c r="G77" i="4"/>
  <c r="H77" i="4"/>
  <c r="G85" i="4"/>
  <c r="H85" i="4"/>
  <c r="G93" i="4"/>
  <c r="H93" i="4"/>
  <c r="G151" i="4"/>
  <c r="H151" i="4"/>
  <c r="G183" i="4"/>
  <c r="H183" i="4"/>
  <c r="G173" i="4"/>
  <c r="H173" i="4"/>
  <c r="H122" i="4"/>
  <c r="G122" i="4"/>
  <c r="G161" i="4"/>
  <c r="H161" i="4"/>
  <c r="G70" i="4"/>
  <c r="H70" i="4"/>
  <c r="G78" i="4"/>
  <c r="H78" i="4"/>
  <c r="G86" i="4"/>
  <c r="H86" i="4"/>
  <c r="H118" i="4"/>
  <c r="G118" i="4"/>
  <c r="G163" i="4"/>
  <c r="H163" i="4"/>
  <c r="H105" i="4"/>
  <c r="G105" i="4"/>
  <c r="H121" i="4"/>
  <c r="G121" i="4"/>
  <c r="H137" i="4"/>
  <c r="G137" i="4"/>
  <c r="G97" i="4"/>
  <c r="H97" i="4"/>
  <c r="G101" i="4"/>
  <c r="H101" i="4"/>
  <c r="G108" i="4"/>
  <c r="H108" i="4"/>
  <c r="G124" i="4"/>
  <c r="H124" i="4"/>
  <c r="G140" i="4"/>
  <c r="H140" i="4"/>
  <c r="G148" i="4"/>
  <c r="H148" i="4"/>
  <c r="G156" i="4"/>
  <c r="H156" i="4"/>
  <c r="G164" i="4"/>
  <c r="H164" i="4"/>
  <c r="G172" i="4"/>
  <c r="H172" i="4"/>
  <c r="G180" i="4"/>
  <c r="H180" i="4"/>
  <c r="G188" i="4"/>
  <c r="H188" i="4"/>
  <c r="H119" i="4"/>
  <c r="G119" i="4"/>
  <c r="H135" i="4"/>
  <c r="G135" i="4"/>
  <c r="H36" i="4"/>
  <c r="G36" i="4"/>
  <c r="H53" i="4"/>
  <c r="G53" i="4"/>
  <c r="H68" i="4"/>
  <c r="G68" i="4"/>
  <c r="H38" i="4"/>
  <c r="G38" i="4"/>
  <c r="H63" i="4"/>
  <c r="G63" i="4"/>
  <c r="G89" i="4"/>
  <c r="H89" i="4"/>
  <c r="G74" i="4"/>
  <c r="H74" i="4"/>
  <c r="G147" i="4"/>
  <c r="H147" i="4"/>
  <c r="H129" i="4"/>
  <c r="G129" i="4"/>
  <c r="G103" i="4"/>
  <c r="H103" i="4"/>
  <c r="G144" i="4"/>
  <c r="H144" i="4"/>
  <c r="G152" i="4"/>
  <c r="H152" i="4"/>
  <c r="G176" i="4"/>
  <c r="H176" i="4"/>
  <c r="H111" i="4"/>
  <c r="G111" i="4"/>
  <c r="H27" i="4"/>
  <c r="G27" i="4"/>
  <c r="H64" i="4"/>
  <c r="G64" i="4"/>
  <c r="H33" i="4"/>
  <c r="G33" i="4"/>
  <c r="H49" i="4"/>
  <c r="G49" i="4"/>
  <c r="H65" i="4"/>
  <c r="G65" i="4"/>
  <c r="H32" i="4"/>
  <c r="G32" i="4"/>
  <c r="H60" i="4"/>
  <c r="G60" i="4"/>
  <c r="H50" i="4"/>
  <c r="G50" i="4"/>
  <c r="H66" i="4"/>
  <c r="G66" i="4"/>
  <c r="H34" i="4"/>
  <c r="G34" i="4"/>
  <c r="H26" i="4"/>
  <c r="G26" i="4"/>
  <c r="H43" i="4"/>
  <c r="G43" i="4"/>
  <c r="H59" i="4"/>
  <c r="G59" i="4"/>
  <c r="G71" i="4"/>
  <c r="H71" i="4"/>
  <c r="G79" i="4"/>
  <c r="H79" i="4"/>
  <c r="G87" i="4"/>
  <c r="H87" i="4"/>
  <c r="H110" i="4"/>
  <c r="G110" i="4"/>
  <c r="G159" i="4"/>
  <c r="H159" i="4"/>
  <c r="G149" i="4"/>
  <c r="H149" i="4"/>
  <c r="G181" i="4"/>
  <c r="H181" i="4"/>
  <c r="H138" i="4"/>
  <c r="G138" i="4"/>
  <c r="G169" i="4"/>
  <c r="H169" i="4"/>
  <c r="G72" i="4"/>
  <c r="H72" i="4"/>
  <c r="G80" i="4"/>
  <c r="H80" i="4"/>
  <c r="G88" i="4"/>
  <c r="H88" i="4"/>
  <c r="H134" i="4"/>
  <c r="G134" i="4"/>
  <c r="G171" i="4"/>
  <c r="H171" i="4"/>
  <c r="H109" i="4"/>
  <c r="G109" i="4"/>
  <c r="H125" i="4"/>
  <c r="G125" i="4"/>
  <c r="G94" i="4"/>
  <c r="H94" i="4"/>
  <c r="G98" i="4"/>
  <c r="H98" i="4"/>
  <c r="G102" i="4"/>
  <c r="H102" i="4"/>
  <c r="G112" i="4"/>
  <c r="H112" i="4"/>
  <c r="G128" i="4"/>
  <c r="H128" i="4"/>
  <c r="G142" i="4"/>
  <c r="H142" i="4"/>
  <c r="G150" i="4"/>
  <c r="H150" i="4"/>
  <c r="G158" i="4"/>
  <c r="H158" i="4"/>
  <c r="G166" i="4"/>
  <c r="H166" i="4"/>
  <c r="G174" i="4"/>
  <c r="H174" i="4"/>
  <c r="G182" i="4"/>
  <c r="H182" i="4"/>
  <c r="H107" i="4"/>
  <c r="G107" i="4"/>
  <c r="H123" i="4"/>
  <c r="G123" i="4"/>
  <c r="H139" i="4"/>
  <c r="G139" i="4"/>
  <c r="G38" i="3"/>
  <c r="H38" i="3"/>
  <c r="I38" i="3" s="1"/>
  <c r="G30" i="3"/>
  <c r="H30" i="3"/>
  <c r="I30" i="3" s="1"/>
  <c r="G123" i="3"/>
  <c r="H123" i="3"/>
  <c r="I123" i="3" s="1"/>
  <c r="G117" i="3"/>
  <c r="H117" i="3"/>
  <c r="I117" i="3" s="1"/>
  <c r="G40" i="3"/>
  <c r="H40" i="3"/>
  <c r="I40" i="3" s="1"/>
  <c r="G119" i="3"/>
  <c r="H119" i="3"/>
  <c r="I119" i="3" s="1"/>
  <c r="G71" i="3"/>
  <c r="H71" i="3"/>
  <c r="I71" i="3" s="1"/>
  <c r="H161" i="3"/>
  <c r="I161" i="3" s="1"/>
  <c r="G161" i="3"/>
  <c r="G64" i="3"/>
  <c r="H64" i="3"/>
  <c r="I64" i="3" s="1"/>
  <c r="H162" i="3"/>
  <c r="I162" i="3" s="1"/>
  <c r="G162" i="3"/>
  <c r="G121" i="3"/>
  <c r="H121" i="3"/>
  <c r="I121" i="3" s="1"/>
  <c r="G91" i="3"/>
  <c r="H91" i="3"/>
  <c r="I91" i="3" s="1"/>
  <c r="G41" i="3"/>
  <c r="H41" i="3"/>
  <c r="I41" i="3" s="1"/>
  <c r="G62" i="3"/>
  <c r="H62" i="3"/>
  <c r="I62" i="3" s="1"/>
  <c r="G118" i="3"/>
  <c r="H118" i="3"/>
  <c r="I118" i="3" s="1"/>
  <c r="G147" i="3"/>
  <c r="H147" i="3"/>
  <c r="I147" i="3" s="1"/>
  <c r="G90" i="3"/>
  <c r="H90" i="3"/>
  <c r="I90" i="3" s="1"/>
  <c r="G35" i="3"/>
  <c r="H35" i="3"/>
  <c r="I35" i="3" s="1"/>
  <c r="H175" i="3"/>
  <c r="I175" i="3" s="1"/>
  <c r="G175" i="3"/>
  <c r="G59" i="3"/>
  <c r="H59" i="3"/>
  <c r="I59" i="3" s="1"/>
  <c r="H169" i="3"/>
  <c r="I169" i="3" s="1"/>
  <c r="G169" i="3"/>
  <c r="G100" i="3"/>
  <c r="H100" i="3"/>
  <c r="I100" i="3" s="1"/>
  <c r="G43" i="3"/>
  <c r="H43" i="3"/>
  <c r="I43" i="3" s="1"/>
  <c r="G141" i="3"/>
  <c r="H141" i="3"/>
  <c r="I141" i="3" s="1"/>
  <c r="G112" i="3"/>
  <c r="H112" i="3"/>
  <c r="I112" i="3" s="1"/>
  <c r="G83" i="3"/>
  <c r="H83" i="3"/>
  <c r="I83" i="3" s="1"/>
  <c r="H53" i="3"/>
  <c r="I53" i="3" s="1"/>
  <c r="G53" i="3"/>
  <c r="G37" i="3"/>
  <c r="H37" i="3"/>
  <c r="I37" i="3" s="1"/>
  <c r="G146" i="3"/>
  <c r="H146" i="3"/>
  <c r="I146" i="3" s="1"/>
  <c r="G130" i="3"/>
  <c r="H130" i="3"/>
  <c r="I130" i="3" s="1"/>
  <c r="G114" i="3"/>
  <c r="H114" i="3"/>
  <c r="I114" i="3" s="1"/>
  <c r="G98" i="3"/>
  <c r="H98" i="3"/>
  <c r="I98" i="3" s="1"/>
  <c r="G82" i="3"/>
  <c r="H82" i="3"/>
  <c r="I82" i="3" s="1"/>
  <c r="G66" i="3"/>
  <c r="H66" i="3"/>
  <c r="I66" i="3" s="1"/>
  <c r="G50" i="3"/>
  <c r="H50" i="3"/>
  <c r="I50" i="3" s="1"/>
  <c r="G34" i="3"/>
  <c r="H34" i="3"/>
  <c r="I34" i="3" s="1"/>
  <c r="H157" i="3"/>
  <c r="I157" i="3" s="1"/>
  <c r="G157" i="3"/>
  <c r="G125" i="3"/>
  <c r="H125" i="3"/>
  <c r="I125" i="3" s="1"/>
  <c r="G86" i="3"/>
  <c r="H86" i="3"/>
  <c r="I86" i="3" s="1"/>
  <c r="G56" i="3"/>
  <c r="H56" i="3"/>
  <c r="I56" i="3" s="1"/>
  <c r="H176" i="3"/>
  <c r="I176" i="3" s="1"/>
  <c r="G176" i="3"/>
  <c r="H168" i="3"/>
  <c r="I168" i="3" s="1"/>
  <c r="G168" i="3"/>
  <c r="H160" i="3"/>
  <c r="I160" i="3" s="1"/>
  <c r="G160" i="3"/>
  <c r="G148" i="3"/>
  <c r="H148" i="3"/>
  <c r="I148" i="3" s="1"/>
  <c r="G132" i="3"/>
  <c r="H132" i="3"/>
  <c r="I132" i="3" s="1"/>
  <c r="G116" i="3"/>
  <c r="H116" i="3"/>
  <c r="I116" i="3" s="1"/>
  <c r="G104" i="3"/>
  <c r="H104" i="3"/>
  <c r="I104" i="3" s="1"/>
  <c r="G88" i="3"/>
  <c r="H88" i="3"/>
  <c r="I88" i="3" s="1"/>
  <c r="G68" i="3"/>
  <c r="H68" i="3"/>
  <c r="I68" i="3" s="1"/>
  <c r="G52" i="3"/>
  <c r="H52" i="3"/>
  <c r="I52" i="3" s="1"/>
  <c r="G36" i="3"/>
  <c r="H36" i="3"/>
  <c r="I36" i="3" s="1"/>
  <c r="G84" i="3"/>
  <c r="H84" i="3"/>
  <c r="I84" i="3" s="1"/>
  <c r="G103" i="3"/>
  <c r="H103" i="3"/>
  <c r="I103" i="3" s="1"/>
  <c r="H173" i="3"/>
  <c r="I173" i="3" s="1"/>
  <c r="G173" i="3"/>
  <c r="G152" i="3"/>
  <c r="H152" i="3"/>
  <c r="I152" i="3" s="1"/>
  <c r="G61" i="3"/>
  <c r="H61" i="3"/>
  <c r="I61" i="3" s="1"/>
  <c r="G135" i="3"/>
  <c r="H135" i="3"/>
  <c r="I135" i="3" s="1"/>
  <c r="H85" i="3"/>
  <c r="I85" i="3" s="1"/>
  <c r="G85" i="3"/>
  <c r="G39" i="3"/>
  <c r="H39" i="3"/>
  <c r="I39" i="3" s="1"/>
  <c r="G99" i="3"/>
  <c r="H99" i="3"/>
  <c r="I99" i="3" s="1"/>
  <c r="H170" i="3"/>
  <c r="I170" i="3" s="1"/>
  <c r="G170" i="3"/>
  <c r="G137" i="3"/>
  <c r="H137" i="3"/>
  <c r="I137" i="3" s="1"/>
  <c r="G73" i="3"/>
  <c r="H73" i="3"/>
  <c r="I73" i="3" s="1"/>
  <c r="G142" i="3"/>
  <c r="H142" i="3"/>
  <c r="I142" i="3" s="1"/>
  <c r="H179" i="3"/>
  <c r="I179" i="3" s="1"/>
  <c r="G179" i="3"/>
  <c r="G93" i="3"/>
  <c r="H93" i="3"/>
  <c r="I93" i="3" s="1"/>
  <c r="G126" i="3"/>
  <c r="H126" i="3"/>
  <c r="I126" i="3" s="1"/>
  <c r="G78" i="3"/>
  <c r="H78" i="3"/>
  <c r="I78" i="3" s="1"/>
  <c r="G131" i="3"/>
  <c r="H131" i="3"/>
  <c r="I131" i="3" s="1"/>
  <c r="H171" i="3"/>
  <c r="I171" i="3" s="1"/>
  <c r="G171" i="3"/>
  <c r="H181" i="3"/>
  <c r="I181" i="3" s="1"/>
  <c r="G181" i="3"/>
  <c r="G155" i="3"/>
  <c r="H155" i="3"/>
  <c r="I155" i="3" s="1"/>
  <c r="G87" i="3"/>
  <c r="H87" i="3"/>
  <c r="I87" i="3" s="1"/>
  <c r="H163" i="3"/>
  <c r="I163" i="3" s="1"/>
  <c r="G163" i="3"/>
  <c r="G136" i="3"/>
  <c r="H136" i="3"/>
  <c r="I136" i="3" s="1"/>
  <c r="G102" i="3"/>
  <c r="H102" i="3"/>
  <c r="I102" i="3" s="1"/>
  <c r="G77" i="3"/>
  <c r="H77" i="3"/>
  <c r="I77" i="3" s="1"/>
  <c r="G48" i="3"/>
  <c r="H48" i="3"/>
  <c r="I48" i="3" s="1"/>
  <c r="G32" i="3"/>
  <c r="H32" i="3"/>
  <c r="I32" i="3" s="1"/>
  <c r="G143" i="3"/>
  <c r="H143" i="3"/>
  <c r="I143" i="3" s="1"/>
  <c r="G127" i="3"/>
  <c r="H127" i="3"/>
  <c r="I127" i="3" s="1"/>
  <c r="G111" i="3"/>
  <c r="H111" i="3"/>
  <c r="I111" i="3" s="1"/>
  <c r="G95" i="3"/>
  <c r="H95" i="3"/>
  <c r="I95" i="3" s="1"/>
  <c r="G79" i="3"/>
  <c r="H79" i="3"/>
  <c r="I79" i="3" s="1"/>
  <c r="G63" i="3"/>
  <c r="H63" i="3"/>
  <c r="I63" i="3" s="1"/>
  <c r="G47" i="3"/>
  <c r="H47" i="3"/>
  <c r="I47" i="3" s="1"/>
  <c r="G31" i="3"/>
  <c r="H31" i="3"/>
  <c r="I31" i="3" s="1"/>
  <c r="G149" i="3"/>
  <c r="H149" i="3"/>
  <c r="I149" i="3" s="1"/>
  <c r="G120" i="3"/>
  <c r="H120" i="3"/>
  <c r="I120" i="3" s="1"/>
  <c r="G80" i="3"/>
  <c r="H80" i="3"/>
  <c r="I80" i="3" s="1"/>
  <c r="G29" i="3"/>
  <c r="H29" i="3"/>
  <c r="I29" i="3" s="1"/>
  <c r="H174" i="3"/>
  <c r="I174" i="3" s="1"/>
  <c r="G174" i="3"/>
  <c r="H166" i="3"/>
  <c r="I166" i="3" s="1"/>
  <c r="G166" i="3"/>
  <c r="H158" i="3"/>
  <c r="I158" i="3" s="1"/>
  <c r="G158" i="3"/>
  <c r="G145" i="3"/>
  <c r="H145" i="3"/>
  <c r="I145" i="3" s="1"/>
  <c r="G129" i="3"/>
  <c r="H129" i="3"/>
  <c r="I129" i="3" s="1"/>
  <c r="G113" i="3"/>
  <c r="H113" i="3"/>
  <c r="I113" i="3" s="1"/>
  <c r="G97" i="3"/>
  <c r="H97" i="3"/>
  <c r="I97" i="3" s="1"/>
  <c r="G81" i="3"/>
  <c r="H81" i="3"/>
  <c r="I81" i="3" s="1"/>
  <c r="H65" i="3"/>
  <c r="I65" i="3" s="1"/>
  <c r="G65" i="3"/>
  <c r="G49" i="3"/>
  <c r="H49" i="3"/>
  <c r="I49" i="3" s="1"/>
  <c r="H33" i="3"/>
  <c r="I33" i="3" s="1"/>
  <c r="G33" i="3"/>
  <c r="G150" i="3"/>
  <c r="H150" i="3"/>
  <c r="I150" i="3" s="1"/>
  <c r="G46" i="3"/>
  <c r="H46" i="3"/>
  <c r="I46" i="3" s="1"/>
  <c r="G106" i="3"/>
  <c r="H106" i="3"/>
  <c r="I106" i="3" s="1"/>
  <c r="G54" i="3"/>
  <c r="H54" i="3"/>
  <c r="I54" i="3" s="1"/>
  <c r="H89" i="3"/>
  <c r="I89" i="3" s="1"/>
  <c r="G89" i="3"/>
  <c r="G151" i="3"/>
  <c r="H151" i="3"/>
  <c r="I151" i="3" s="1"/>
  <c r="H101" i="3"/>
  <c r="I101" i="3" s="1"/>
  <c r="G101" i="3"/>
  <c r="G55" i="3"/>
  <c r="H55" i="3"/>
  <c r="I55" i="3" s="1"/>
  <c r="G133" i="3"/>
  <c r="H133" i="3"/>
  <c r="I133" i="3" s="1"/>
  <c r="H178" i="3"/>
  <c r="I178" i="3" s="1"/>
  <c r="G178" i="3"/>
  <c r="G153" i="3"/>
  <c r="H153" i="3"/>
  <c r="I153" i="3" s="1"/>
  <c r="G107" i="3"/>
  <c r="H107" i="3"/>
  <c r="I107" i="3" s="1"/>
  <c r="H57" i="3"/>
  <c r="I57" i="3" s="1"/>
  <c r="G57" i="3"/>
  <c r="G109" i="3"/>
  <c r="H109" i="3"/>
  <c r="I109" i="3" s="1"/>
  <c r="H167" i="3"/>
  <c r="I167" i="3" s="1"/>
  <c r="G167" i="3"/>
  <c r="G70" i="3"/>
  <c r="H70" i="3"/>
  <c r="I70" i="3" s="1"/>
  <c r="G115" i="3"/>
  <c r="H115" i="3"/>
  <c r="I115" i="3" s="1"/>
  <c r="G67" i="3"/>
  <c r="H67" i="3"/>
  <c r="I67" i="3" s="1"/>
  <c r="G51" i="3"/>
  <c r="H51" i="3"/>
  <c r="I51" i="3" s="1"/>
  <c r="G139" i="3"/>
  <c r="H139" i="3"/>
  <c r="I139" i="3" s="1"/>
  <c r="H177" i="3"/>
  <c r="I177" i="3" s="1"/>
  <c r="G177" i="3"/>
  <c r="G134" i="3"/>
  <c r="H134" i="3"/>
  <c r="I134" i="3" s="1"/>
  <c r="G75" i="3"/>
  <c r="H75" i="3"/>
  <c r="I75" i="3" s="1"/>
  <c r="H159" i="3"/>
  <c r="I159" i="3" s="1"/>
  <c r="G159" i="3"/>
  <c r="G128" i="3"/>
  <c r="H128" i="3"/>
  <c r="I128" i="3" s="1"/>
  <c r="G96" i="3"/>
  <c r="H96" i="3"/>
  <c r="I96" i="3" s="1"/>
  <c r="G72" i="3"/>
  <c r="H72" i="3"/>
  <c r="I72" i="3" s="1"/>
  <c r="H45" i="3"/>
  <c r="I45" i="3" s="1"/>
  <c r="G45" i="3"/>
  <c r="G154" i="3"/>
  <c r="H154" i="3"/>
  <c r="I154" i="3" s="1"/>
  <c r="G138" i="3"/>
  <c r="H138" i="3"/>
  <c r="I138" i="3" s="1"/>
  <c r="G122" i="3"/>
  <c r="H122" i="3"/>
  <c r="I122" i="3" s="1"/>
  <c r="G108" i="3"/>
  <c r="H108" i="3"/>
  <c r="I108" i="3" s="1"/>
  <c r="G92" i="3"/>
  <c r="H92" i="3"/>
  <c r="I92" i="3" s="1"/>
  <c r="G74" i="3"/>
  <c r="H74" i="3"/>
  <c r="I74" i="3" s="1"/>
  <c r="G58" i="3"/>
  <c r="H58" i="3"/>
  <c r="I58" i="3" s="1"/>
  <c r="G42" i="3"/>
  <c r="H42" i="3"/>
  <c r="I42" i="3" s="1"/>
  <c r="H165" i="3"/>
  <c r="I165" i="3" s="1"/>
  <c r="G165" i="3"/>
  <c r="G144" i="3"/>
  <c r="H144" i="3"/>
  <c r="I144" i="3" s="1"/>
  <c r="H105" i="3"/>
  <c r="I105" i="3" s="1"/>
  <c r="G105" i="3"/>
  <c r="G69" i="3"/>
  <c r="H69" i="3"/>
  <c r="I69" i="3" s="1"/>
  <c r="H180" i="3"/>
  <c r="I180" i="3" s="1"/>
  <c r="G180" i="3"/>
  <c r="H172" i="3"/>
  <c r="I172" i="3" s="1"/>
  <c r="G172" i="3"/>
  <c r="H164" i="3"/>
  <c r="I164" i="3" s="1"/>
  <c r="G164" i="3"/>
  <c r="H156" i="3"/>
  <c r="I156" i="3" s="1"/>
  <c r="G156" i="3"/>
  <c r="G140" i="3"/>
  <c r="H140" i="3"/>
  <c r="I140" i="3" s="1"/>
  <c r="G124" i="3"/>
  <c r="H124" i="3"/>
  <c r="I124" i="3" s="1"/>
  <c r="G110" i="3"/>
  <c r="H110" i="3"/>
  <c r="I110" i="3" s="1"/>
  <c r="G94" i="3"/>
  <c r="H94" i="3"/>
  <c r="I94" i="3" s="1"/>
  <c r="G76" i="3"/>
  <c r="H76" i="3"/>
  <c r="I76" i="3" s="1"/>
  <c r="G60" i="3"/>
  <c r="H60" i="3"/>
  <c r="I60" i="3" s="1"/>
  <c r="G44" i="3"/>
  <c r="H44" i="3"/>
  <c r="I44" i="3" s="1"/>
  <c r="G28" i="3"/>
  <c r="H28" i="3"/>
  <c r="I28" i="3" s="1"/>
  <c r="G27" i="3"/>
  <c r="H27" i="3"/>
  <c r="I27" i="3" s="1"/>
  <c r="G23" i="3"/>
  <c r="H23" i="3"/>
  <c r="I23" i="3" s="1"/>
  <c r="G25" i="3"/>
  <c r="H25" i="3"/>
  <c r="I25" i="3" s="1"/>
  <c r="G26" i="3"/>
  <c r="H26" i="3"/>
  <c r="I26" i="3" s="1"/>
  <c r="G24" i="3"/>
  <c r="H24" i="3"/>
  <c r="I24" i="3" s="1"/>
  <c r="G22" i="3"/>
  <c r="H22" i="3"/>
  <c r="I22" i="3" s="1"/>
  <c r="H18" i="3"/>
  <c r="G18" i="3"/>
  <c r="H21" i="3"/>
  <c r="G21" i="3"/>
  <c r="G15" i="3"/>
  <c r="H15" i="3"/>
  <c r="H17" i="3"/>
  <c r="G17" i="3"/>
  <c r="H20" i="3"/>
  <c r="G20" i="3"/>
  <c r="G19" i="3"/>
  <c r="H19" i="3"/>
  <c r="H13" i="3"/>
  <c r="G13" i="3"/>
  <c r="H14" i="3"/>
  <c r="G14" i="3"/>
  <c r="H16" i="3"/>
  <c r="G16" i="3"/>
  <c r="O6" i="1"/>
  <c r="C6" i="2"/>
  <c r="D6" i="1"/>
  <c r="E6" i="1"/>
  <c r="E6" i="2"/>
  <c r="M6" i="1"/>
  <c r="F14" i="1" l="1"/>
  <c r="G14" i="1" s="1"/>
  <c r="F13" i="1"/>
  <c r="F32" i="1"/>
  <c r="F27" i="1"/>
  <c r="F22" i="1"/>
  <c r="F28" i="1"/>
  <c r="F23" i="1"/>
  <c r="F29" i="1"/>
  <c r="F24" i="1"/>
  <c r="F30" i="1"/>
  <c r="F25" i="1"/>
  <c r="F31" i="1"/>
  <c r="L31" i="1" s="1"/>
  <c r="F26" i="1"/>
  <c r="K125" i="5"/>
  <c r="J135" i="5"/>
  <c r="K135" i="5" s="1"/>
  <c r="K19" i="4"/>
  <c r="N20" i="4"/>
  <c r="J92" i="5"/>
  <c r="K92" i="5" s="1"/>
  <c r="J35" i="5"/>
  <c r="K35" i="5" s="1"/>
  <c r="J136" i="5"/>
  <c r="K136" i="5" s="1"/>
  <c r="K108" i="5"/>
  <c r="J137" i="5"/>
  <c r="K137" i="5" s="1"/>
  <c r="J87" i="5"/>
  <c r="K87" i="5" s="1"/>
  <c r="J71" i="5"/>
  <c r="K71" i="5" s="1"/>
  <c r="J173" i="5"/>
  <c r="K173" i="5" s="1"/>
  <c r="J167" i="5"/>
  <c r="K167" i="5" s="1"/>
  <c r="J41" i="5"/>
  <c r="K41" i="5" s="1"/>
  <c r="J17" i="5"/>
  <c r="K17" i="5" s="1"/>
  <c r="K102" i="5"/>
  <c r="J165" i="5"/>
  <c r="K165" i="5" s="1"/>
  <c r="K23" i="5"/>
  <c r="K105" i="5"/>
  <c r="K127" i="5"/>
  <c r="K183" i="5"/>
  <c r="K75" i="5"/>
  <c r="K143" i="5"/>
  <c r="K57" i="5"/>
  <c r="K111" i="5"/>
  <c r="J100" i="5"/>
  <c r="K100" i="5" s="1"/>
  <c r="J156" i="5"/>
  <c r="K156" i="5" s="1"/>
  <c r="J181" i="5"/>
  <c r="K181" i="5" s="1"/>
  <c r="J60" i="5"/>
  <c r="K60" i="5"/>
  <c r="J162" i="5"/>
  <c r="K162" i="5" s="1"/>
  <c r="J146" i="5"/>
  <c r="K146" i="5" s="1"/>
  <c r="K98" i="5"/>
  <c r="K78" i="5"/>
  <c r="K144" i="5"/>
  <c r="J159" i="5"/>
  <c r="K159" i="5" s="1"/>
  <c r="J18" i="5"/>
  <c r="K18" i="5"/>
  <c r="J76" i="5"/>
  <c r="K76" i="5" s="1"/>
  <c r="K38" i="5"/>
  <c r="J142" i="5"/>
  <c r="K142" i="5"/>
  <c r="K54" i="5"/>
  <c r="J124" i="5"/>
  <c r="K124" i="5" s="1"/>
  <c r="J83" i="5"/>
  <c r="K83" i="5" s="1"/>
  <c r="K66" i="5"/>
  <c r="K31" i="5"/>
  <c r="K155" i="5"/>
  <c r="K112" i="5"/>
  <c r="J90" i="5"/>
  <c r="K90" i="5" s="1"/>
  <c r="K157" i="5"/>
  <c r="J21" i="5"/>
  <c r="K21" i="5" s="1"/>
  <c r="J33" i="5"/>
  <c r="K33" i="5" s="1"/>
  <c r="J81" i="5"/>
  <c r="K81" i="5" s="1"/>
  <c r="J170" i="5"/>
  <c r="K170" i="5" s="1"/>
  <c r="K154" i="5"/>
  <c r="J50" i="5"/>
  <c r="K50" i="5" s="1"/>
  <c r="K91" i="5"/>
  <c r="K171" i="5"/>
  <c r="I87" i="5"/>
  <c r="J34" i="5"/>
  <c r="K34" i="5" s="1"/>
  <c r="K40" i="5"/>
  <c r="J145" i="5"/>
  <c r="K145" i="5" s="1"/>
  <c r="J138" i="5"/>
  <c r="K138" i="5" s="1"/>
  <c r="J15" i="5"/>
  <c r="K15" i="5" s="1"/>
  <c r="J62" i="5"/>
  <c r="K62" i="5" s="1"/>
  <c r="J175" i="5"/>
  <c r="K175" i="5" s="1"/>
  <c r="J52" i="5"/>
  <c r="K52" i="5" s="1"/>
  <c r="K67" i="5"/>
  <c r="K133" i="5"/>
  <c r="J46" i="5"/>
  <c r="K46" i="5" s="1"/>
  <c r="J74" i="5"/>
  <c r="K74" i="5" s="1"/>
  <c r="J116" i="5"/>
  <c r="K116" i="5" s="1"/>
  <c r="J64" i="5"/>
  <c r="K64" i="5" s="1"/>
  <c r="J63" i="5"/>
  <c r="K63" i="5" s="1"/>
  <c r="J73" i="5"/>
  <c r="K73" i="5" s="1"/>
  <c r="J139" i="5"/>
  <c r="K139" i="5" s="1"/>
  <c r="J25" i="5"/>
  <c r="K25" i="5" s="1"/>
  <c r="J107" i="5"/>
  <c r="K107" i="5" s="1"/>
  <c r="J129" i="5"/>
  <c r="K129" i="5" s="1"/>
  <c r="K94" i="5"/>
  <c r="K152" i="5"/>
  <c r="K72" i="5"/>
  <c r="J163" i="5"/>
  <c r="K163" i="5" s="1"/>
  <c r="I18" i="5"/>
  <c r="I137" i="5"/>
  <c r="I38" i="5"/>
  <c r="I32" i="5"/>
  <c r="I40" i="5"/>
  <c r="I55" i="5"/>
  <c r="I81" i="5"/>
  <c r="I109" i="5"/>
  <c r="I68" i="5"/>
  <c r="I140" i="5"/>
  <c r="I128" i="5"/>
  <c r="J128" i="5"/>
  <c r="K128" i="5" s="1"/>
  <c r="I72" i="5"/>
  <c r="I150" i="5"/>
  <c r="I22" i="5"/>
  <c r="J150" i="5"/>
  <c r="K150" i="5" s="1"/>
  <c r="J140" i="5"/>
  <c r="K140" i="5" s="1"/>
  <c r="I39" i="5"/>
  <c r="I106" i="5"/>
  <c r="J106" i="5"/>
  <c r="K106" i="5" s="1"/>
  <c r="I154" i="5"/>
  <c r="I41" i="5"/>
  <c r="I110" i="5"/>
  <c r="I160" i="5"/>
  <c r="I113" i="5"/>
  <c r="J113" i="5"/>
  <c r="K113" i="5" s="1"/>
  <c r="I43" i="5"/>
  <c r="J43" i="5"/>
  <c r="K43" i="5" s="1"/>
  <c r="I149" i="5"/>
  <c r="I114" i="5"/>
  <c r="I164" i="5"/>
  <c r="J164" i="5"/>
  <c r="K164" i="5" s="1"/>
  <c r="I179" i="5"/>
  <c r="I138" i="5"/>
  <c r="I83" i="5"/>
  <c r="I85" i="5"/>
  <c r="I180" i="5"/>
  <c r="J180" i="5"/>
  <c r="K180" i="5" s="1"/>
  <c r="I130" i="5"/>
  <c r="J130" i="5"/>
  <c r="K130" i="5" s="1"/>
  <c r="I44" i="5"/>
  <c r="J44" i="5"/>
  <c r="K44" i="5" s="1"/>
  <c r="I66" i="5"/>
  <c r="I184" i="5"/>
  <c r="I102" i="5"/>
  <c r="I64" i="5"/>
  <c r="I63" i="5"/>
  <c r="I73" i="5"/>
  <c r="I139" i="5"/>
  <c r="I53" i="5"/>
  <c r="J53" i="5"/>
  <c r="K53" i="5" s="1"/>
  <c r="I25" i="5"/>
  <c r="I107" i="5"/>
  <c r="I129" i="5"/>
  <c r="I185" i="5"/>
  <c r="J185" i="5"/>
  <c r="K185" i="5" s="1"/>
  <c r="I77" i="5"/>
  <c r="J77" i="5"/>
  <c r="K77" i="5" s="1"/>
  <c r="I147" i="5"/>
  <c r="J147" i="5"/>
  <c r="K147" i="5" s="1"/>
  <c r="I170" i="5"/>
  <c r="I159" i="5"/>
  <c r="J149" i="5"/>
  <c r="K149" i="5" s="1"/>
  <c r="J39" i="5"/>
  <c r="K39" i="5" s="1"/>
  <c r="J114" i="5"/>
  <c r="K114" i="5" s="1"/>
  <c r="I16" i="5"/>
  <c r="J16" i="5"/>
  <c r="K16" i="5" s="1"/>
  <c r="I178" i="5"/>
  <c r="J178" i="5"/>
  <c r="K178" i="5" s="1"/>
  <c r="I34" i="5"/>
  <c r="I174" i="5"/>
  <c r="I47" i="5"/>
  <c r="I172" i="5"/>
  <c r="J172" i="5"/>
  <c r="K172" i="5" s="1"/>
  <c r="I17" i="5"/>
  <c r="I121" i="5"/>
  <c r="I69" i="5"/>
  <c r="J69" i="5"/>
  <c r="K69" i="5" s="1"/>
  <c r="I165" i="5"/>
  <c r="J109" i="5"/>
  <c r="K109" i="5" s="1"/>
  <c r="I126" i="5"/>
  <c r="I104" i="5"/>
  <c r="I142" i="5"/>
  <c r="I92" i="5"/>
  <c r="I20" i="5"/>
  <c r="I80" i="5"/>
  <c r="I15" i="5"/>
  <c r="I62" i="5"/>
  <c r="I97" i="5"/>
  <c r="I119" i="5"/>
  <c r="I175" i="5"/>
  <c r="I52" i="5"/>
  <c r="I51" i="5"/>
  <c r="I67" i="5"/>
  <c r="I133" i="5"/>
  <c r="I19" i="5"/>
  <c r="J19" i="5"/>
  <c r="K19" i="5" s="1"/>
  <c r="I101" i="5"/>
  <c r="J101" i="5"/>
  <c r="K101" i="5" s="1"/>
  <c r="I123" i="5"/>
  <c r="J123" i="5"/>
  <c r="K123" i="5" s="1"/>
  <c r="I31" i="5"/>
  <c r="I155" i="5"/>
  <c r="I112" i="5"/>
  <c r="I116" i="5"/>
  <c r="I136" i="5"/>
  <c r="I98" i="5"/>
  <c r="I78" i="5"/>
  <c r="I76" i="5"/>
  <c r="I144" i="5"/>
  <c r="I94" i="5"/>
  <c r="I152" i="5"/>
  <c r="I100" i="5"/>
  <c r="I156" i="5"/>
  <c r="J20" i="5"/>
  <c r="K20" i="5" s="1"/>
  <c r="J126" i="5"/>
  <c r="K126" i="5" s="1"/>
  <c r="J32" i="5"/>
  <c r="K32" i="5" s="1"/>
  <c r="J110" i="5"/>
  <c r="K110" i="5" s="1"/>
  <c r="J174" i="5"/>
  <c r="K174" i="5" s="1"/>
  <c r="I26" i="5"/>
  <c r="J26" i="5"/>
  <c r="K26" i="5" s="1"/>
  <c r="I186" i="5"/>
  <c r="I124" i="5"/>
  <c r="I99" i="5"/>
  <c r="I177" i="5"/>
  <c r="J177" i="5"/>
  <c r="K177" i="5" s="1"/>
  <c r="I56" i="5"/>
  <c r="I158" i="5"/>
  <c r="J158" i="5"/>
  <c r="K158" i="5" s="1"/>
  <c r="I161" i="5"/>
  <c r="I90" i="5"/>
  <c r="I70" i="5"/>
  <c r="J70" i="5"/>
  <c r="K70" i="5" s="1"/>
  <c r="J121" i="5"/>
  <c r="K121" i="5" s="1"/>
  <c r="J99" i="5"/>
  <c r="K99" i="5" s="1"/>
  <c r="J56" i="5"/>
  <c r="K56" i="5" s="1"/>
  <c r="J80" i="5"/>
  <c r="K80" i="5" s="1"/>
  <c r="J55" i="5"/>
  <c r="K55" i="5" s="1"/>
  <c r="I89" i="5"/>
  <c r="I173" i="5"/>
  <c r="I167" i="5"/>
  <c r="I50" i="5"/>
  <c r="I91" i="5"/>
  <c r="I171" i="5"/>
  <c r="I54" i="5"/>
  <c r="I93" i="5"/>
  <c r="J93" i="5"/>
  <c r="K93" i="5" s="1"/>
  <c r="J85" i="5"/>
  <c r="K85" i="5" s="1"/>
  <c r="I33" i="5"/>
  <c r="I145" i="5"/>
  <c r="I35" i="5"/>
  <c r="I146" i="5"/>
  <c r="J119" i="5"/>
  <c r="K119" i="5" s="1"/>
  <c r="J97" i="5"/>
  <c r="K97" i="5" s="1"/>
  <c r="J68" i="5"/>
  <c r="K68" i="5" s="1"/>
  <c r="J47" i="5"/>
  <c r="K47" i="5" s="1"/>
  <c r="J51" i="5"/>
  <c r="K51" i="5" s="1"/>
  <c r="I176" i="5"/>
  <c r="J176" i="5"/>
  <c r="K176" i="5" s="1"/>
  <c r="I46" i="5"/>
  <c r="I74" i="5"/>
  <c r="J22" i="5"/>
  <c r="K22" i="5" s="1"/>
  <c r="I23" i="5"/>
  <c r="I105" i="5"/>
  <c r="I127" i="5"/>
  <c r="I183" i="5"/>
  <c r="I75" i="5"/>
  <c r="I143" i="5"/>
  <c r="I57" i="5"/>
  <c r="I27" i="5"/>
  <c r="J27" i="5"/>
  <c r="K27" i="5" s="1"/>
  <c r="I111" i="5"/>
  <c r="I131" i="5"/>
  <c r="J131" i="5"/>
  <c r="K131" i="5" s="1"/>
  <c r="I108" i="5"/>
  <c r="I157" i="5"/>
  <c r="J161" i="5"/>
  <c r="K161" i="5" s="1"/>
  <c r="J179" i="5"/>
  <c r="K179" i="5" s="1"/>
  <c r="J186" i="5"/>
  <c r="K186" i="5" s="1"/>
  <c r="J89" i="5"/>
  <c r="K89" i="5" s="1"/>
  <c r="J104" i="5"/>
  <c r="K104" i="5" s="1"/>
  <c r="J160" i="5"/>
  <c r="K160" i="5" s="1"/>
  <c r="J184" i="5"/>
  <c r="K184" i="5" s="1"/>
  <c r="J14" i="4"/>
  <c r="J117" i="4"/>
  <c r="J91" i="4"/>
  <c r="J58" i="4"/>
  <c r="J158" i="4"/>
  <c r="J169" i="4"/>
  <c r="J173" i="4"/>
  <c r="J179" i="4"/>
  <c r="J38" i="4"/>
  <c r="J72" i="4"/>
  <c r="J97" i="4"/>
  <c r="J186" i="4"/>
  <c r="J67" i="4"/>
  <c r="J130" i="4"/>
  <c r="J142" i="4"/>
  <c r="J71" i="4"/>
  <c r="J176" i="4"/>
  <c r="J74" i="4"/>
  <c r="J20" i="4"/>
  <c r="J79" i="4"/>
  <c r="J161" i="4"/>
  <c r="J154" i="4"/>
  <c r="J84" i="4"/>
  <c r="J51" i="4"/>
  <c r="J57" i="4"/>
  <c r="J94" i="4"/>
  <c r="J43" i="4"/>
  <c r="J144" i="4"/>
  <c r="J167" i="4"/>
  <c r="J182" i="4"/>
  <c r="J180" i="4"/>
  <c r="J86" i="4"/>
  <c r="J16" i="4"/>
  <c r="J104" i="4"/>
  <c r="J106" i="4"/>
  <c r="J21" i="4"/>
  <c r="J44" i="4"/>
  <c r="J109" i="4"/>
  <c r="J32" i="4"/>
  <c r="J99" i="4"/>
  <c r="J73" i="4"/>
  <c r="J102" i="4"/>
  <c r="J148" i="4"/>
  <c r="J56" i="4"/>
  <c r="J49" i="4"/>
  <c r="J105" i="4"/>
  <c r="J93" i="4"/>
  <c r="J127" i="4"/>
  <c r="J168" i="4"/>
  <c r="J132" i="4"/>
  <c r="J95" i="4"/>
  <c r="J147" i="4"/>
  <c r="J177" i="4"/>
  <c r="J126" i="4"/>
  <c r="J63" i="4"/>
  <c r="J114" i="4"/>
  <c r="J69" i="4"/>
  <c r="J36" i="4"/>
  <c r="J166" i="4"/>
  <c r="J125" i="4"/>
  <c r="J138" i="4"/>
  <c r="J59" i="4"/>
  <c r="J65" i="4"/>
  <c r="J135" i="4"/>
  <c r="J172" i="4"/>
  <c r="J140" i="4"/>
  <c r="J121" i="4"/>
  <c r="J183" i="4"/>
  <c r="J122" i="4"/>
  <c r="J42" i="4"/>
  <c r="J45" i="4"/>
  <c r="J61" i="4"/>
  <c r="J137" i="4"/>
  <c r="J15" i="4"/>
  <c r="J40" i="4"/>
  <c r="J39" i="4"/>
  <c r="J139" i="4"/>
  <c r="J131" i="4"/>
  <c r="J170" i="4"/>
  <c r="J136" i="4"/>
  <c r="J96" i="4"/>
  <c r="J187" i="4"/>
  <c r="J76" i="4"/>
  <c r="J165" i="4"/>
  <c r="J83" i="4"/>
  <c r="J35" i="4"/>
  <c r="J30" i="4"/>
  <c r="J41" i="4"/>
  <c r="J107" i="4"/>
  <c r="J112" i="4"/>
  <c r="J134" i="4"/>
  <c r="J159" i="4"/>
  <c r="J34" i="4"/>
  <c r="J64" i="4"/>
  <c r="J118" i="4"/>
  <c r="J141" i="4"/>
  <c r="J111" i="4"/>
  <c r="J160" i="4"/>
  <c r="J116" i="4"/>
  <c r="J129" i="4"/>
  <c r="J90" i="4"/>
  <c r="J145" i="4"/>
  <c r="J89" i="4"/>
  <c r="J47" i="4"/>
  <c r="J54" i="4"/>
  <c r="J53" i="4"/>
  <c r="J18" i="4"/>
  <c r="J150" i="4"/>
  <c r="J171" i="4"/>
  <c r="J149" i="4"/>
  <c r="J26" i="4"/>
  <c r="J33" i="4"/>
  <c r="J119" i="4"/>
  <c r="J164" i="4"/>
  <c r="J124" i="4"/>
  <c r="J163" i="4"/>
  <c r="J85" i="4"/>
  <c r="J151" i="4"/>
  <c r="J23" i="4"/>
  <c r="J19" i="4"/>
  <c r="J52" i="4"/>
  <c r="J92" i="4"/>
  <c r="J153" i="4"/>
  <c r="J143" i="4"/>
  <c r="J60" i="4"/>
  <c r="J13" i="4"/>
  <c r="J25" i="4"/>
  <c r="J178" i="4"/>
  <c r="J146" i="4"/>
  <c r="J100" i="4"/>
  <c r="J181" i="4"/>
  <c r="J115" i="4"/>
  <c r="J162" i="4"/>
  <c r="J120" i="4"/>
  <c r="J133" i="4"/>
  <c r="J155" i="4"/>
  <c r="J185" i="4"/>
  <c r="J175" i="4"/>
  <c r="J75" i="4"/>
  <c r="J46" i="4"/>
  <c r="J48" i="4"/>
  <c r="J24" i="4"/>
  <c r="J174" i="4"/>
  <c r="J98" i="4"/>
  <c r="J80" i="4"/>
  <c r="J87" i="4"/>
  <c r="J50" i="4"/>
  <c r="J108" i="4"/>
  <c r="J70" i="4"/>
  <c r="J17" i="4"/>
  <c r="J184" i="4"/>
  <c r="J152" i="4"/>
  <c r="J103" i="4"/>
  <c r="J113" i="4"/>
  <c r="J82" i="4"/>
  <c r="J157" i="4"/>
  <c r="J81" i="4"/>
  <c r="J31" i="4"/>
  <c r="J68" i="4"/>
  <c r="J37" i="4"/>
  <c r="J123" i="4"/>
  <c r="J128" i="4"/>
  <c r="J88" i="4"/>
  <c r="J110" i="4"/>
  <c r="J66" i="4"/>
  <c r="J27" i="4"/>
  <c r="J188" i="4"/>
  <c r="J156" i="4"/>
  <c r="J101" i="4"/>
  <c r="J78" i="4"/>
  <c r="J55" i="4"/>
  <c r="J77" i="4"/>
  <c r="J29" i="4"/>
  <c r="J22" i="4"/>
  <c r="J62" i="4"/>
  <c r="I150" i="4"/>
  <c r="I94" i="4"/>
  <c r="I181" i="4"/>
  <c r="I71" i="4"/>
  <c r="I152" i="4"/>
  <c r="I89" i="4"/>
  <c r="I172" i="4"/>
  <c r="I108" i="4"/>
  <c r="I70" i="4"/>
  <c r="I93" i="4"/>
  <c r="I145" i="4"/>
  <c r="I178" i="4"/>
  <c r="I120" i="4"/>
  <c r="I187" i="4"/>
  <c r="I76" i="4"/>
  <c r="I165" i="4"/>
  <c r="I83" i="4"/>
  <c r="I184" i="4"/>
  <c r="I132" i="4"/>
  <c r="I69" i="4"/>
  <c r="I123" i="4"/>
  <c r="I109" i="4"/>
  <c r="I134" i="4"/>
  <c r="I43" i="4"/>
  <c r="I34" i="4"/>
  <c r="I50" i="4"/>
  <c r="I32" i="4"/>
  <c r="I49" i="4"/>
  <c r="I64" i="4"/>
  <c r="I111" i="4"/>
  <c r="I38" i="4"/>
  <c r="I53" i="4"/>
  <c r="I135" i="4"/>
  <c r="I121" i="4"/>
  <c r="I122" i="4"/>
  <c r="I55" i="4"/>
  <c r="I22" i="4"/>
  <c r="I62" i="4"/>
  <c r="I56" i="4"/>
  <c r="I61" i="4"/>
  <c r="I29" i="4"/>
  <c r="I114" i="4"/>
  <c r="I37" i="4"/>
  <c r="I115" i="4"/>
  <c r="I133" i="4"/>
  <c r="I67" i="4"/>
  <c r="I35" i="4"/>
  <c r="I21" i="4"/>
  <c r="I30" i="4"/>
  <c r="I130" i="4"/>
  <c r="I41" i="4"/>
  <c r="I44" i="4"/>
  <c r="I113" i="4"/>
  <c r="I126" i="4"/>
  <c r="I31" i="4"/>
  <c r="I166" i="4"/>
  <c r="I102" i="4"/>
  <c r="I169" i="4"/>
  <c r="I87" i="4"/>
  <c r="I103" i="4"/>
  <c r="I156" i="4"/>
  <c r="I97" i="4"/>
  <c r="I86" i="4"/>
  <c r="I77" i="4"/>
  <c r="I179" i="4"/>
  <c r="I162" i="4"/>
  <c r="I100" i="4"/>
  <c r="I92" i="4"/>
  <c r="I153" i="4"/>
  <c r="I143" i="4"/>
  <c r="I177" i="4"/>
  <c r="I174" i="4"/>
  <c r="I158" i="4"/>
  <c r="I142" i="4"/>
  <c r="I112" i="4"/>
  <c r="I98" i="4"/>
  <c r="I171" i="4"/>
  <c r="I88" i="4"/>
  <c r="I72" i="4"/>
  <c r="I149" i="4"/>
  <c r="I79" i="4"/>
  <c r="I176" i="4"/>
  <c r="I144" i="4"/>
  <c r="I74" i="4"/>
  <c r="I180" i="4"/>
  <c r="I164" i="4"/>
  <c r="I148" i="4"/>
  <c r="I124" i="4"/>
  <c r="I101" i="4"/>
  <c r="I78" i="4"/>
  <c r="I161" i="4"/>
  <c r="I173" i="4"/>
  <c r="I151" i="4"/>
  <c r="I85" i="4"/>
  <c r="I141" i="4"/>
  <c r="I168" i="4"/>
  <c r="I95" i="4"/>
  <c r="I82" i="4"/>
  <c r="I167" i="4"/>
  <c r="I186" i="4"/>
  <c r="I170" i="4"/>
  <c r="I154" i="4"/>
  <c r="I136" i="4"/>
  <c r="I104" i="4"/>
  <c r="I96" i="4"/>
  <c r="I155" i="4"/>
  <c r="I84" i="4"/>
  <c r="I185" i="4"/>
  <c r="I175" i="4"/>
  <c r="I91" i="4"/>
  <c r="I75" i="4"/>
  <c r="I160" i="4"/>
  <c r="I99" i="4"/>
  <c r="I90" i="4"/>
  <c r="I157" i="4"/>
  <c r="I73" i="4"/>
  <c r="I182" i="4"/>
  <c r="I128" i="4"/>
  <c r="I80" i="4"/>
  <c r="I159" i="4"/>
  <c r="I147" i="4"/>
  <c r="I188" i="4"/>
  <c r="I140" i="4"/>
  <c r="I163" i="4"/>
  <c r="I183" i="4"/>
  <c r="I116" i="4"/>
  <c r="I81" i="4"/>
  <c r="I146" i="4"/>
  <c r="I139" i="4"/>
  <c r="I107" i="4"/>
  <c r="I125" i="4"/>
  <c r="I138" i="4"/>
  <c r="I110" i="4"/>
  <c r="I59" i="4"/>
  <c r="I26" i="4"/>
  <c r="I66" i="4"/>
  <c r="I60" i="4"/>
  <c r="I65" i="4"/>
  <c r="I33" i="4"/>
  <c r="I27" i="4"/>
  <c r="I129" i="4"/>
  <c r="I63" i="4"/>
  <c r="I68" i="4"/>
  <c r="I36" i="4"/>
  <c r="I119" i="4"/>
  <c r="I137" i="4"/>
  <c r="I105" i="4"/>
  <c r="I118" i="4"/>
  <c r="I39" i="4"/>
  <c r="I25" i="4"/>
  <c r="I42" i="4"/>
  <c r="I23" i="4"/>
  <c r="I45" i="4"/>
  <c r="I52" i="4"/>
  <c r="I47" i="4"/>
  <c r="I40" i="4"/>
  <c r="I131" i="4"/>
  <c r="I117" i="4"/>
  <c r="I106" i="4"/>
  <c r="I51" i="4"/>
  <c r="I46" i="4"/>
  <c r="I58" i="4"/>
  <c r="I48" i="4"/>
  <c r="I57" i="4"/>
  <c r="I24" i="4"/>
  <c r="I127" i="4"/>
  <c r="I54" i="4"/>
  <c r="I20" i="4"/>
  <c r="I13" i="4"/>
  <c r="I17" i="4"/>
  <c r="I19" i="4"/>
  <c r="I15" i="4"/>
  <c r="I14" i="4"/>
  <c r="I16" i="4"/>
  <c r="I18" i="4"/>
  <c r="I14" i="3"/>
  <c r="I16" i="3"/>
  <c r="I17" i="3"/>
  <c r="I15" i="3"/>
  <c r="I20" i="3"/>
  <c r="I18" i="3"/>
  <c r="I19" i="3"/>
  <c r="I13" i="3"/>
  <c r="I21" i="3"/>
  <c r="F18" i="1"/>
  <c r="H18" i="1" s="1"/>
  <c r="F19" i="1"/>
  <c r="F15" i="1"/>
  <c r="I6" i="1"/>
  <c r="P18" i="1"/>
  <c r="P19" i="1"/>
  <c r="P21" i="1"/>
  <c r="P14" i="1"/>
  <c r="S6" i="1"/>
  <c r="P16" i="1"/>
  <c r="P13" i="1"/>
  <c r="P15" i="1"/>
  <c r="P17" i="1"/>
  <c r="P20" i="1"/>
  <c r="F16" i="1"/>
  <c r="F21" i="1"/>
  <c r="F20" i="1"/>
  <c r="N4" i="2"/>
  <c r="I6" i="2"/>
  <c r="F17" i="1"/>
  <c r="G32" i="1" l="1"/>
  <c r="L32" i="1"/>
  <c r="H32" i="1"/>
  <c r="G26" i="1"/>
  <c r="H26" i="1"/>
  <c r="I26" i="1" s="1"/>
  <c r="G24" i="1"/>
  <c r="H24" i="1"/>
  <c r="I24" i="1" s="1"/>
  <c r="G22" i="1"/>
  <c r="H22" i="1"/>
  <c r="I22" i="1" s="1"/>
  <c r="G31" i="1"/>
  <c r="H31" i="1"/>
  <c r="G29" i="1"/>
  <c r="H29" i="1"/>
  <c r="I29" i="1" s="1"/>
  <c r="G27" i="1"/>
  <c r="H27" i="1"/>
  <c r="I27" i="1" s="1"/>
  <c r="G25" i="1"/>
  <c r="H25" i="1"/>
  <c r="I25" i="1" s="1"/>
  <c r="G23" i="1"/>
  <c r="H23" i="1"/>
  <c r="I23" i="1" s="1"/>
  <c r="G30" i="1"/>
  <c r="H30" i="1"/>
  <c r="I30" i="1" s="1"/>
  <c r="G28" i="1"/>
  <c r="H28" i="1"/>
  <c r="I28" i="1" s="1"/>
  <c r="N19" i="4"/>
  <c r="I18" i="1"/>
  <c r="G18" i="1"/>
  <c r="Q13" i="1"/>
  <c r="R13" i="1"/>
  <c r="S13" i="1" s="1"/>
  <c r="Q16" i="1"/>
  <c r="R16" i="1"/>
  <c r="S16" i="1" s="1"/>
  <c r="H19" i="1"/>
  <c r="G19" i="1"/>
  <c r="O4" i="2"/>
  <c r="D9" i="2"/>
  <c r="C9" i="2" s="1"/>
  <c r="H20" i="1"/>
  <c r="G20" i="1"/>
  <c r="H13" i="1"/>
  <c r="G13" i="1"/>
  <c r="H14" i="1"/>
  <c r="R14" i="1"/>
  <c r="S14" i="1" s="1"/>
  <c r="Q14" i="1"/>
  <c r="Q21" i="1"/>
  <c r="R21" i="1"/>
  <c r="S21" i="1" s="1"/>
  <c r="Q20" i="1"/>
  <c r="R20" i="1"/>
  <c r="S20" i="1" s="1"/>
  <c r="R19" i="1"/>
  <c r="S19" i="1" s="1"/>
  <c r="Q19" i="1"/>
  <c r="G15" i="1"/>
  <c r="H15" i="1"/>
  <c r="G21" i="1"/>
  <c r="H21" i="1"/>
  <c r="Q17" i="1"/>
  <c r="R17" i="1"/>
  <c r="S17" i="1" s="1"/>
  <c r="Q18" i="1"/>
  <c r="R18" i="1"/>
  <c r="S18" i="1" s="1"/>
  <c r="G17" i="1"/>
  <c r="H17" i="1"/>
  <c r="H16" i="1"/>
  <c r="G16" i="1"/>
  <c r="R15" i="1"/>
  <c r="S15" i="1" s="1"/>
  <c r="Q15" i="1"/>
  <c r="I31" i="1" l="1"/>
  <c r="N31" i="1" s="1"/>
  <c r="I32" i="1"/>
  <c r="N32" i="1" s="1"/>
  <c r="I21" i="1"/>
  <c r="I15" i="1"/>
  <c r="K15" i="1" s="1"/>
  <c r="I16" i="1"/>
  <c r="K16" i="1" s="1"/>
  <c r="I20" i="1"/>
  <c r="I17" i="1"/>
  <c r="K17" i="1" s="1"/>
  <c r="I14" i="1"/>
  <c r="K14" i="1" s="1"/>
  <c r="I19" i="1"/>
  <c r="K19" i="1" s="1"/>
  <c r="I13" i="1"/>
  <c r="K13" i="1" s="1"/>
  <c r="K11" i="1" s="1"/>
</calcChain>
</file>

<file path=xl/sharedStrings.xml><?xml version="1.0" encoding="utf-8"?>
<sst xmlns="http://schemas.openxmlformats.org/spreadsheetml/2006/main" count="215" uniqueCount="53">
  <si>
    <t>Lattice Parameter</t>
    <phoneticPr fontId="1"/>
  </si>
  <si>
    <t>Reciprocal Lattice Parameter</t>
    <phoneticPr fontId="1"/>
  </si>
  <si>
    <t>Diffraction angle</t>
    <phoneticPr fontId="1"/>
  </si>
  <si>
    <t>h</t>
    <phoneticPr fontId="1"/>
  </si>
  <si>
    <t>k</t>
    <phoneticPr fontId="1"/>
  </si>
  <si>
    <t>l</t>
    <phoneticPr fontId="1"/>
  </si>
  <si>
    <t>Cu</t>
    <phoneticPr fontId="1"/>
  </si>
  <si>
    <r>
      <t>a</t>
    </r>
    <r>
      <rPr>
        <sz val="12"/>
        <rFont val="Times New Roman"/>
        <family val="1"/>
      </rPr>
      <t>(Å)</t>
    </r>
    <phoneticPr fontId="1"/>
  </si>
  <si>
    <r>
      <t xml:space="preserve">b </t>
    </r>
    <r>
      <rPr>
        <sz val="12"/>
        <rFont val="Times New Roman"/>
        <family val="1"/>
      </rPr>
      <t>(Å)</t>
    </r>
    <phoneticPr fontId="1"/>
  </si>
  <si>
    <r>
      <t>c</t>
    </r>
    <r>
      <rPr>
        <sz val="12"/>
        <rFont val="Times New Roman"/>
        <family val="1"/>
      </rPr>
      <t xml:space="preserve"> (Å)</t>
    </r>
    <phoneticPr fontId="1"/>
  </si>
  <si>
    <r>
      <t>a</t>
    </r>
    <r>
      <rPr>
        <sz val="12"/>
        <rFont val="Times New Roman"/>
        <family val="1"/>
      </rPr>
      <t xml:space="preserve"> (deg.)</t>
    </r>
    <phoneticPr fontId="1"/>
  </si>
  <si>
    <r>
      <t xml:space="preserve">b </t>
    </r>
    <r>
      <rPr>
        <sz val="12"/>
        <rFont val="Times New Roman"/>
        <family val="1"/>
      </rPr>
      <t>(deg.)</t>
    </r>
    <phoneticPr fontId="1"/>
  </si>
  <si>
    <r>
      <t xml:space="preserve">g </t>
    </r>
    <r>
      <rPr>
        <sz val="12"/>
        <rFont val="Times New Roman"/>
        <family val="1"/>
      </rPr>
      <t>(deg.)</t>
    </r>
    <phoneticPr fontId="1"/>
  </si>
  <si>
    <r>
      <t>V</t>
    </r>
    <r>
      <rPr>
        <sz val="12"/>
        <rFont val="Times New Roman"/>
        <family val="1"/>
      </rPr>
      <t xml:space="preserve"> (Å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)</t>
    </r>
    <phoneticPr fontId="1"/>
  </si>
  <si>
    <r>
      <t>a*</t>
    </r>
    <r>
      <rPr>
        <sz val="12"/>
        <rFont val="Times New Roman"/>
        <family val="1"/>
      </rPr>
      <t>(Å</t>
    </r>
    <r>
      <rPr>
        <vertAlign val="superscript"/>
        <sz val="12"/>
        <rFont val="Times New Roman"/>
        <family val="1"/>
      </rPr>
      <t>-1</t>
    </r>
    <r>
      <rPr>
        <sz val="12"/>
        <rFont val="Times New Roman"/>
        <family val="1"/>
      </rPr>
      <t>)</t>
    </r>
    <phoneticPr fontId="1"/>
  </si>
  <si>
    <r>
      <t xml:space="preserve">b* </t>
    </r>
    <r>
      <rPr>
        <sz val="12"/>
        <rFont val="Times New Roman"/>
        <family val="1"/>
      </rPr>
      <t>(Å</t>
    </r>
    <r>
      <rPr>
        <vertAlign val="superscript"/>
        <sz val="12"/>
        <rFont val="Times New Roman"/>
        <family val="1"/>
      </rPr>
      <t>-1</t>
    </r>
    <r>
      <rPr>
        <sz val="12"/>
        <rFont val="Times New Roman"/>
        <family val="1"/>
      </rPr>
      <t>)</t>
    </r>
    <phoneticPr fontId="1"/>
  </si>
  <si>
    <r>
      <t>c*</t>
    </r>
    <r>
      <rPr>
        <sz val="12"/>
        <rFont val="Times New Roman"/>
        <family val="1"/>
      </rPr>
      <t xml:space="preserve"> (Å</t>
    </r>
    <r>
      <rPr>
        <vertAlign val="superscript"/>
        <sz val="12"/>
        <rFont val="Times New Roman"/>
        <family val="1"/>
      </rPr>
      <t>-1</t>
    </r>
    <r>
      <rPr>
        <sz val="12"/>
        <rFont val="Times New Roman"/>
        <family val="1"/>
      </rPr>
      <t>)</t>
    </r>
    <phoneticPr fontId="1"/>
  </si>
  <si>
    <r>
      <t>a</t>
    </r>
    <r>
      <rPr>
        <i/>
        <sz val="12"/>
        <rFont val="Times New Roman"/>
        <family val="1"/>
      </rPr>
      <t>*</t>
    </r>
    <r>
      <rPr>
        <sz val="12"/>
        <rFont val="Times New Roman"/>
        <family val="1"/>
      </rPr>
      <t xml:space="preserve"> (deg.)</t>
    </r>
    <phoneticPr fontId="1"/>
  </si>
  <si>
    <r>
      <t>b</t>
    </r>
    <r>
      <rPr>
        <sz val="12"/>
        <rFont val="Times New Roman"/>
        <family val="1"/>
      </rPr>
      <t>*</t>
    </r>
    <r>
      <rPr>
        <i/>
        <sz val="12"/>
        <rFont val="Symbol"/>
        <family val="1"/>
        <charset val="2"/>
      </rPr>
      <t xml:space="preserve"> </t>
    </r>
    <r>
      <rPr>
        <sz val="12"/>
        <rFont val="Times New Roman"/>
        <family val="1"/>
      </rPr>
      <t>(deg.)</t>
    </r>
    <phoneticPr fontId="1"/>
  </si>
  <si>
    <r>
      <t>g</t>
    </r>
    <r>
      <rPr>
        <sz val="12"/>
        <rFont val="Times New Roman"/>
        <family val="1"/>
      </rPr>
      <t>*</t>
    </r>
    <r>
      <rPr>
        <i/>
        <sz val="12"/>
        <rFont val="Symbol"/>
        <family val="1"/>
        <charset val="2"/>
      </rPr>
      <t xml:space="preserve"> </t>
    </r>
    <r>
      <rPr>
        <sz val="12"/>
        <rFont val="Times New Roman"/>
        <family val="1"/>
      </rPr>
      <t>(deg.)</t>
    </r>
    <phoneticPr fontId="1"/>
  </si>
  <si>
    <r>
      <t>V*</t>
    </r>
    <r>
      <rPr>
        <sz val="12"/>
        <rFont val="Times New Roman"/>
        <family val="1"/>
      </rPr>
      <t xml:space="preserve"> (Å</t>
    </r>
    <r>
      <rPr>
        <vertAlign val="superscript"/>
        <sz val="12"/>
        <rFont val="Times New Roman"/>
        <family val="1"/>
      </rPr>
      <t>-3</t>
    </r>
    <r>
      <rPr>
        <sz val="12"/>
        <rFont val="Times New Roman"/>
        <family val="1"/>
      </rPr>
      <t>)</t>
    </r>
    <phoneticPr fontId="1"/>
  </si>
  <si>
    <r>
      <t xml:space="preserve">E </t>
    </r>
    <r>
      <rPr>
        <sz val="12"/>
        <rFont val="Times New Roman"/>
        <family val="1"/>
      </rPr>
      <t>(keV)</t>
    </r>
    <phoneticPr fontId="1"/>
  </si>
  <si>
    <r>
      <t>l</t>
    </r>
    <r>
      <rPr>
        <sz val="12"/>
        <rFont val="Times New Roman"/>
        <family val="1"/>
      </rPr>
      <t xml:space="preserve"> (Å)</t>
    </r>
    <phoneticPr fontId="1"/>
  </si>
  <si>
    <t>Incident X-ray</t>
    <phoneticPr fontId="1"/>
  </si>
  <si>
    <r>
      <t xml:space="preserve">H </t>
    </r>
    <r>
      <rPr>
        <sz val="12"/>
        <rFont val="Times New Roman"/>
        <family val="1"/>
      </rPr>
      <t>(Å</t>
    </r>
    <r>
      <rPr>
        <vertAlign val="superscript"/>
        <sz val="12"/>
        <rFont val="Times New Roman"/>
        <family val="1"/>
      </rPr>
      <t>-1</t>
    </r>
    <r>
      <rPr>
        <sz val="12"/>
        <rFont val="Times New Roman"/>
        <family val="1"/>
      </rPr>
      <t>)</t>
    </r>
    <phoneticPr fontId="1"/>
  </si>
  <si>
    <r>
      <t xml:space="preserve">d </t>
    </r>
    <r>
      <rPr>
        <sz val="12"/>
        <rFont val="Times New Roman"/>
        <family val="1"/>
      </rPr>
      <t>(Å)</t>
    </r>
    <phoneticPr fontId="1"/>
  </si>
  <si>
    <r>
      <t xml:space="preserve">q </t>
    </r>
    <r>
      <rPr>
        <sz val="12"/>
        <rFont val="Times New Roman"/>
        <family val="1"/>
      </rPr>
      <t>(deg.)</t>
    </r>
    <phoneticPr fontId="1"/>
  </si>
  <si>
    <r>
      <t>2</t>
    </r>
    <r>
      <rPr>
        <i/>
        <sz val="12"/>
        <rFont val="Symbol"/>
        <family val="1"/>
        <charset val="2"/>
      </rPr>
      <t xml:space="preserve">q </t>
    </r>
    <r>
      <rPr>
        <sz val="12"/>
        <rFont val="Times New Roman"/>
        <family val="1"/>
      </rPr>
      <t>(deg.)</t>
    </r>
    <phoneticPr fontId="1"/>
  </si>
  <si>
    <r>
      <t>Al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3</t>
    </r>
    <phoneticPr fontId="1"/>
  </si>
  <si>
    <t>Si</t>
    <phoneticPr fontId="1"/>
  </si>
  <si>
    <t>青字部分に入力</t>
    <rPh sb="0" eb="1">
      <t>アオ</t>
    </rPh>
    <rPh sb="1" eb="2">
      <t>ジ</t>
    </rPh>
    <rPh sb="2" eb="4">
      <t>ブブン</t>
    </rPh>
    <rPh sb="5" eb="7">
      <t>ニュウリョク</t>
    </rPh>
    <phoneticPr fontId="1"/>
  </si>
  <si>
    <t>Miller Index</t>
    <phoneticPr fontId="1"/>
  </si>
  <si>
    <r>
      <t xml:space="preserve">Cu </t>
    </r>
    <r>
      <rPr>
        <i/>
        <sz val="12"/>
        <rFont val="Times New Roman"/>
        <family val="1"/>
      </rPr>
      <t>K</t>
    </r>
    <r>
      <rPr>
        <i/>
        <sz val="12"/>
        <rFont val="Symbol"/>
        <family val="1"/>
        <charset val="2"/>
      </rPr>
      <t>a</t>
    </r>
    <r>
      <rPr>
        <vertAlign val="subscript"/>
        <sz val="12"/>
        <rFont val="Symbol"/>
        <family val="1"/>
        <charset val="2"/>
      </rPr>
      <t>1</t>
    </r>
    <phoneticPr fontId="1"/>
  </si>
  <si>
    <r>
      <t xml:space="preserve">Mo </t>
    </r>
    <r>
      <rPr>
        <i/>
        <sz val="12"/>
        <rFont val="Times New Roman"/>
        <family val="1"/>
      </rPr>
      <t>K</t>
    </r>
    <r>
      <rPr>
        <i/>
        <sz val="12"/>
        <rFont val="Symbol"/>
        <family val="1"/>
        <charset val="2"/>
      </rPr>
      <t>a</t>
    </r>
    <r>
      <rPr>
        <vertAlign val="subscript"/>
        <sz val="12"/>
        <rFont val="Symbol"/>
        <family val="1"/>
        <charset val="2"/>
      </rPr>
      <t>1</t>
    </r>
    <phoneticPr fontId="1"/>
  </si>
  <si>
    <r>
      <t xml:space="preserve">Cu </t>
    </r>
    <r>
      <rPr>
        <i/>
        <sz val="12"/>
        <rFont val="Times New Roman"/>
        <family val="1"/>
      </rPr>
      <t>K</t>
    </r>
    <r>
      <rPr>
        <i/>
        <sz val="12"/>
        <rFont val="Symbol"/>
        <family val="1"/>
        <charset val="2"/>
      </rPr>
      <t>a</t>
    </r>
    <r>
      <rPr>
        <vertAlign val="subscript"/>
        <sz val="12"/>
        <rFont val="Symbol"/>
        <family val="1"/>
        <charset val="2"/>
      </rPr>
      <t>2</t>
    </r>
    <r>
      <rPr>
        <sz val="11"/>
        <rFont val="ＭＳ Ｐゴシック"/>
        <family val="3"/>
        <charset val="128"/>
      </rPr>
      <t/>
    </r>
  </si>
  <si>
    <r>
      <t xml:space="preserve">Cu </t>
    </r>
    <r>
      <rPr>
        <i/>
        <sz val="12"/>
        <rFont val="Times New Roman"/>
        <family val="1"/>
      </rPr>
      <t>K</t>
    </r>
    <r>
      <rPr>
        <i/>
        <sz val="12"/>
        <rFont val="Symbol"/>
        <family val="1"/>
        <charset val="2"/>
      </rPr>
      <t>a</t>
    </r>
    <r>
      <rPr>
        <sz val="11"/>
        <rFont val="ＭＳ Ｐゴシック"/>
        <family val="3"/>
        <charset val="128"/>
      </rPr>
      <t/>
    </r>
    <phoneticPr fontId="1"/>
  </si>
  <si>
    <r>
      <t xml:space="preserve">Cu </t>
    </r>
    <r>
      <rPr>
        <i/>
        <sz val="12"/>
        <rFont val="Times New Roman"/>
        <family val="1"/>
      </rPr>
      <t>K</t>
    </r>
    <r>
      <rPr>
        <i/>
        <sz val="12"/>
        <rFont val="Symbol"/>
        <family val="1"/>
        <charset val="2"/>
      </rPr>
      <t>b</t>
    </r>
    <phoneticPr fontId="1"/>
  </si>
  <si>
    <r>
      <t xml:space="preserve">Mo </t>
    </r>
    <r>
      <rPr>
        <i/>
        <sz val="12"/>
        <rFont val="Times New Roman"/>
        <family val="1"/>
      </rPr>
      <t>K</t>
    </r>
    <r>
      <rPr>
        <i/>
        <sz val="12"/>
        <rFont val="Symbol"/>
        <family val="1"/>
        <charset val="2"/>
      </rPr>
      <t>a</t>
    </r>
    <r>
      <rPr>
        <vertAlign val="subscript"/>
        <sz val="12"/>
        <rFont val="Symbol"/>
        <family val="1"/>
        <charset val="2"/>
      </rPr>
      <t>2</t>
    </r>
    <r>
      <rPr>
        <sz val="11"/>
        <rFont val="ＭＳ Ｐゴシック"/>
        <family val="3"/>
        <charset val="128"/>
      </rPr>
      <t/>
    </r>
  </si>
  <si>
    <r>
      <t xml:space="preserve">Mo </t>
    </r>
    <r>
      <rPr>
        <i/>
        <sz val="12"/>
        <rFont val="Times New Roman"/>
        <family val="1"/>
      </rPr>
      <t>K</t>
    </r>
    <r>
      <rPr>
        <i/>
        <sz val="12"/>
        <rFont val="Symbol"/>
        <family val="1"/>
        <charset val="2"/>
      </rPr>
      <t>a</t>
    </r>
    <r>
      <rPr>
        <sz val="11"/>
        <rFont val="ＭＳ Ｐゴシック"/>
        <family val="3"/>
        <charset val="128"/>
      </rPr>
      <t/>
    </r>
    <phoneticPr fontId="1"/>
  </si>
  <si>
    <t>Ni</t>
    <phoneticPr fontId="1"/>
  </si>
  <si>
    <t>F m -3 m</t>
    <phoneticPr fontId="1"/>
  </si>
  <si>
    <t>Ge</t>
    <phoneticPr fontId="1"/>
  </si>
  <si>
    <r>
      <t>D</t>
    </r>
    <r>
      <rPr>
        <sz val="12"/>
        <rFont val="Times New Roman"/>
        <family val="1"/>
      </rPr>
      <t>(nm)</t>
    </r>
    <phoneticPr fontId="1"/>
  </si>
  <si>
    <r>
      <t>Dl</t>
    </r>
    <r>
      <rPr>
        <sz val="12"/>
        <rFont val="Times New Roman"/>
        <family val="1"/>
      </rPr>
      <t xml:space="preserve"> (Å)</t>
    </r>
    <phoneticPr fontId="1"/>
  </si>
  <si>
    <r>
      <rPr>
        <i/>
        <sz val="12"/>
        <rFont val="Symbol"/>
        <family val="1"/>
        <charset val="2"/>
      </rPr>
      <t xml:space="preserve">D2q </t>
    </r>
    <r>
      <rPr>
        <sz val="12"/>
        <rFont val="Times New Roman"/>
        <family val="1"/>
      </rPr>
      <t>(deg.)</t>
    </r>
    <phoneticPr fontId="1"/>
  </si>
  <si>
    <r>
      <rPr>
        <i/>
        <sz val="12"/>
        <rFont val="Symbol"/>
        <family val="1"/>
        <charset val="2"/>
      </rPr>
      <t>D</t>
    </r>
    <r>
      <rPr>
        <i/>
        <sz val="12"/>
        <rFont val="Times New Roman"/>
        <family val="1"/>
      </rPr>
      <t xml:space="preserve">E </t>
    </r>
    <r>
      <rPr>
        <sz val="12"/>
        <rFont val="Times New Roman"/>
        <family val="1"/>
      </rPr>
      <t>(eV)</t>
    </r>
    <phoneticPr fontId="1"/>
  </si>
  <si>
    <r>
      <t>g</t>
    </r>
    <r>
      <rPr>
        <sz val="12"/>
        <rFont val="Times New Roman"/>
        <family val="1"/>
      </rPr>
      <t xml:space="preserve"> (deg.)</t>
    </r>
    <phoneticPr fontId="1"/>
  </si>
  <si>
    <r>
      <rPr>
        <i/>
        <sz val="12"/>
        <rFont val="Times New Roman"/>
        <family val="1"/>
      </rPr>
      <t>FWHM</t>
    </r>
    <r>
      <rPr>
        <i/>
        <sz val="12"/>
        <rFont val="Symbol"/>
        <family val="1"/>
        <charset val="2"/>
      </rPr>
      <t xml:space="preserve"> </t>
    </r>
    <r>
      <rPr>
        <sz val="12"/>
        <rFont val="Times New Roman"/>
        <family val="1"/>
      </rPr>
      <t>(deg.)</t>
    </r>
    <phoneticPr fontId="1"/>
  </si>
  <si>
    <r>
      <rPr>
        <i/>
        <sz val="12"/>
        <rFont val="Symbol"/>
        <family val="1"/>
        <charset val="2"/>
      </rPr>
      <t>D</t>
    </r>
    <r>
      <rPr>
        <i/>
        <sz val="12"/>
        <rFont val="Times New Roman"/>
        <family val="1"/>
      </rPr>
      <t>E/E</t>
    </r>
    <phoneticPr fontId="1"/>
  </si>
  <si>
    <r>
      <t>g</t>
    </r>
    <r>
      <rPr>
        <sz val="12"/>
        <rFont val="Times New Roman"/>
        <family val="1"/>
      </rPr>
      <t xml:space="preserve"> (mrad.)</t>
    </r>
    <phoneticPr fontId="1"/>
  </si>
  <si>
    <r>
      <rPr>
        <i/>
        <sz val="12"/>
        <rFont val="Symbol"/>
        <family val="1"/>
        <charset val="2"/>
      </rPr>
      <t>D</t>
    </r>
    <r>
      <rPr>
        <i/>
        <sz val="12"/>
        <rFont val="Times New Roman"/>
        <family val="1"/>
      </rPr>
      <t>H/H</t>
    </r>
    <phoneticPr fontId="1"/>
  </si>
  <si>
    <t>-1.#IND0</t>
  </si>
  <si>
    <t> 3.61496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</si>
</sst>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0_ "/>
    <numFmt numFmtId="177" formatCode="0.000_ "/>
    <numFmt numFmtId="178" formatCode="0.0000_ "/>
    <numFmt numFmtId="179" formatCode="0.00000_ "/>
    <numFmt numFmtId="180" formatCode="0.0000_);[Red]\(0.0000\)"/>
    <numFmt numFmtId="181" formatCode="0.0_ "/>
    <numFmt numFmtId="182" formatCode="0.0_);[Red]\(0.0\)"/>
    <numFmt numFmtId="183" formatCode="0.000_);[Red]\(0.000\)"/>
    <numFmt numFmtId="184" formatCode="0_ "/>
    <numFmt numFmtId="185" formatCode="0.00000_);[Red]\(0.00000\)"/>
    <numFmt numFmtId="186" formatCode="0.0E+00"/>
    <numFmt numFmtId="187" formatCode="0.0000000_ "/>
    <numFmt numFmtId="191" formatCode="0.000_ ;[Red]\-0.000\ "/>
  </numFmts>
  <fonts count="2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i/>
      <sz val="12"/>
      <name val="Times New Roman"/>
      <family val="1"/>
    </font>
    <font>
      <sz val="12"/>
      <name val="Times New Roman"/>
      <family val="1"/>
    </font>
    <font>
      <i/>
      <sz val="12"/>
      <name val="Symbol"/>
      <family val="1"/>
      <charset val="2"/>
    </font>
    <font>
      <vertAlign val="superscript"/>
      <sz val="12"/>
      <name val="Times New Roman"/>
      <family val="1"/>
    </font>
    <font>
      <b/>
      <sz val="12"/>
      <color indexed="12"/>
      <name val="Times New Roman"/>
      <family val="1"/>
    </font>
    <font>
      <vertAlign val="subscript"/>
      <sz val="12"/>
      <name val="Times New Roman"/>
      <family val="1"/>
    </font>
    <font>
      <b/>
      <sz val="18"/>
      <color indexed="12"/>
      <name val="ＭＳ Ｐゴシック"/>
      <family val="3"/>
      <charset val="128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vertAlign val="subscript"/>
      <sz val="12"/>
      <name val="Symbol"/>
      <family val="1"/>
      <charset val="2"/>
    </font>
    <font>
      <b/>
      <sz val="12"/>
      <color indexed="30"/>
      <name val="Times New Roman"/>
      <family val="1"/>
    </font>
    <font>
      <b/>
      <sz val="18"/>
      <color indexed="30"/>
      <name val="ＭＳ Ｐゴシック"/>
      <family val="3"/>
      <charset val="128"/>
    </font>
    <font>
      <sz val="18"/>
      <color indexed="30"/>
      <name val="ＭＳ Ｐゴシック"/>
      <family val="3"/>
      <charset val="128"/>
    </font>
    <font>
      <sz val="11"/>
      <color indexed="30"/>
      <name val="ＭＳ Ｐゴシック"/>
      <family val="3"/>
      <charset val="128"/>
    </font>
    <font>
      <sz val="12"/>
      <color rgb="FF545454"/>
      <name val="Arial"/>
      <family val="2"/>
    </font>
    <font>
      <i/>
      <sz val="12"/>
      <name val="Times New Roman"/>
      <family val="1"/>
      <charset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178" fontId="7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179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77" fontId="4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181" fontId="7" fillId="0" borderId="1" xfId="0" applyNumberFormat="1" applyFont="1" applyBorder="1">
      <alignment vertical="center"/>
    </xf>
    <xf numFmtId="178" fontId="10" fillId="0" borderId="1" xfId="0" applyNumberFormat="1" applyFont="1" applyBorder="1">
      <alignment vertical="center"/>
    </xf>
    <xf numFmtId="181" fontId="10" fillId="0" borderId="1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6" fontId="11" fillId="0" borderId="1" xfId="0" applyNumberFormat="1" applyFont="1" applyBorder="1">
      <alignment vertical="center"/>
    </xf>
    <xf numFmtId="179" fontId="14" fillId="0" borderId="1" xfId="0" applyNumberFormat="1" applyFont="1" applyBorder="1">
      <alignment vertical="center"/>
    </xf>
    <xf numFmtId="181" fontId="14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82" fontId="14" fillId="0" borderId="1" xfId="0" applyNumberFormat="1" applyFont="1" applyBorder="1">
      <alignment vertical="center"/>
    </xf>
    <xf numFmtId="182" fontId="4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176" fontId="4" fillId="3" borderId="1" xfId="0" applyNumberFormat="1" applyFont="1" applyFill="1" applyBorder="1">
      <alignment vertical="center"/>
    </xf>
    <xf numFmtId="180" fontId="4" fillId="3" borderId="1" xfId="0" applyNumberFormat="1" applyFont="1" applyFill="1" applyBorder="1">
      <alignment vertical="center"/>
    </xf>
    <xf numFmtId="183" fontId="12" fillId="0" borderId="1" xfId="0" applyNumberFormat="1" applyFont="1" applyBorder="1">
      <alignment vertical="center"/>
    </xf>
    <xf numFmtId="179" fontId="12" fillId="0" borderId="1" xfId="0" applyNumberFormat="1" applyFont="1" applyBorder="1">
      <alignment vertical="center"/>
    </xf>
    <xf numFmtId="183" fontId="4" fillId="2" borderId="1" xfId="0" applyNumberFormat="1" applyFont="1" applyFill="1" applyBorder="1">
      <alignment vertical="center"/>
    </xf>
    <xf numFmtId="0" fontId="18" fillId="0" borderId="0" xfId="0" applyFont="1">
      <alignment vertical="center"/>
    </xf>
    <xf numFmtId="178" fontId="10" fillId="0" borderId="1" xfId="0" applyNumberFormat="1" applyFont="1" applyBorder="1" applyAlignment="1">
      <alignment horizontal="right" vertical="center"/>
    </xf>
    <xf numFmtId="183" fontId="4" fillId="0" borderId="1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84" fontId="7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0" fontId="2" fillId="2" borderId="0" xfId="0" applyFont="1" applyFill="1">
      <alignment vertical="center"/>
    </xf>
    <xf numFmtId="0" fontId="19" fillId="2" borderId="1" xfId="0" applyFont="1" applyFill="1" applyBorder="1" applyAlignment="1">
      <alignment horizontal="center" vertical="center"/>
    </xf>
    <xf numFmtId="185" fontId="4" fillId="2" borderId="1" xfId="0" applyNumberFormat="1" applyFont="1" applyFill="1" applyBorder="1">
      <alignment vertical="center"/>
    </xf>
    <xf numFmtId="0" fontId="19" fillId="0" borderId="1" xfId="0" applyFont="1" applyBorder="1">
      <alignment vertical="center"/>
    </xf>
    <xf numFmtId="181" fontId="4" fillId="0" borderId="1" xfId="0" applyNumberFormat="1" applyFont="1" applyBorder="1">
      <alignment vertical="center"/>
    </xf>
    <xf numFmtId="186" fontId="4" fillId="0" borderId="1" xfId="0" applyNumberFormat="1" applyFont="1" applyBorder="1">
      <alignment vertical="center"/>
    </xf>
    <xf numFmtId="183" fontId="20" fillId="2" borderId="1" xfId="0" applyNumberFormat="1" applyFont="1" applyFill="1" applyBorder="1">
      <alignment vertical="center"/>
    </xf>
    <xf numFmtId="177" fontId="21" fillId="0" borderId="1" xfId="0" applyNumberFormat="1" applyFont="1" applyBorder="1">
      <alignment vertical="center"/>
    </xf>
    <xf numFmtId="177" fontId="22" fillId="0" borderId="1" xfId="0" applyNumberFormat="1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179" fontId="23" fillId="0" borderId="1" xfId="0" applyNumberFormat="1" applyFont="1" applyBorder="1">
      <alignment vertical="center"/>
    </xf>
    <xf numFmtId="176" fontId="23" fillId="0" borderId="1" xfId="0" applyNumberFormat="1" applyFont="1" applyBorder="1">
      <alignment vertical="center"/>
    </xf>
    <xf numFmtId="11" fontId="2" fillId="0" borderId="0" xfId="0" applyNumberFormat="1" applyFont="1">
      <alignment vertical="center"/>
    </xf>
    <xf numFmtId="187" fontId="4" fillId="0" borderId="1" xfId="0" applyNumberFormat="1" applyFont="1" applyBorder="1">
      <alignment vertical="center"/>
    </xf>
    <xf numFmtId="178" fontId="4" fillId="0" borderId="0" xfId="0" applyNumberFormat="1" applyFont="1">
      <alignment vertical="center"/>
    </xf>
    <xf numFmtId="183" fontId="4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187" fontId="4" fillId="0" borderId="0" xfId="0" applyNumberFormat="1" applyFont="1">
      <alignment vertical="center"/>
    </xf>
    <xf numFmtId="0" fontId="20" fillId="0" borderId="1" xfId="0" applyFont="1" applyBorder="1" applyAlignment="1">
      <alignment horizontal="center" vertical="center"/>
    </xf>
    <xf numFmtId="178" fontId="24" fillId="0" borderId="1" xfId="0" applyNumberFormat="1" applyFont="1" applyBorder="1">
      <alignment vertical="center"/>
    </xf>
    <xf numFmtId="183" fontId="24" fillId="2" borderId="1" xfId="0" applyNumberFormat="1" applyFont="1" applyFill="1" applyBorder="1">
      <alignment vertical="center"/>
    </xf>
    <xf numFmtId="183" fontId="2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2" borderId="2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91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F59"/>
  <sheetViews>
    <sheetView zoomScale="70" zoomScaleNormal="70" workbookViewId="0">
      <selection activeCell="K11" sqref="K11"/>
    </sheetView>
  </sheetViews>
  <sheetFormatPr defaultColWidth="9" defaultRowHeight="14.25" x14ac:dyDescent="0.15"/>
  <cols>
    <col min="1" max="1" width="2.375" style="4" customWidth="1"/>
    <col min="2" max="2" width="18.5" style="4" bestFit="1" customWidth="1"/>
    <col min="3" max="9" width="10.5" style="4" customWidth="1"/>
    <col min="10" max="10" width="8.5" style="4" bestFit="1" customWidth="1"/>
    <col min="11" max="11" width="8.75" style="4" bestFit="1" customWidth="1"/>
    <col min="12" max="12" width="18.5" style="4" bestFit="1" customWidth="1"/>
    <col min="13" max="13" width="10.875" style="4" bestFit="1" customWidth="1"/>
    <col min="14" max="14" width="12.25" style="4" bestFit="1" customWidth="1"/>
    <col min="15" max="19" width="9.5" style="4" customWidth="1"/>
    <col min="20" max="16384" width="9" style="4"/>
  </cols>
  <sheetData>
    <row r="2" spans="2:32" ht="24" customHeight="1" x14ac:dyDescent="0.15">
      <c r="B2" s="1"/>
      <c r="C2" s="2" t="s">
        <v>7</v>
      </c>
      <c r="D2" s="2" t="s">
        <v>8</v>
      </c>
      <c r="E2" s="2" t="s">
        <v>9</v>
      </c>
      <c r="F2" s="3" t="s">
        <v>10</v>
      </c>
      <c r="G2" s="3" t="s">
        <v>11</v>
      </c>
      <c r="H2" s="3" t="s">
        <v>12</v>
      </c>
      <c r="I2" s="2" t="s">
        <v>13</v>
      </c>
      <c r="L2" s="1"/>
      <c r="M2" s="2" t="s">
        <v>7</v>
      </c>
      <c r="N2" s="2" t="s">
        <v>8</v>
      </c>
      <c r="O2" s="2" t="s">
        <v>9</v>
      </c>
      <c r="P2" s="3" t="s">
        <v>10</v>
      </c>
      <c r="Q2" s="3" t="s">
        <v>11</v>
      </c>
      <c r="R2" s="3" t="s">
        <v>12</v>
      </c>
      <c r="S2" s="2" t="s">
        <v>13</v>
      </c>
    </row>
    <row r="3" spans="2:32" ht="30" customHeight="1" x14ac:dyDescent="0.15">
      <c r="B3" s="5" t="s">
        <v>0</v>
      </c>
      <c r="C3" s="22">
        <v>2.8633340520729749</v>
      </c>
      <c r="D3" s="22">
        <f>C3</f>
        <v>2.8633340520729749</v>
      </c>
      <c r="E3" s="22">
        <f>D3</f>
        <v>2.8633340520729749</v>
      </c>
      <c r="F3" s="7">
        <v>90</v>
      </c>
      <c r="G3" s="7">
        <v>90</v>
      </c>
      <c r="H3" s="7">
        <v>90</v>
      </c>
      <c r="I3" s="8">
        <f>C3*D3*E3*SQRT(1-COS(RADIANS(F3))^2-COS(RADIANS(G3))^2-COS(RADIANS(H3))^2+2*COS(RADIANS(F3))*COS(RADIANS(G3))*COS(RADIANS(H3)))</f>
        <v>23.475565048518988</v>
      </c>
      <c r="L3" s="5" t="s">
        <v>0</v>
      </c>
      <c r="M3" s="6">
        <v>3.5350000000000001</v>
      </c>
      <c r="N3" s="6">
        <v>3.5350000000000001</v>
      </c>
      <c r="O3" s="6">
        <v>3.5350000000000001</v>
      </c>
      <c r="P3" s="19">
        <v>90</v>
      </c>
      <c r="Q3" s="19">
        <v>90</v>
      </c>
      <c r="R3" s="19">
        <v>90</v>
      </c>
      <c r="S3" s="8">
        <f>M3*N3*O3*SQRT(1-COS(RADIANS(P3))^2-COS(RADIANS(Q3))^2-COS(RADIANS(R3))^2+2*COS(RADIANS(P3))*COS(RADIANS(Q3))*COS(RADIANS(R3)))</f>
        <v>44.174155375000005</v>
      </c>
    </row>
    <row r="4" spans="2:32" ht="12.75" customHeight="1" x14ac:dyDescent="0.15"/>
    <row r="5" spans="2:32" ht="24" customHeight="1" x14ac:dyDescent="0.15">
      <c r="B5" s="1"/>
      <c r="C5" s="2" t="s">
        <v>14</v>
      </c>
      <c r="D5" s="2" t="s">
        <v>15</v>
      </c>
      <c r="E5" s="2" t="s">
        <v>16</v>
      </c>
      <c r="F5" s="3" t="s">
        <v>17</v>
      </c>
      <c r="G5" s="3" t="s">
        <v>18</v>
      </c>
      <c r="H5" s="3" t="s">
        <v>19</v>
      </c>
      <c r="I5" s="2" t="s">
        <v>20</v>
      </c>
      <c r="L5" s="1"/>
      <c r="M5" s="2" t="s">
        <v>14</v>
      </c>
      <c r="N5" s="2" t="s">
        <v>15</v>
      </c>
      <c r="O5" s="2" t="s">
        <v>16</v>
      </c>
      <c r="P5" s="3" t="s">
        <v>17</v>
      </c>
      <c r="Q5" s="3" t="s">
        <v>18</v>
      </c>
      <c r="R5" s="3" t="s">
        <v>19</v>
      </c>
      <c r="S5" s="2" t="s">
        <v>20</v>
      </c>
    </row>
    <row r="6" spans="2:32" ht="36" customHeight="1" x14ac:dyDescent="0.15">
      <c r="B6" s="5" t="s">
        <v>1</v>
      </c>
      <c r="C6" s="9">
        <f>D3*E3*SIN(RADIANS(F3))/$I$3</f>
        <v>0.34924321850467555</v>
      </c>
      <c r="D6" s="9">
        <f>E3*C3*SIN(RADIANS(G3))/$I$3</f>
        <v>0.34924321850467555</v>
      </c>
      <c r="E6" s="9">
        <f>D3*C3*SIN(RADIANS(H3))/$I$3</f>
        <v>0.34924321850467555</v>
      </c>
      <c r="F6" s="8">
        <f>DEGREES(ACOS((COS(RADIANS(G3))*COS(RADIANS(H3))-COS(RADIANS(F3)))/(SIN(RADIANS(G3))*SIN(RADIANS(H3)))))</f>
        <v>90</v>
      </c>
      <c r="G6" s="8">
        <f>DEGREES(ACOS((COS(RADIANS(F3))*COS(RADIANS(H3))-COS(RADIANS(G3)))/(SIN(RADIANS(F3))*SIN(RADIANS(H3)))))</f>
        <v>90</v>
      </c>
      <c r="H6" s="8">
        <f>DEGREES(ACOS((COS(RADIANS(F3))*COS(RADIANS(G3))-COS(RADIANS(H3)))/(SIN(RADIANS(F3))*SIN(RADIANS(G3)))))</f>
        <v>90</v>
      </c>
      <c r="I6" s="10">
        <f>C6*D6*E6*SQRT(1-COS(RADIANS(F6))^2-COS(RADIANS(G6))^2-COS(RADIANS(H6))^2+2*COS(RADIANS(F6))*COS(RADIANS(G6))*COS(RADIANS(H6)))</f>
        <v>4.2597483721188954E-2</v>
      </c>
      <c r="L6" s="5" t="s">
        <v>1</v>
      </c>
      <c r="M6" s="9">
        <f>N3*O3*SIN(RADIANS(P3))/$S$3</f>
        <v>0.28288543140028288</v>
      </c>
      <c r="N6" s="9">
        <f>O3*M3*SIN(RADIANS(Q3))/$S$3</f>
        <v>0.28288543140028288</v>
      </c>
      <c r="O6" s="9">
        <f>N3*M3*SIN(RADIANS(R3))/$S$3</f>
        <v>0.28288543140028288</v>
      </c>
      <c r="P6" s="8">
        <f>DEGREES(ACOS((COS(RADIANS(Q3))*COS(RADIANS(R3))-COS(RADIANS(P3)))/(SIN(RADIANS(Q3))*SIN(RADIANS(R3)))))</f>
        <v>90</v>
      </c>
      <c r="Q6" s="8">
        <f>DEGREES(ACOS((COS(RADIANS(P3))*COS(RADIANS(R3))-COS(RADIANS(Q3)))/(SIN(RADIANS(P3))*SIN(RADIANS(R3)))))</f>
        <v>90</v>
      </c>
      <c r="R6" s="8">
        <f>DEGREES(ACOS((COS(RADIANS(P3))*COS(RADIANS(Q3))-COS(RADIANS(R3)))/(SIN(RADIANS(P3))*SIN(RADIANS(Q3)))))</f>
        <v>90</v>
      </c>
      <c r="S6" s="10">
        <f>M6*N6*O6*SQRT(1-COS(RADIANS(P6))^2-COS(RADIANS(Q6))^2-COS(RADIANS(R6))^2+2*COS(RADIANS(P6))*COS(RADIANS(Q6))*COS(RADIANS(R6)))</f>
        <v>2.2637671088691417E-2</v>
      </c>
    </row>
    <row r="8" spans="2:32" ht="24" customHeight="1" x14ac:dyDescent="0.15">
      <c r="B8" s="1"/>
      <c r="C8" s="2" t="s">
        <v>21</v>
      </c>
      <c r="D8" s="3" t="s">
        <v>22</v>
      </c>
      <c r="L8" s="1"/>
      <c r="M8" s="2" t="s">
        <v>21</v>
      </c>
      <c r="N8" s="3" t="s">
        <v>22</v>
      </c>
    </row>
    <row r="9" spans="2:32" ht="23.25" customHeight="1" x14ac:dyDescent="0.15">
      <c r="B9" s="11" t="s">
        <v>23</v>
      </c>
      <c r="C9" s="7">
        <v>15</v>
      </c>
      <c r="D9" s="12">
        <f>12.398419/C9</f>
        <v>0.82656126666666674</v>
      </c>
      <c r="L9" s="11" t="s">
        <v>23</v>
      </c>
      <c r="M9" s="23">
        <f>C9</f>
        <v>15</v>
      </c>
      <c r="N9" s="12">
        <f>D9</f>
        <v>0.82656126666666674</v>
      </c>
    </row>
    <row r="11" spans="2:32" ht="25.5" customHeight="1" x14ac:dyDescent="0.15">
      <c r="B11" s="13"/>
      <c r="C11" s="68" t="s">
        <v>31</v>
      </c>
      <c r="D11" s="69"/>
      <c r="E11" s="69"/>
      <c r="F11" s="1"/>
      <c r="G11" s="1"/>
      <c r="H11" s="66" t="s">
        <v>2</v>
      </c>
      <c r="I11" s="67"/>
      <c r="K11" s="64">
        <f>SUM(K13:K19)</f>
        <v>1.1569910576843196E-3</v>
      </c>
      <c r="L11" s="13"/>
      <c r="M11" s="70" t="s">
        <v>31</v>
      </c>
      <c r="N11" s="71"/>
      <c r="O11" s="72"/>
      <c r="P11" s="1"/>
      <c r="Q11" s="1"/>
      <c r="R11" s="73" t="s">
        <v>2</v>
      </c>
      <c r="S11" s="74"/>
    </row>
    <row r="12" spans="2:32" ht="26.25" customHeight="1" x14ac:dyDescent="0.15">
      <c r="C12" s="14" t="s">
        <v>3</v>
      </c>
      <c r="D12" s="14" t="s">
        <v>4</v>
      </c>
      <c r="E12" s="14" t="s">
        <v>5</v>
      </c>
      <c r="F12" s="14" t="s">
        <v>24</v>
      </c>
      <c r="G12" s="14" t="s">
        <v>25</v>
      </c>
      <c r="H12" s="15" t="s">
        <v>26</v>
      </c>
      <c r="I12" s="16" t="s">
        <v>27</v>
      </c>
      <c r="M12" s="14" t="s">
        <v>3</v>
      </c>
      <c r="N12" s="14" t="s">
        <v>4</v>
      </c>
      <c r="O12" s="14" t="s">
        <v>5</v>
      </c>
      <c r="P12" s="14" t="s">
        <v>24</v>
      </c>
      <c r="Q12" s="14" t="s">
        <v>25</v>
      </c>
      <c r="R12" s="15" t="s">
        <v>26</v>
      </c>
      <c r="S12" s="16" t="s">
        <v>27</v>
      </c>
      <c r="W12" s="4">
        <v>1</v>
      </c>
      <c r="X12" s="4">
        <v>1</v>
      </c>
      <c r="Y12" s="4">
        <v>0</v>
      </c>
      <c r="Z12" s="4">
        <v>2.0407099999999998</v>
      </c>
      <c r="AA12" s="4">
        <v>37.291621999999997</v>
      </c>
      <c r="AB12" s="4">
        <v>2.1970619999999998</v>
      </c>
      <c r="AC12" s="4">
        <v>37.356299999999997</v>
      </c>
      <c r="AD12" s="4">
        <v>23.36674</v>
      </c>
      <c r="AE12" s="4">
        <v>100</v>
      </c>
      <c r="AF12" s="4">
        <v>12</v>
      </c>
    </row>
    <row r="13" spans="2:32" ht="26.25" customHeight="1" x14ac:dyDescent="0.15">
      <c r="B13" s="4">
        <v>41.937880586044592</v>
      </c>
      <c r="C13" s="61">
        <v>1</v>
      </c>
      <c r="D13" s="61">
        <v>1</v>
      </c>
      <c r="E13" s="61">
        <v>0</v>
      </c>
      <c r="F13" s="62">
        <f>SQRT(C13^2*$C$6^2+D13^2*$D$6^2+E13^2*$E$6^2+2*$C$6*$D$6*C13*D13*COS(RADIANS($H$6))+2*$C$6*$E$6*C13*E13*COS(RADIANS($G$6))+2*$D$6*$E$6*D13*E13*COS(RADIANS($F$6)))</f>
        <v>0.49390449617614246</v>
      </c>
      <c r="G13" s="62">
        <f>1/F13</f>
        <v>2.0246829250231553</v>
      </c>
      <c r="H13" s="63">
        <f>DEGREES(ASIN(F13*$D$9/2))</f>
        <v>11.778057609445984</v>
      </c>
      <c r="I13" s="63">
        <f>H13*2</f>
        <v>23.556115218891968</v>
      </c>
      <c r="J13" s="4">
        <v>23.555</v>
      </c>
      <c r="K13" s="37">
        <f>(I13-J13)^2</f>
        <v>1.2437131770025207E-6</v>
      </c>
      <c r="M13" s="17">
        <v>1</v>
      </c>
      <c r="N13" s="17">
        <v>1</v>
      </c>
      <c r="O13" s="17">
        <v>1</v>
      </c>
      <c r="P13" s="9">
        <f>SQRT(M13^2*$M$6^2+N13^2*$N$6^2+O13^2*$O$6^2+2*$M$6*$N$6*M13*N13*COS(RADIANS($R$6))+2*$M$6*$O$6*M13*O13*COS(RADIANS($Q$6))+2*$N$6*$O$6*N13*O13*COS(RADIANS($P$6)))</f>
        <v>0.4899719399063302</v>
      </c>
      <c r="Q13" s="9">
        <f>1/P13</f>
        <v>2.040933201585327</v>
      </c>
      <c r="R13" s="34">
        <f>DEGREES(ASIN(P13*$N$9/2))</f>
        <v>11.682951348472827</v>
      </c>
      <c r="S13" s="34">
        <f>R13*2</f>
        <v>23.365902696945653</v>
      </c>
      <c r="W13" s="4">
        <v>2</v>
      </c>
      <c r="X13" s="4">
        <v>0</v>
      </c>
      <c r="Y13" s="4">
        <v>0</v>
      </c>
      <c r="Z13" s="4">
        <v>1.4430000000000001</v>
      </c>
      <c r="AA13" s="4">
        <v>30.610537000000001</v>
      </c>
      <c r="AB13" s="4">
        <v>2.1711809999999998</v>
      </c>
      <c r="AC13" s="4">
        <v>30.6874</v>
      </c>
      <c r="AD13" s="4">
        <v>33.28302</v>
      </c>
      <c r="AE13" s="4">
        <v>15.897320000000001</v>
      </c>
      <c r="AF13" s="4">
        <v>6</v>
      </c>
    </row>
    <row r="14" spans="2:32" ht="26.25" customHeight="1" x14ac:dyDescent="0.15">
      <c r="B14" s="4">
        <v>34.558046201830344</v>
      </c>
      <c r="C14" s="61">
        <v>2</v>
      </c>
      <c r="D14" s="61">
        <v>0</v>
      </c>
      <c r="E14" s="61">
        <v>0</v>
      </c>
      <c r="F14" s="62">
        <f>SQRT(C14^2*$C$6^2+D14^2*$D$6^2+E14^2*$E$6^2+2*$C$6*$D$6*C14*D14*COS(RADIANS($H$6))+2*$C$6*$E$6*C14*E14*COS(RADIANS($G$6))+2*$D$6*$E$6*D14*E14*COS(RADIANS($F$6)))</f>
        <v>0.69848643700935109</v>
      </c>
      <c r="G14" s="62">
        <f>1/F14</f>
        <v>1.4316670260364874</v>
      </c>
      <c r="H14" s="63">
        <f t="shared" ref="H14:H21" si="0">DEGREES(ASIN(F14*$D$9/2))</f>
        <v>16.778402489243501</v>
      </c>
      <c r="I14" s="63">
        <f t="shared" ref="I14:I21" si="1">H14*2</f>
        <v>33.556804978487001</v>
      </c>
      <c r="J14" s="4">
        <v>33.56</v>
      </c>
      <c r="K14" s="37">
        <f t="shared" ref="K14:K19" si="2">(I14-J14)^2</f>
        <v>1.0208162468539168E-5</v>
      </c>
      <c r="M14" s="17">
        <v>2</v>
      </c>
      <c r="N14" s="17">
        <v>0</v>
      </c>
      <c r="O14" s="17">
        <v>0</v>
      </c>
      <c r="P14" s="9">
        <f t="shared" ref="P14:P20" si="3">SQRT(M14^2*$M$6^2+N14^2*$N$6^2+O14^2*$O$6^2+2*$M$6*$N$6*M14*N14*COS(RADIANS($R$6))+2*$M$6*$O$6*M14*O14*COS(RADIANS($Q$6))+2*$N$6*$O$6*N14*O14*COS(RADIANS($P$6)))</f>
        <v>0.56577086280056577</v>
      </c>
      <c r="Q14" s="9">
        <f t="shared" ref="Q14:Q21" si="4">1/P14</f>
        <v>1.7675000000000001</v>
      </c>
      <c r="R14" s="34">
        <f t="shared" ref="R14:R21" si="5">DEGREES(ASIN(P14*$N$9/2))</f>
        <v>13.522202163812951</v>
      </c>
      <c r="S14" s="34">
        <f t="shared" ref="S14:S21" si="6">R14*2</f>
        <v>27.044404327625902</v>
      </c>
      <c r="W14" s="4">
        <v>2</v>
      </c>
      <c r="X14" s="4">
        <v>1</v>
      </c>
      <c r="Y14" s="4">
        <v>1</v>
      </c>
      <c r="Z14" s="4">
        <v>1.1782049999999999</v>
      </c>
      <c r="AA14" s="4">
        <v>26.177527999999999</v>
      </c>
      <c r="AB14" s="4">
        <v>2.1456050000000002</v>
      </c>
      <c r="AC14" s="4">
        <v>26.2653</v>
      </c>
      <c r="AD14" s="4">
        <v>41.065849999999998</v>
      </c>
      <c r="AE14" s="4">
        <v>29.334330000000001</v>
      </c>
      <c r="AF14" s="4">
        <v>24</v>
      </c>
    </row>
    <row r="15" spans="2:32" ht="26.25" customHeight="1" x14ac:dyDescent="0.15">
      <c r="B15" s="4">
        <v>38.585530727729164</v>
      </c>
      <c r="C15" s="61">
        <v>2</v>
      </c>
      <c r="D15" s="61">
        <v>1</v>
      </c>
      <c r="E15" s="61">
        <v>1</v>
      </c>
      <c r="F15" s="62">
        <f t="shared" ref="F15:F21" si="7">SQRT(C15^2*$C$6^2+D15^2*$D$6^2+E15^2*$E$6^2+2*$C$6*$D$6*C15*D15*COS(RADIANS($H$6))+2*$C$6*$E$6*C15*E15*COS(RADIANS($G$6))+2*$D$6*$E$6*D15*E15*COS(RADIANS($F$6)))</f>
        <v>0.85546768146378693</v>
      </c>
      <c r="G15" s="62">
        <f t="shared" ref="G15:G21" si="8">1/F15</f>
        <v>1.1689512317857578</v>
      </c>
      <c r="H15" s="63">
        <f t="shared" si="0"/>
        <v>20.704494664994481</v>
      </c>
      <c r="I15" s="63">
        <f t="shared" si="1"/>
        <v>41.408989329988962</v>
      </c>
      <c r="J15" s="4">
        <v>41.39</v>
      </c>
      <c r="K15" s="37">
        <f t="shared" si="2"/>
        <v>3.6059465342968606E-4</v>
      </c>
      <c r="M15" s="17">
        <v>2</v>
      </c>
      <c r="N15" s="17">
        <v>2</v>
      </c>
      <c r="O15" s="17">
        <v>0</v>
      </c>
      <c r="P15" s="9">
        <f t="shared" si="3"/>
        <v>0.80012082736808776</v>
      </c>
      <c r="Q15" s="9">
        <f t="shared" si="4"/>
        <v>1.2498112357472226</v>
      </c>
      <c r="R15" s="34">
        <f t="shared" si="5"/>
        <v>19.309716494671719</v>
      </c>
      <c r="S15" s="34">
        <f t="shared" si="6"/>
        <v>38.619432989343437</v>
      </c>
      <c r="W15" s="4">
        <v>2</v>
      </c>
      <c r="X15" s="4">
        <v>2</v>
      </c>
      <c r="Y15" s="4">
        <v>0</v>
      </c>
      <c r="Z15" s="4">
        <v>1.0203549999999999</v>
      </c>
      <c r="AA15" s="4">
        <v>22.99944</v>
      </c>
      <c r="AB15" s="4">
        <v>2.12033</v>
      </c>
      <c r="AC15" s="4">
        <v>23.097000000000001</v>
      </c>
      <c r="AD15" s="4">
        <v>47.78302</v>
      </c>
      <c r="AE15" s="4">
        <v>8.0630500000000005</v>
      </c>
      <c r="AF15" s="4">
        <v>12</v>
      </c>
    </row>
    <row r="16" spans="2:32" ht="26.25" customHeight="1" x14ac:dyDescent="0.15">
      <c r="C16" s="61">
        <v>2</v>
      </c>
      <c r="D16" s="61">
        <v>2</v>
      </c>
      <c r="E16" s="61">
        <v>0</v>
      </c>
      <c r="F16" s="62">
        <f t="shared" si="7"/>
        <v>0.98780899235228492</v>
      </c>
      <c r="G16" s="62">
        <f t="shared" si="8"/>
        <v>1.0123414625115776</v>
      </c>
      <c r="H16" s="63">
        <f t="shared" si="0"/>
        <v>24.09446819499529</v>
      </c>
      <c r="I16" s="63">
        <f t="shared" si="1"/>
        <v>48.18893638999058</v>
      </c>
      <c r="J16" s="4">
        <v>48.2</v>
      </c>
      <c r="K16" s="37">
        <f t="shared" si="2"/>
        <v>1.2240346644059539E-4</v>
      </c>
      <c r="M16" s="17">
        <v>6</v>
      </c>
      <c r="N16" s="17">
        <v>2</v>
      </c>
      <c r="O16" s="17">
        <v>0</v>
      </c>
      <c r="P16" s="9">
        <f t="shared" si="3"/>
        <v>1.7891245602084183</v>
      </c>
      <c r="Q16" s="9">
        <f t="shared" si="4"/>
        <v>0.55893257643476102</v>
      </c>
      <c r="R16" s="34">
        <f t="shared" si="5"/>
        <v>47.681226069716679</v>
      </c>
      <c r="S16" s="34">
        <f t="shared" si="6"/>
        <v>95.362452139433358</v>
      </c>
      <c r="W16" s="4">
        <v>3</v>
      </c>
      <c r="X16" s="4">
        <v>1</v>
      </c>
      <c r="Y16" s="4">
        <v>0</v>
      </c>
      <c r="Z16" s="4">
        <v>0.91263300000000003</v>
      </c>
      <c r="AA16" s="4">
        <v>20.623024000000001</v>
      </c>
      <c r="AB16" s="4">
        <v>2.0953529999999998</v>
      </c>
      <c r="AC16" s="4">
        <v>20.729199999999999</v>
      </c>
      <c r="AD16" s="4">
        <v>53.848300000000002</v>
      </c>
      <c r="AE16" s="4">
        <v>9.8962699999999995</v>
      </c>
      <c r="AF16" s="4">
        <v>24</v>
      </c>
    </row>
    <row r="17" spans="3:32" ht="26.25" customHeight="1" x14ac:dyDescent="0.15">
      <c r="C17" s="61">
        <v>3</v>
      </c>
      <c r="D17" s="61">
        <v>1</v>
      </c>
      <c r="E17" s="61">
        <v>0</v>
      </c>
      <c r="F17" s="62">
        <f t="shared" si="7"/>
        <v>1.1044040278426395</v>
      </c>
      <c r="G17" s="62">
        <f t="shared" si="8"/>
        <v>0.90546573064697711</v>
      </c>
      <c r="H17" s="63">
        <f t="shared" si="0"/>
        <v>27.156903226810282</v>
      </c>
      <c r="I17" s="63">
        <f t="shared" si="1"/>
        <v>54.313806453620565</v>
      </c>
      <c r="J17" s="4">
        <v>54.335000000000001</v>
      </c>
      <c r="K17" s="37">
        <f t="shared" si="2"/>
        <v>4.4916640813731141E-4</v>
      </c>
      <c r="M17" s="17">
        <v>6</v>
      </c>
      <c r="N17" s="17">
        <v>2</v>
      </c>
      <c r="O17" s="17">
        <v>2</v>
      </c>
      <c r="P17" s="9">
        <f t="shared" si="3"/>
        <v>1.87644966922512</v>
      </c>
      <c r="Q17" s="9">
        <f t="shared" si="4"/>
        <v>0.53292130154119721</v>
      </c>
      <c r="R17" s="34">
        <f t="shared" si="5"/>
        <v>50.85041423785021</v>
      </c>
      <c r="S17" s="34">
        <f t="shared" si="6"/>
        <v>101.70082847570042</v>
      </c>
      <c r="W17" s="4">
        <v>2</v>
      </c>
      <c r="X17" s="4">
        <v>2</v>
      </c>
      <c r="Y17" s="4">
        <v>2</v>
      </c>
      <c r="Z17" s="4">
        <v>0.83311599999999997</v>
      </c>
      <c r="AA17" s="4">
        <v>18.797955000000002</v>
      </c>
      <c r="AB17" s="4">
        <v>2.0706699999999998</v>
      </c>
      <c r="AC17" s="4">
        <v>18.9117</v>
      </c>
      <c r="AD17" s="4">
        <v>59.475270000000002</v>
      </c>
      <c r="AE17" s="4">
        <v>2.19251</v>
      </c>
      <c r="AF17" s="4">
        <v>8</v>
      </c>
    </row>
    <row r="18" spans="3:32" ht="26.25" customHeight="1" x14ac:dyDescent="0.15">
      <c r="C18" s="61">
        <v>2</v>
      </c>
      <c r="D18" s="61">
        <v>2</v>
      </c>
      <c r="E18" s="61">
        <v>2</v>
      </c>
      <c r="F18" s="62">
        <f t="shared" si="7"/>
        <v>1.2098139972979545</v>
      </c>
      <c r="G18" s="62">
        <f t="shared" si="8"/>
        <v>0.82657334287207684</v>
      </c>
      <c r="H18" s="63">
        <f t="shared" si="0"/>
        <v>29.999516707512878</v>
      </c>
      <c r="I18" s="63">
        <f t="shared" si="1"/>
        <v>59.999033415025757</v>
      </c>
      <c r="K18" s="37"/>
      <c r="M18" s="17">
        <v>1</v>
      </c>
      <c r="N18" s="17">
        <v>1</v>
      </c>
      <c r="O18" s="17">
        <v>2</v>
      </c>
      <c r="P18" s="9">
        <f t="shared" si="3"/>
        <v>0.69292496259778735</v>
      </c>
      <c r="Q18" s="9">
        <f t="shared" si="4"/>
        <v>1.4431577067897556</v>
      </c>
      <c r="R18" s="34">
        <f t="shared" si="5"/>
        <v>16.640905033516781</v>
      </c>
      <c r="S18" s="34">
        <f t="shared" si="6"/>
        <v>33.281810067033561</v>
      </c>
      <c r="W18" s="4">
        <v>3</v>
      </c>
      <c r="X18" s="4">
        <v>2</v>
      </c>
      <c r="Y18" s="4">
        <v>1</v>
      </c>
      <c r="Z18" s="4">
        <v>0.771316</v>
      </c>
      <c r="AA18" s="4">
        <v>17.367061</v>
      </c>
      <c r="AB18" s="4">
        <v>2.046278</v>
      </c>
      <c r="AC18" s="4">
        <v>17.487200000000001</v>
      </c>
      <c r="AD18" s="4">
        <v>64.792659999999998</v>
      </c>
      <c r="AE18" s="4">
        <v>9.3109099999999998</v>
      </c>
      <c r="AF18" s="4">
        <v>48</v>
      </c>
    </row>
    <row r="19" spans="3:32" ht="26.25" customHeight="1" x14ac:dyDescent="0.15">
      <c r="C19" s="61">
        <v>3</v>
      </c>
      <c r="D19" s="61">
        <v>2</v>
      </c>
      <c r="E19" s="61">
        <v>1</v>
      </c>
      <c r="F19" s="62">
        <f t="shared" si="7"/>
        <v>1.3067484682987249</v>
      </c>
      <c r="G19" s="62">
        <f t="shared" si="8"/>
        <v>0.76525821476715772</v>
      </c>
      <c r="H19" s="63">
        <f t="shared" si="0"/>
        <v>32.687303674657855</v>
      </c>
      <c r="I19" s="63">
        <f t="shared" si="1"/>
        <v>65.37460734931571</v>
      </c>
      <c r="J19" s="4">
        <v>65.36</v>
      </c>
      <c r="K19" s="37">
        <f t="shared" si="2"/>
        <v>2.133746540311849E-4</v>
      </c>
      <c r="M19" s="17">
        <v>0</v>
      </c>
      <c r="N19" s="17">
        <v>2</v>
      </c>
      <c r="O19" s="17">
        <v>2</v>
      </c>
      <c r="P19" s="9">
        <f t="shared" si="3"/>
        <v>0.80012082736808776</v>
      </c>
      <c r="Q19" s="9">
        <f t="shared" si="4"/>
        <v>1.2498112357472226</v>
      </c>
      <c r="R19" s="34">
        <f t="shared" si="5"/>
        <v>19.309716494671719</v>
      </c>
      <c r="S19" s="34">
        <f t="shared" si="6"/>
        <v>38.619432989343437</v>
      </c>
      <c r="W19" s="4">
        <v>4</v>
      </c>
      <c r="X19" s="4">
        <v>0</v>
      </c>
      <c r="Y19" s="4">
        <v>0</v>
      </c>
      <c r="Z19" s="4">
        <v>0.72150000000000003</v>
      </c>
      <c r="AA19" s="4">
        <v>16.223618999999999</v>
      </c>
      <c r="AB19" s="4">
        <v>2.0221740000000001</v>
      </c>
      <c r="AC19" s="4">
        <v>16.3492</v>
      </c>
      <c r="AD19" s="4">
        <v>69.886539999999997</v>
      </c>
      <c r="AE19" s="4">
        <v>0.86790999999999996</v>
      </c>
      <c r="AF19" s="4">
        <v>6</v>
      </c>
    </row>
    <row r="20" spans="3:32" ht="26.25" customHeight="1" x14ac:dyDescent="0.15">
      <c r="C20" s="61">
        <v>4</v>
      </c>
      <c r="D20" s="61">
        <v>0</v>
      </c>
      <c r="E20" s="61">
        <v>0</v>
      </c>
      <c r="F20" s="62">
        <f t="shared" si="7"/>
        <v>1.3969728740187022</v>
      </c>
      <c r="G20" s="62">
        <f t="shared" si="8"/>
        <v>0.71583351301824372</v>
      </c>
      <c r="H20" s="63">
        <f t="shared" si="0"/>
        <v>35.263797773480299</v>
      </c>
      <c r="I20" s="63">
        <f t="shared" si="1"/>
        <v>70.527595546960598</v>
      </c>
      <c r="K20" s="37"/>
      <c r="M20" s="17">
        <v>0</v>
      </c>
      <c r="N20" s="17">
        <v>0</v>
      </c>
      <c r="O20" s="17">
        <v>3</v>
      </c>
      <c r="P20" s="9">
        <f t="shared" si="3"/>
        <v>0.84865629420084865</v>
      </c>
      <c r="Q20" s="9">
        <f t="shared" si="4"/>
        <v>1.1783333333333335</v>
      </c>
      <c r="R20" s="34">
        <f t="shared" si="5"/>
        <v>20.532168110583687</v>
      </c>
      <c r="S20" s="34">
        <f t="shared" si="6"/>
        <v>41.064336221167373</v>
      </c>
    </row>
    <row r="21" spans="3:32" ht="26.25" customHeight="1" x14ac:dyDescent="0.15">
      <c r="C21" s="17">
        <v>4</v>
      </c>
      <c r="D21" s="17">
        <v>4</v>
      </c>
      <c r="E21" s="17">
        <v>0</v>
      </c>
      <c r="F21" s="9">
        <f t="shared" si="7"/>
        <v>1.9756179847045698</v>
      </c>
      <c r="G21" s="9">
        <f t="shared" si="8"/>
        <v>0.50617073125578882</v>
      </c>
      <c r="H21" s="34">
        <f t="shared" si="0"/>
        <v>54.73442651166782</v>
      </c>
      <c r="I21" s="34">
        <f t="shared" si="1"/>
        <v>109.46885302333564</v>
      </c>
      <c r="K21" s="37"/>
      <c r="M21" s="17">
        <v>0</v>
      </c>
      <c r="N21" s="17">
        <v>1</v>
      </c>
      <c r="O21" s="17">
        <v>3</v>
      </c>
      <c r="P21" s="9">
        <f>SQRT(M21^2*$M$6^2+N21^2*$N$6^2+O21^2*$O$6^2+2*$M$6*$N$6*M21*N21*COS(RADIANS($R$6))+2*$M$6*$O$6*M21*O21*COS(RADIANS($Q$6))+2*$N$6*$O$6*N21*O21*COS(RADIANS($P$6)))</f>
        <v>0.89456228010420913</v>
      </c>
      <c r="Q21" s="9">
        <f t="shared" si="4"/>
        <v>1.117865152869522</v>
      </c>
      <c r="R21" s="34">
        <f t="shared" si="5"/>
        <v>21.697441406855027</v>
      </c>
      <c r="S21" s="34">
        <f t="shared" si="6"/>
        <v>43.394882813710055</v>
      </c>
    </row>
    <row r="22" spans="3:32" ht="26.25" customHeight="1" x14ac:dyDescent="0.15">
      <c r="C22" s="17">
        <v>5</v>
      </c>
      <c r="D22" s="17">
        <v>3</v>
      </c>
      <c r="E22" s="17">
        <v>1</v>
      </c>
      <c r="F22" s="9">
        <f t="shared" ref="F22:F31" si="9">SQRT(C22^2*$C$6^2+D22^2*$D$6^2+E22^2*$E$6^2+2*$C$6*$D$6*C22*D22*COS(RADIANS($H$6))+2*$C$6*$E$6*C22*E22*COS(RADIANS($G$6))+2*$D$6*$E$6*D22*E22*COS(RADIANS($F$6)))</f>
        <v>2.066150744380153</v>
      </c>
      <c r="G22" s="9">
        <f t="shared" ref="G22:G31" si="10">1/F22</f>
        <v>0.48399179136370363</v>
      </c>
      <c r="H22" s="34">
        <f t="shared" ref="H22:H31" si="11">DEGREES(ASIN(F22*$D$9/2))</f>
        <v>58.638432877887873</v>
      </c>
      <c r="I22" s="34">
        <f t="shared" ref="I22:I31" si="12">H22*2</f>
        <v>117.27686575577575</v>
      </c>
      <c r="K22" s="58"/>
      <c r="M22" s="59"/>
      <c r="N22" s="59"/>
      <c r="O22" s="59"/>
      <c r="P22" s="57"/>
      <c r="Q22" s="57"/>
      <c r="R22" s="58"/>
      <c r="S22" s="58"/>
    </row>
    <row r="23" spans="3:32" ht="26.25" customHeight="1" x14ac:dyDescent="0.15">
      <c r="C23" s="17">
        <v>6</v>
      </c>
      <c r="D23" s="17">
        <v>2</v>
      </c>
      <c r="E23" s="17">
        <v>0</v>
      </c>
      <c r="F23" s="9">
        <f t="shared" si="9"/>
        <v>2.2088080556852789</v>
      </c>
      <c r="G23" s="9">
        <f t="shared" si="10"/>
        <v>0.45273286532348855</v>
      </c>
      <c r="H23" s="34">
        <f t="shared" si="11"/>
        <v>65.903285727939149</v>
      </c>
      <c r="I23" s="34">
        <f t="shared" si="12"/>
        <v>131.8065714558783</v>
      </c>
      <c r="K23" s="58"/>
      <c r="M23" s="59"/>
      <c r="N23" s="59"/>
      <c r="O23" s="59"/>
      <c r="P23" s="57"/>
      <c r="Q23" s="57"/>
      <c r="R23" s="58"/>
      <c r="S23" s="58"/>
    </row>
    <row r="24" spans="3:32" ht="26.25" customHeight="1" x14ac:dyDescent="0.15">
      <c r="C24" s="17">
        <v>5</v>
      </c>
      <c r="D24" s="17">
        <v>3</v>
      </c>
      <c r="E24" s="17">
        <v>3</v>
      </c>
      <c r="F24" s="9">
        <f t="shared" si="9"/>
        <v>2.2901409353737807</v>
      </c>
      <c r="G24" s="9">
        <f t="shared" si="10"/>
        <v>0.4366543493257925</v>
      </c>
      <c r="H24" s="34">
        <f t="shared" si="11"/>
        <v>71.168314323738244</v>
      </c>
      <c r="I24" s="34">
        <f t="shared" si="12"/>
        <v>142.33662864747649</v>
      </c>
      <c r="K24" s="58"/>
      <c r="M24" s="59"/>
      <c r="N24" s="59"/>
      <c r="O24" s="59"/>
      <c r="P24" s="57"/>
      <c r="Q24" s="57"/>
      <c r="R24" s="58"/>
      <c r="S24" s="58"/>
    </row>
    <row r="25" spans="3:32" ht="26.25" customHeight="1" x14ac:dyDescent="0.15">
      <c r="C25" s="17">
        <v>4</v>
      </c>
      <c r="D25" s="17">
        <v>4</v>
      </c>
      <c r="E25" s="17">
        <v>4</v>
      </c>
      <c r="F25" s="9">
        <f t="shared" si="9"/>
        <v>2.4196279945959089</v>
      </c>
      <c r="G25" s="9">
        <f t="shared" si="10"/>
        <v>0.41328667143603842</v>
      </c>
      <c r="H25" s="34">
        <f t="shared" si="11"/>
        <v>89.690284666417796</v>
      </c>
      <c r="I25" s="34">
        <f t="shared" si="12"/>
        <v>179.38056933283559</v>
      </c>
      <c r="K25" s="58"/>
      <c r="M25" s="59"/>
      <c r="N25" s="59"/>
      <c r="O25" s="59"/>
      <c r="P25" s="57"/>
      <c r="Q25" s="57"/>
      <c r="R25" s="58"/>
      <c r="S25" s="58"/>
    </row>
    <row r="26" spans="3:32" ht="26.25" customHeight="1" x14ac:dyDescent="0.15">
      <c r="C26" s="17">
        <v>5</v>
      </c>
      <c r="D26" s="17">
        <v>5</v>
      </c>
      <c r="E26" s="17">
        <v>1</v>
      </c>
      <c r="F26" s="9">
        <f t="shared" si="9"/>
        <v>2.4940954491050924</v>
      </c>
      <c r="G26" s="9">
        <f t="shared" si="10"/>
        <v>0.40094696470370067</v>
      </c>
      <c r="H26" s="34" t="e">
        <f t="shared" si="11"/>
        <v>#NUM!</v>
      </c>
      <c r="I26" s="34" t="e">
        <f t="shared" si="12"/>
        <v>#NUM!</v>
      </c>
      <c r="K26" s="58"/>
      <c r="M26" s="59"/>
      <c r="N26" s="59"/>
      <c r="O26" s="59"/>
      <c r="P26" s="57"/>
      <c r="Q26" s="57"/>
      <c r="R26" s="58"/>
      <c r="S26" s="58"/>
    </row>
    <row r="27" spans="3:32" ht="26.25" customHeight="1" x14ac:dyDescent="0.15">
      <c r="C27" s="17">
        <v>7</v>
      </c>
      <c r="D27" s="17">
        <v>1</v>
      </c>
      <c r="E27" s="17">
        <v>1</v>
      </c>
      <c r="F27" s="9">
        <f t="shared" si="9"/>
        <v>2.4940954491050924</v>
      </c>
      <c r="G27" s="9">
        <f t="shared" si="10"/>
        <v>0.40094696470370067</v>
      </c>
      <c r="H27" s="34" t="e">
        <f t="shared" si="11"/>
        <v>#NUM!</v>
      </c>
      <c r="I27" s="34" t="e">
        <f t="shared" si="12"/>
        <v>#NUM!</v>
      </c>
      <c r="K27" s="58"/>
    </row>
    <row r="28" spans="3:32" ht="26.25" customHeight="1" x14ac:dyDescent="0.15">
      <c r="C28" s="17">
        <v>6</v>
      </c>
      <c r="D28" s="17">
        <v>4</v>
      </c>
      <c r="E28" s="17">
        <v>2</v>
      </c>
      <c r="F28" s="9">
        <f t="shared" si="9"/>
        <v>2.6134969365974499</v>
      </c>
      <c r="G28" s="9">
        <f t="shared" si="10"/>
        <v>0.38262910738357886</v>
      </c>
      <c r="H28" s="34" t="e">
        <f t="shared" si="11"/>
        <v>#NUM!</v>
      </c>
      <c r="I28" s="34" t="e">
        <f t="shared" si="12"/>
        <v>#NUM!</v>
      </c>
      <c r="K28" s="58"/>
      <c r="L28" s="58"/>
      <c r="M28" s="58"/>
      <c r="N28" s="58"/>
    </row>
    <row r="29" spans="3:32" ht="26.25" customHeight="1" x14ac:dyDescent="0.15">
      <c r="C29" s="17">
        <v>5</v>
      </c>
      <c r="D29" s="17">
        <v>5</v>
      </c>
      <c r="E29" s="17">
        <v>3</v>
      </c>
      <c r="F29" s="9">
        <f t="shared" si="9"/>
        <v>2.6825880627891356</v>
      </c>
      <c r="G29" s="9">
        <f t="shared" si="10"/>
        <v>0.37277434201369025</v>
      </c>
      <c r="H29" s="34" t="e">
        <f t="shared" si="11"/>
        <v>#NUM!</v>
      </c>
      <c r="I29" s="34" t="e">
        <f t="shared" si="12"/>
        <v>#NUM!</v>
      </c>
      <c r="K29" s="58"/>
      <c r="L29" s="58"/>
      <c r="M29" s="58"/>
      <c r="N29" s="58"/>
    </row>
    <row r="30" spans="3:32" ht="26.25" customHeight="1" x14ac:dyDescent="0.15">
      <c r="C30" s="17">
        <v>7</v>
      </c>
      <c r="D30" s="17">
        <v>3</v>
      </c>
      <c r="E30" s="17">
        <v>1</v>
      </c>
      <c r="F30" s="9">
        <f t="shared" si="9"/>
        <v>2.6825880627891356</v>
      </c>
      <c r="G30" s="9">
        <f t="shared" si="10"/>
        <v>0.37277434201369025</v>
      </c>
      <c r="H30" s="34" t="e">
        <f t="shared" si="11"/>
        <v>#NUM!</v>
      </c>
      <c r="I30" s="34" t="e">
        <f t="shared" si="12"/>
        <v>#NUM!</v>
      </c>
      <c r="K30" s="58"/>
      <c r="L30" s="58"/>
      <c r="M30" s="58"/>
      <c r="N30" s="58"/>
      <c r="O30" s="65" t="s">
        <v>30</v>
      </c>
      <c r="P30" s="65"/>
      <c r="Q30" s="65"/>
      <c r="R30" s="65"/>
      <c r="S30" s="65"/>
      <c r="T30" s="65"/>
      <c r="U30" s="65"/>
      <c r="V30" s="65"/>
    </row>
    <row r="31" spans="3:32" ht="26.25" customHeight="1" x14ac:dyDescent="0.15">
      <c r="C31" s="17">
        <v>8</v>
      </c>
      <c r="D31" s="17">
        <v>0</v>
      </c>
      <c r="E31" s="17">
        <v>0</v>
      </c>
      <c r="F31" s="9">
        <f t="shared" si="9"/>
        <v>2.7939457480374044</v>
      </c>
      <c r="G31" s="9">
        <f t="shared" si="10"/>
        <v>0.35791675650912186</v>
      </c>
      <c r="H31" s="34" t="e">
        <f t="shared" si="11"/>
        <v>#NUM!</v>
      </c>
      <c r="I31" s="34" t="e">
        <f t="shared" si="12"/>
        <v>#NUM!</v>
      </c>
      <c r="K31" s="9">
        <v>1.4729764066004072</v>
      </c>
      <c r="L31" s="60">
        <f>F31-K31</f>
        <v>1.3209693414369972</v>
      </c>
      <c r="M31" s="57">
        <v>74.998727955081819</v>
      </c>
      <c r="N31" s="60" t="e">
        <f>I31-M31</f>
        <v>#NUM!</v>
      </c>
      <c r="O31" s="65"/>
      <c r="P31" s="65"/>
      <c r="Q31" s="65"/>
      <c r="R31" s="65"/>
      <c r="S31" s="65"/>
      <c r="T31" s="65"/>
      <c r="U31" s="65"/>
      <c r="V31" s="65"/>
    </row>
    <row r="32" spans="3:32" ht="26.25" customHeight="1" x14ac:dyDescent="0.15">
      <c r="C32" s="17">
        <v>12</v>
      </c>
      <c r="D32" s="17">
        <v>0</v>
      </c>
      <c r="E32" s="17">
        <v>0</v>
      </c>
      <c r="F32" s="9">
        <f t="shared" ref="F32" si="13">SQRT(C32^2*$C$6^2+D32^2*$D$6^2+E32^2*$E$6^2+2*$C$6*$D$6*C32*D32*COS(RADIANS($H$6))+2*$C$6*$E$6*C32*E32*COS(RADIANS($G$6))+2*$D$6*$E$6*D32*E32*COS(RADIANS($F$6)))</f>
        <v>4.190918622056107</v>
      </c>
      <c r="G32" s="9">
        <f t="shared" ref="G32" si="14">1/F32</f>
        <v>0.23861117100608123</v>
      </c>
      <c r="H32" s="34" t="e">
        <f t="shared" ref="H32" si="15">DEGREES(ASIN(F32*$D$9/2))</f>
        <v>#NUM!</v>
      </c>
      <c r="I32" s="34" t="e">
        <f t="shared" ref="I32" si="16">H32*2</f>
        <v>#NUM!</v>
      </c>
      <c r="K32" s="9">
        <v>2.2094646099006106</v>
      </c>
      <c r="L32" s="60">
        <f>F32-K32</f>
        <v>1.9814540121554964</v>
      </c>
      <c r="M32" s="57">
        <v>131.8827855413974</v>
      </c>
      <c r="N32" s="60" t="e">
        <f>I32-M32</f>
        <v>#NUM!</v>
      </c>
    </row>
    <row r="33" spans="2:10" ht="26.25" customHeight="1" x14ac:dyDescent="0.15"/>
    <row r="34" spans="2:10" ht="26.25" customHeight="1" x14ac:dyDescent="0.15"/>
    <row r="35" spans="2:10" ht="26.25" customHeight="1" x14ac:dyDescent="0.15"/>
    <row r="36" spans="2:10" ht="26.25" customHeight="1" x14ac:dyDescent="0.15">
      <c r="B36" s="1"/>
      <c r="C36" s="2" t="s">
        <v>7</v>
      </c>
      <c r="D36" s="2" t="s">
        <v>8</v>
      </c>
      <c r="E36" s="2" t="s">
        <v>9</v>
      </c>
      <c r="F36" s="3" t="s">
        <v>10</v>
      </c>
      <c r="G36" s="3" t="s">
        <v>11</v>
      </c>
      <c r="H36" s="3" t="s">
        <v>12</v>
      </c>
    </row>
    <row r="37" spans="2:10" ht="26.25" customHeight="1" x14ac:dyDescent="0.15">
      <c r="B37" s="11" t="s">
        <v>28</v>
      </c>
      <c r="C37" s="20">
        <v>4.7539999999999996</v>
      </c>
      <c r="D37" s="20">
        <v>4.7539999999999996</v>
      </c>
      <c r="E37" s="20">
        <v>12.981999999999999</v>
      </c>
      <c r="F37" s="21">
        <v>90</v>
      </c>
      <c r="G37" s="21">
        <v>90</v>
      </c>
      <c r="H37" s="21">
        <v>120</v>
      </c>
    </row>
    <row r="38" spans="2:10" ht="26.25" customHeight="1" x14ac:dyDescent="0.15">
      <c r="B38" s="11" t="s">
        <v>29</v>
      </c>
      <c r="C38" s="22">
        <v>5.4315899999999999</v>
      </c>
      <c r="D38" s="22">
        <v>5.4315899999999999</v>
      </c>
      <c r="E38" s="22">
        <v>5.4315899999999999</v>
      </c>
      <c r="F38" s="21">
        <v>90</v>
      </c>
      <c r="G38" s="21">
        <v>90</v>
      </c>
      <c r="H38" s="21">
        <v>90</v>
      </c>
    </row>
    <row r="39" spans="2:10" ht="26.25" customHeight="1" x14ac:dyDescent="0.15">
      <c r="B39" s="11" t="s">
        <v>6</v>
      </c>
      <c r="C39" s="20">
        <v>3.6152000000000002</v>
      </c>
      <c r="D39" s="20">
        <v>3.6152000000000002</v>
      </c>
      <c r="E39" s="20">
        <v>3.6152000000000002</v>
      </c>
      <c r="F39" s="21">
        <v>90</v>
      </c>
      <c r="G39" s="21">
        <v>90</v>
      </c>
      <c r="H39" s="21">
        <v>90</v>
      </c>
    </row>
    <row r="40" spans="2:10" ht="26.25" customHeight="1" x14ac:dyDescent="0.15">
      <c r="B40" s="11" t="s">
        <v>39</v>
      </c>
      <c r="C40" s="20">
        <v>3.5350000000000001</v>
      </c>
      <c r="D40" s="20">
        <v>3.5350000000000001</v>
      </c>
      <c r="E40" s="20">
        <v>3.5350000000000001</v>
      </c>
      <c r="F40" s="21">
        <v>90</v>
      </c>
      <c r="G40" s="21">
        <v>90</v>
      </c>
      <c r="H40" s="21">
        <v>90</v>
      </c>
      <c r="I40" s="4" t="s">
        <v>40</v>
      </c>
      <c r="J40" s="4">
        <v>4</v>
      </c>
    </row>
    <row r="41" spans="2:10" ht="15.75" x14ac:dyDescent="0.15">
      <c r="B41" s="11" t="s">
        <v>41</v>
      </c>
      <c r="C41" s="36">
        <v>5.6753999999999998</v>
      </c>
      <c r="D41" s="36">
        <v>5.6753999999999998</v>
      </c>
      <c r="E41" s="36">
        <v>5.6753999999999998</v>
      </c>
      <c r="F41" s="21">
        <v>90</v>
      </c>
      <c r="G41" s="21">
        <v>90</v>
      </c>
      <c r="H41" s="21">
        <v>90</v>
      </c>
    </row>
    <row r="42" spans="2:10" ht="15.75" x14ac:dyDescent="0.15">
      <c r="B42" s="18"/>
      <c r="C42" s="18"/>
      <c r="D42" s="18"/>
      <c r="E42" s="18"/>
      <c r="F42" s="18"/>
      <c r="G42" s="18"/>
      <c r="H42" s="18"/>
    </row>
    <row r="43" spans="2:10" ht="15.75" x14ac:dyDescent="0.15">
      <c r="B43" s="1"/>
      <c r="C43" s="2" t="s">
        <v>21</v>
      </c>
      <c r="D43" s="3" t="s">
        <v>22</v>
      </c>
      <c r="E43" s="18"/>
      <c r="F43" s="18"/>
      <c r="G43" s="18"/>
      <c r="H43" s="18"/>
    </row>
    <row r="44" spans="2:10" ht="24" customHeight="1" x14ac:dyDescent="0.15">
      <c r="B44" s="11" t="s">
        <v>32</v>
      </c>
      <c r="C44" s="32">
        <f t="shared" ref="C44:C50" si="17">12.398/D44</f>
        <v>8.0475510434976041</v>
      </c>
      <c r="D44" s="33">
        <v>1.5405929</v>
      </c>
      <c r="E44" s="18"/>
      <c r="F44" s="18"/>
      <c r="G44" s="18"/>
      <c r="H44" s="18"/>
    </row>
    <row r="45" spans="2:10" ht="24" customHeight="1" x14ac:dyDescent="0.15">
      <c r="B45" s="11" t="s">
        <v>34</v>
      </c>
      <c r="C45" s="32">
        <f t="shared" si="17"/>
        <v>8.0282328563103018</v>
      </c>
      <c r="D45" s="33">
        <v>1.5443</v>
      </c>
      <c r="E45" s="18"/>
      <c r="F45" s="18"/>
      <c r="G45" s="18"/>
      <c r="H45" s="18"/>
    </row>
    <row r="46" spans="2:10" ht="24" customHeight="1" x14ac:dyDescent="0.15">
      <c r="B46" s="11" t="s">
        <v>35</v>
      </c>
      <c r="C46" s="32">
        <f t="shared" si="17"/>
        <v>8.0412504864444152</v>
      </c>
      <c r="D46" s="33">
        <v>1.5418000000000001</v>
      </c>
      <c r="E46" s="18"/>
      <c r="F46" s="18"/>
      <c r="G46" s="18"/>
      <c r="H46" s="18"/>
    </row>
    <row r="47" spans="2:10" ht="24" customHeight="1" x14ac:dyDescent="0.15">
      <c r="B47" s="11" t="s">
        <v>36</v>
      </c>
      <c r="C47" s="32">
        <f t="shared" si="17"/>
        <v>8.9535639488697907</v>
      </c>
      <c r="D47" s="33">
        <v>1.3847</v>
      </c>
      <c r="E47" s="18"/>
      <c r="F47" s="18"/>
      <c r="G47" s="18"/>
      <c r="H47" s="18"/>
    </row>
    <row r="48" spans="2:10" ht="24" customHeight="1" x14ac:dyDescent="0.15">
      <c r="B48" s="11" t="s">
        <v>33</v>
      </c>
      <c r="C48" s="32">
        <f t="shared" si="17"/>
        <v>17.480190621210838</v>
      </c>
      <c r="D48" s="33">
        <v>0.70926</v>
      </c>
      <c r="E48" s="18"/>
      <c r="F48" s="18"/>
      <c r="G48" s="18"/>
      <c r="H48" s="18"/>
    </row>
    <row r="49" spans="2:8" ht="24" customHeight="1" x14ac:dyDescent="0.15">
      <c r="B49" s="11" t="s">
        <v>37</v>
      </c>
      <c r="C49" s="32">
        <f t="shared" si="17"/>
        <v>17.37533985480842</v>
      </c>
      <c r="D49" s="33">
        <v>0.71353999999999995</v>
      </c>
      <c r="E49" s="18"/>
      <c r="F49" s="18"/>
      <c r="G49" s="18"/>
      <c r="H49" s="18"/>
    </row>
    <row r="50" spans="2:8" ht="20.25" customHeight="1" x14ac:dyDescent="0.15">
      <c r="B50" s="11" t="s">
        <v>38</v>
      </c>
      <c r="C50" s="32">
        <f t="shared" si="17"/>
        <v>17.445018221728176</v>
      </c>
      <c r="D50" s="33">
        <v>0.71069000000000004</v>
      </c>
      <c r="E50" s="18"/>
      <c r="F50" s="18"/>
      <c r="G50" s="18"/>
      <c r="H50" s="18"/>
    </row>
    <row r="51" spans="2:8" ht="20.25" customHeight="1" x14ac:dyDescent="0.15"/>
    <row r="52" spans="2:8" ht="20.25" customHeight="1" x14ac:dyDescent="0.15"/>
    <row r="53" spans="2:8" ht="20.25" customHeight="1" x14ac:dyDescent="0.15">
      <c r="C53" s="35"/>
    </row>
    <row r="54" spans="2:8" ht="20.25" customHeight="1" x14ac:dyDescent="0.15"/>
    <row r="55" spans="2:8" ht="20.25" customHeight="1" x14ac:dyDescent="0.15"/>
    <row r="56" spans="2:8" ht="20.25" customHeight="1" x14ac:dyDescent="0.15"/>
    <row r="57" spans="2:8" ht="20.25" customHeight="1" x14ac:dyDescent="0.15"/>
    <row r="58" spans="2:8" ht="20.25" customHeight="1" x14ac:dyDescent="0.15"/>
    <row r="59" spans="2:8" ht="20.25" customHeight="1" x14ac:dyDescent="0.15"/>
  </sheetData>
  <sortState xmlns:xlrd2="http://schemas.microsoft.com/office/spreadsheetml/2017/richdata2" ref="AA13:AE148">
    <sortCondition ref="AD13:AD148"/>
  </sortState>
  <mergeCells count="5">
    <mergeCell ref="O30:V31"/>
    <mergeCell ref="H11:I11"/>
    <mergeCell ref="C11:E11"/>
    <mergeCell ref="M11:O11"/>
    <mergeCell ref="R11:S11"/>
  </mergeCells>
  <phoneticPr fontId="1"/>
  <pageMargins left="0.75" right="0.75" top="1" bottom="1" header="0.51200000000000001" footer="0.51200000000000001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21"/>
  <sheetViews>
    <sheetView zoomScale="85" zoomScaleNormal="85" workbookViewId="0">
      <selection activeCell="X13" sqref="X13"/>
    </sheetView>
  </sheetViews>
  <sheetFormatPr defaultColWidth="9" defaultRowHeight="14.25" x14ac:dyDescent="0.15"/>
  <cols>
    <col min="1" max="1" width="2.375" style="4" customWidth="1"/>
    <col min="2" max="2" width="20.375" style="4" customWidth="1"/>
    <col min="3" max="9" width="10.5" style="4" customWidth="1"/>
    <col min="10" max="10" width="4.5" style="4" customWidth="1"/>
    <col min="11" max="17" width="9.75" style="4" customWidth="1"/>
    <col min="18" max="18" width="13.75" style="4" customWidth="1"/>
    <col min="19" max="16384" width="9" style="4"/>
  </cols>
  <sheetData>
    <row r="2" spans="2:18" ht="24" customHeight="1" x14ac:dyDescent="0.15">
      <c r="B2" s="1"/>
      <c r="C2" s="2" t="s">
        <v>7</v>
      </c>
      <c r="D2" s="2" t="s">
        <v>8</v>
      </c>
      <c r="E2" s="2" t="s">
        <v>9</v>
      </c>
      <c r="F2" s="3" t="s">
        <v>10</v>
      </c>
      <c r="G2" s="3" t="s">
        <v>11</v>
      </c>
      <c r="H2" s="3" t="s">
        <v>12</v>
      </c>
      <c r="I2" s="2" t="s">
        <v>13</v>
      </c>
      <c r="K2" s="68" t="s">
        <v>31</v>
      </c>
      <c r="L2" s="69"/>
      <c r="M2" s="69"/>
      <c r="N2" s="1"/>
      <c r="O2" s="1"/>
      <c r="P2" s="68" t="s">
        <v>2</v>
      </c>
      <c r="Q2" s="69"/>
    </row>
    <row r="3" spans="2:18" ht="18.75" x14ac:dyDescent="0.15">
      <c r="B3" s="5" t="s">
        <v>0</v>
      </c>
      <c r="C3" s="24">
        <v>5.4315899999999999</v>
      </c>
      <c r="D3" s="24">
        <v>5.4315899999999999</v>
      </c>
      <c r="E3" s="24">
        <v>5.4315899999999999</v>
      </c>
      <c r="F3" s="25">
        <v>90</v>
      </c>
      <c r="G3" s="25">
        <v>90</v>
      </c>
      <c r="H3" s="25">
        <v>90</v>
      </c>
      <c r="I3" s="8">
        <f>C3*D3*E3*SQRT(1-COS(RADIANS(F3))^2-COS(RADIANS(G3))^2-COS(RADIANS(H3))^2+2*COS(RADIANS(F3))*COS(RADIANS(G3))*COS(RADIANS(H3)))</f>
        <v>160.24369115976867</v>
      </c>
      <c r="K3" s="14" t="s">
        <v>3</v>
      </c>
      <c r="L3" s="14" t="s">
        <v>4</v>
      </c>
      <c r="M3" s="14" t="s">
        <v>5</v>
      </c>
      <c r="N3" s="14" t="s">
        <v>24</v>
      </c>
      <c r="O3" s="14" t="s">
        <v>25</v>
      </c>
      <c r="P3" s="26" t="s">
        <v>26</v>
      </c>
      <c r="Q3" s="14" t="s">
        <v>27</v>
      </c>
    </row>
    <row r="4" spans="2:18" ht="29.45" customHeight="1" x14ac:dyDescent="0.15">
      <c r="K4" s="29">
        <v>1</v>
      </c>
      <c r="L4" s="29">
        <v>1</v>
      </c>
      <c r="M4" s="29">
        <v>1</v>
      </c>
      <c r="N4" s="9">
        <f>SQRT(K4^2*$C$6^2+L4^2*$D$6^2+M4^2*$E$6^2+2*$C$6*$D$6*K4*L4*COS(RADIANS($H$6))+2*$C$6*$E$6*K4*M4*COS(RADIANS($G$6))+2*$D$6*$E$6*L4*M4*COS(RADIANS($F$6)))</f>
        <v>0.31888467420568883</v>
      </c>
      <c r="O4" s="9">
        <f>1/N4</f>
        <v>3.135929948627679</v>
      </c>
      <c r="P4" s="27">
        <v>14.3</v>
      </c>
      <c r="Q4" s="28">
        <f>P4*2</f>
        <v>28.6</v>
      </c>
    </row>
    <row r="5" spans="2:18" ht="24" customHeight="1" x14ac:dyDescent="0.15">
      <c r="B5" s="1"/>
      <c r="C5" s="2" t="s">
        <v>14</v>
      </c>
      <c r="D5" s="2" t="s">
        <v>15</v>
      </c>
      <c r="E5" s="2" t="s">
        <v>16</v>
      </c>
      <c r="F5" s="3" t="s">
        <v>17</v>
      </c>
      <c r="G5" s="3" t="s">
        <v>18</v>
      </c>
      <c r="H5" s="3" t="s">
        <v>19</v>
      </c>
      <c r="I5" s="2" t="s">
        <v>20</v>
      </c>
    </row>
    <row r="6" spans="2:18" ht="31.5" x14ac:dyDescent="0.15">
      <c r="B6" s="5" t="s">
        <v>1</v>
      </c>
      <c r="C6" s="9">
        <f>D3*E3*SIN(RADIANS(F3))/$I$3</f>
        <v>0.18410815249310056</v>
      </c>
      <c r="D6" s="9">
        <f>E3*C3*SIN(RADIANS(G3))/$I$3</f>
        <v>0.18410815249310056</v>
      </c>
      <c r="E6" s="9">
        <f>D3*C3*SIN(RADIANS(H3))/$I$3</f>
        <v>0.18410815249310056</v>
      </c>
      <c r="F6" s="8">
        <f>DEGREES(ACOS((COS(RADIANS(G3))*COS(RADIANS(H3))-COS(RADIANS(F3)))/(SIN(RADIANS(G3))*SIN(RADIANS(H3)))))</f>
        <v>90</v>
      </c>
      <c r="G6" s="8">
        <f>DEGREES(ACOS((COS(RADIANS(F3))*COS(RADIANS(H3))-COS(RADIANS(G3)))/(SIN(RADIANS(F3))*SIN(RADIANS(H3)))))</f>
        <v>90</v>
      </c>
      <c r="H6" s="8">
        <f>DEGREES(ACOS((COS(RADIANS(F3))*COS(RADIANS(G3))-COS(RADIANS(H3)))/(SIN(RADIANS(F3))*SIN(RADIANS(G3)))))</f>
        <v>90</v>
      </c>
      <c r="I6" s="10">
        <f>C6*D6*E6*SQRT(1-COS(RADIANS(F6))^2-COS(RADIANS(G6))^2-COS(RADIANS(H6))^2+2*COS(RADIANS(F6))*COS(RADIANS(G6))*COS(RADIANS(H6)))</f>
        <v>6.2404952904071866E-3</v>
      </c>
    </row>
    <row r="8" spans="2:18" ht="24" customHeight="1" x14ac:dyDescent="0.15">
      <c r="B8" s="1"/>
      <c r="C8" s="2" t="s">
        <v>21</v>
      </c>
      <c r="D8" s="3" t="s">
        <v>22</v>
      </c>
    </row>
    <row r="9" spans="2:18" ht="23.25" customHeight="1" x14ac:dyDescent="0.15">
      <c r="B9" s="11" t="s">
        <v>23</v>
      </c>
      <c r="C9" s="30">
        <f>12.39842/D9</f>
        <v>8.0034047075388486</v>
      </c>
      <c r="D9" s="31">
        <f>2*SIN(RADIANS(P4))/$N$4</f>
        <v>1.5491432025574372</v>
      </c>
    </row>
    <row r="11" spans="2:18" ht="24" customHeight="1" x14ac:dyDescent="0.15">
      <c r="B11" s="18"/>
      <c r="C11" s="18"/>
      <c r="D11" s="18"/>
      <c r="E11" s="18"/>
      <c r="F11" s="18"/>
      <c r="G11" s="18"/>
      <c r="H11" s="18"/>
      <c r="K11" s="75" t="s">
        <v>30</v>
      </c>
      <c r="L11" s="76"/>
      <c r="M11" s="77"/>
      <c r="N11" s="77"/>
      <c r="O11" s="77"/>
      <c r="P11" s="77"/>
      <c r="Q11" s="77"/>
      <c r="R11" s="77"/>
    </row>
    <row r="12" spans="2:18" ht="24" customHeight="1" x14ac:dyDescent="0.15">
      <c r="B12" s="18"/>
      <c r="C12" s="18"/>
      <c r="D12" s="18"/>
      <c r="E12" s="18"/>
      <c r="F12" s="18"/>
      <c r="G12" s="18"/>
      <c r="H12" s="18"/>
      <c r="K12" s="76"/>
      <c r="L12" s="76"/>
      <c r="M12" s="77"/>
      <c r="N12" s="77"/>
      <c r="O12" s="77"/>
      <c r="P12" s="77"/>
      <c r="Q12" s="77"/>
      <c r="R12" s="77"/>
    </row>
    <row r="13" spans="2:18" ht="24" customHeight="1" x14ac:dyDescent="0.15">
      <c r="B13" s="18"/>
      <c r="C13" s="18"/>
      <c r="D13" s="18"/>
      <c r="E13" s="18"/>
      <c r="F13" s="18"/>
      <c r="G13" s="18"/>
      <c r="H13" s="18"/>
    </row>
    <row r="14" spans="2:18" ht="24" customHeight="1" x14ac:dyDescent="0.15">
      <c r="B14" s="18"/>
      <c r="C14" s="18"/>
      <c r="D14" s="18"/>
      <c r="E14" s="18"/>
      <c r="F14" s="18"/>
      <c r="G14" s="18"/>
      <c r="H14" s="18"/>
    </row>
    <row r="15" spans="2:18" ht="20.25" customHeight="1" x14ac:dyDescent="0.15">
      <c r="B15" s="18"/>
      <c r="C15" s="18"/>
      <c r="D15" s="18"/>
      <c r="E15" s="18"/>
      <c r="F15" s="18"/>
      <c r="G15" s="18"/>
      <c r="H15" s="18"/>
    </row>
    <row r="16" spans="2:18" ht="20.25" customHeight="1" x14ac:dyDescent="0.15">
      <c r="B16" s="18"/>
      <c r="C16" s="18"/>
      <c r="D16" s="18"/>
      <c r="E16" s="18"/>
      <c r="F16" s="18"/>
      <c r="G16" s="18"/>
      <c r="H16" s="18"/>
    </row>
    <row r="17" ht="20.25" customHeight="1" x14ac:dyDescent="0.15"/>
    <row r="18" ht="20.25" customHeight="1" x14ac:dyDescent="0.15"/>
    <row r="19" ht="20.25" customHeight="1" x14ac:dyDescent="0.15"/>
    <row r="20" ht="20.25" customHeight="1" x14ac:dyDescent="0.15"/>
    <row r="21" ht="20.25" customHeight="1" x14ac:dyDescent="0.15"/>
  </sheetData>
  <mergeCells count="3">
    <mergeCell ref="K2:M2"/>
    <mergeCell ref="P2:Q2"/>
    <mergeCell ref="K11:R12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81"/>
  <sheetViews>
    <sheetView tabSelected="1" zoomScale="85" zoomScaleNormal="85" workbookViewId="0">
      <selection activeCell="Q14" sqref="Q14"/>
    </sheetView>
  </sheetViews>
  <sheetFormatPr defaultColWidth="9" defaultRowHeight="14.25" x14ac:dyDescent="0.15"/>
  <cols>
    <col min="1" max="1" width="2.375" style="4" customWidth="1"/>
    <col min="2" max="2" width="18.5" style="4" bestFit="1" customWidth="1"/>
    <col min="3" max="9" width="10.5" style="4" customWidth="1"/>
    <col min="10" max="10" width="4.5" style="4" customWidth="1"/>
    <col min="11" max="16384" width="9" style="4"/>
  </cols>
  <sheetData>
    <row r="2" spans="2:9" ht="24" customHeight="1" x14ac:dyDescent="0.15">
      <c r="B2" s="1"/>
      <c r="C2" s="2" t="s">
        <v>7</v>
      </c>
      <c r="D2" s="2" t="s">
        <v>8</v>
      </c>
      <c r="E2" s="2" t="s">
        <v>9</v>
      </c>
      <c r="F2" s="3" t="s">
        <v>10</v>
      </c>
      <c r="G2" s="3" t="s">
        <v>11</v>
      </c>
      <c r="H2" s="3" t="s">
        <v>12</v>
      </c>
      <c r="I2" s="2" t="s">
        <v>13</v>
      </c>
    </row>
    <row r="3" spans="2:9" ht="30" customHeight="1" x14ac:dyDescent="0.15">
      <c r="B3" s="5" t="s">
        <v>0</v>
      </c>
      <c r="C3" s="38">
        <v>5.43119</v>
      </c>
      <c r="D3" s="38">
        <f>C3</f>
        <v>5.43119</v>
      </c>
      <c r="E3" s="38">
        <f>D3</f>
        <v>5.43119</v>
      </c>
      <c r="F3" s="7">
        <v>90</v>
      </c>
      <c r="G3" s="7">
        <v>90</v>
      </c>
      <c r="H3" s="7">
        <v>90</v>
      </c>
      <c r="I3" s="8">
        <f>C3*D3*E3*SQRT(1-COS(RADIANS(F3))^2-COS(RADIANS(G3))^2-COS(RADIANS(H3))^2+2*COS(RADIANS(F3))*COS(RADIANS(G3))*COS(RADIANS(H3)))</f>
        <v>160.20829116295417</v>
      </c>
    </row>
    <row r="4" spans="2:9" ht="12.75" customHeight="1" x14ac:dyDescent="0.15"/>
    <row r="5" spans="2:9" ht="24" customHeight="1" x14ac:dyDescent="0.15">
      <c r="B5" s="1"/>
      <c r="C5" s="2" t="s">
        <v>14</v>
      </c>
      <c r="D5" s="2" t="s">
        <v>15</v>
      </c>
      <c r="E5" s="2" t="s">
        <v>16</v>
      </c>
      <c r="F5" s="3" t="s">
        <v>17</v>
      </c>
      <c r="G5" s="3" t="s">
        <v>18</v>
      </c>
      <c r="H5" s="3" t="s">
        <v>19</v>
      </c>
      <c r="I5" s="2" t="s">
        <v>20</v>
      </c>
    </row>
    <row r="6" spans="2:9" ht="36" customHeight="1" x14ac:dyDescent="0.15">
      <c r="B6" s="5" t="s">
        <v>1</v>
      </c>
      <c r="C6" s="9">
        <f>D3*E3*SIN(RADIANS(F3))/$I$3</f>
        <v>0.1841217118163791</v>
      </c>
      <c r="D6" s="9">
        <f>E3*C3*SIN(RADIANS(G3))/$I$3</f>
        <v>0.1841217118163791</v>
      </c>
      <c r="E6" s="9">
        <f>D3*C3*SIN(RADIANS(H3))/$I$3</f>
        <v>0.1841217118163791</v>
      </c>
      <c r="F6" s="8">
        <f>DEGREES(ACOS((COS(RADIANS(G3))*COS(RADIANS(H3))-COS(RADIANS(F3)))/(SIN(RADIANS(G3))*SIN(RADIANS(H3)))))</f>
        <v>90</v>
      </c>
      <c r="G6" s="8">
        <f>DEGREES(ACOS((COS(RADIANS(F3))*COS(RADIANS(H3))-COS(RADIANS(G3)))/(SIN(RADIANS(F3))*SIN(RADIANS(H3)))))</f>
        <v>90</v>
      </c>
      <c r="H6" s="8">
        <f>DEGREES(ACOS((COS(RADIANS(F3))*COS(RADIANS(G3))-COS(RADIANS(H3)))/(SIN(RADIANS(F3))*SIN(RADIANS(G3)))))</f>
        <v>90</v>
      </c>
      <c r="I6" s="10">
        <f>C6*D6*E6*SQRT(1-COS(RADIANS(F6))^2-COS(RADIANS(G6))^2-COS(RADIANS(H6))^2+2*COS(RADIANS(F6))*COS(RADIANS(G6))*COS(RADIANS(H6)))</f>
        <v>6.2418742047679705E-3</v>
      </c>
    </row>
    <row r="8" spans="2:9" ht="24" customHeight="1" x14ac:dyDescent="0.15">
      <c r="B8" s="1"/>
      <c r="C8" s="2" t="s">
        <v>21</v>
      </c>
      <c r="D8" s="3" t="s">
        <v>22</v>
      </c>
    </row>
    <row r="9" spans="2:9" ht="23.25" customHeight="1" x14ac:dyDescent="0.15">
      <c r="B9" s="11" t="s">
        <v>23</v>
      </c>
      <c r="C9" s="38">
        <v>8</v>
      </c>
      <c r="D9" s="12">
        <f>12.398419/C9</f>
        <v>1.5498023750000001</v>
      </c>
      <c r="G9" s="4">
        <f>C9*1000</f>
        <v>8000</v>
      </c>
    </row>
    <row r="11" spans="2:9" ht="25.5" customHeight="1" x14ac:dyDescent="0.15">
      <c r="B11" s="13"/>
      <c r="C11" s="68" t="s">
        <v>31</v>
      </c>
      <c r="D11" s="69"/>
      <c r="E11" s="69"/>
      <c r="F11" s="1"/>
      <c r="G11" s="1"/>
      <c r="H11" s="66" t="s">
        <v>2</v>
      </c>
      <c r="I11" s="67"/>
    </row>
    <row r="12" spans="2:9" ht="26.25" customHeight="1" x14ac:dyDescent="0.15">
      <c r="C12" s="14" t="s">
        <v>3</v>
      </c>
      <c r="D12" s="14" t="s">
        <v>4</v>
      </c>
      <c r="E12" s="14" t="s">
        <v>5</v>
      </c>
      <c r="F12" s="14" t="s">
        <v>24</v>
      </c>
      <c r="G12" s="14" t="s">
        <v>25</v>
      </c>
      <c r="H12" s="15" t="s">
        <v>26</v>
      </c>
      <c r="I12" s="16" t="s">
        <v>27</v>
      </c>
    </row>
    <row r="13" spans="2:9" ht="26.25" customHeight="1" x14ac:dyDescent="0.15">
      <c r="C13" s="17">
        <v>1</v>
      </c>
      <c r="D13" s="17">
        <v>1</v>
      </c>
      <c r="E13" s="17">
        <v>1</v>
      </c>
      <c r="F13" s="9">
        <f>SQRT(C13^2*$C$6^2+D13^2*$D$6^2+E13^2*$E$6^2+2*$C$6*$D$6*C13*D13*COS(RADIANS($H$6))+2*$C$6*$E$6*C13*E13*COS(RADIANS($G$6))+2*$D$6*$E$6*D13*E13*COS(RADIANS($F$6)))</f>
        <v>0.3189081596425235</v>
      </c>
      <c r="G13" s="9">
        <f>1/F13</f>
        <v>3.1356990085200036</v>
      </c>
      <c r="H13" s="34">
        <f>DEGREES(ASIN(F13*$D$9/2))</f>
        <v>14.307290511639836</v>
      </c>
      <c r="I13" s="34">
        <f>H13*2</f>
        <v>28.614581023279673</v>
      </c>
    </row>
    <row r="14" spans="2:9" ht="26.25" customHeight="1" x14ac:dyDescent="0.15">
      <c r="C14" s="17">
        <v>2</v>
      </c>
      <c r="D14" s="17">
        <v>2</v>
      </c>
      <c r="E14" s="17">
        <v>0</v>
      </c>
      <c r="F14" s="9">
        <f t="shared" ref="F14:F21" si="0">SQRT(C14^2*$C$6^2+D14^2*$D$6^2+E14^2*$E$6^2+2*$C$6*$D$6*C14*D14*COS(RADIANS($H$6))+2*$C$6*$E$6*C14*E14*COS(RADIANS($G$6))+2*$D$6*$E$6*D14*E14*COS(RADIANS($F$6)))</f>
        <v>0.5207748439561477</v>
      </c>
      <c r="G14" s="9">
        <f t="shared" ref="G14:G21" si="1">1/F14</f>
        <v>1.9202156394562826</v>
      </c>
      <c r="H14" s="34">
        <f t="shared" ref="H14:H21" si="2">DEGREES(ASIN(F14*$D$9/2))</f>
        <v>23.800234744752778</v>
      </c>
      <c r="I14" s="34">
        <f t="shared" ref="I14:I21" si="3">H14*2</f>
        <v>47.600469489505556</v>
      </c>
    </row>
    <row r="15" spans="2:9" ht="26.25" customHeight="1" x14ac:dyDescent="0.15">
      <c r="C15" s="17">
        <v>3</v>
      </c>
      <c r="D15" s="17">
        <v>1</v>
      </c>
      <c r="E15" s="17">
        <v>1</v>
      </c>
      <c r="F15" s="9">
        <f t="shared" si="0"/>
        <v>0.61066263385287567</v>
      </c>
      <c r="G15" s="9">
        <f t="shared" si="1"/>
        <v>1.6375653995573041</v>
      </c>
      <c r="H15" s="34">
        <f t="shared" si="2"/>
        <v>28.24242490225825</v>
      </c>
      <c r="I15" s="34">
        <f t="shared" si="3"/>
        <v>56.4848498045165</v>
      </c>
    </row>
    <row r="16" spans="2:9" ht="26.25" customHeight="1" x14ac:dyDescent="0.15">
      <c r="C16" s="17">
        <v>2</v>
      </c>
      <c r="D16" s="17">
        <v>2</v>
      </c>
      <c r="E16" s="17">
        <v>2</v>
      </c>
      <c r="F16" s="9">
        <f t="shared" si="0"/>
        <v>0.63781631928504701</v>
      </c>
      <c r="G16" s="9">
        <f t="shared" si="1"/>
        <v>1.5678495042600018</v>
      </c>
      <c r="H16" s="34">
        <f t="shared" si="2"/>
        <v>29.619952265645701</v>
      </c>
      <c r="I16" s="34">
        <f t="shared" si="3"/>
        <v>59.239904531291401</v>
      </c>
    </row>
    <row r="17" spans="3:13" ht="26.25" customHeight="1" x14ac:dyDescent="0.15">
      <c r="C17" s="17">
        <v>4</v>
      </c>
      <c r="D17" s="17">
        <v>0</v>
      </c>
      <c r="E17" s="17">
        <v>0</v>
      </c>
      <c r="F17" s="9">
        <f t="shared" si="0"/>
        <v>0.73648684726551639</v>
      </c>
      <c r="G17" s="9">
        <f t="shared" si="1"/>
        <v>1.3577975</v>
      </c>
      <c r="H17" s="34">
        <f t="shared" si="2"/>
        <v>34.799369573075765</v>
      </c>
      <c r="I17" s="34">
        <f t="shared" si="3"/>
        <v>69.59873914615153</v>
      </c>
      <c r="M17" s="78"/>
    </row>
    <row r="18" spans="3:13" ht="26.25" customHeight="1" x14ac:dyDescent="0.15">
      <c r="C18" s="17">
        <v>3</v>
      </c>
      <c r="D18" s="17">
        <v>3</v>
      </c>
      <c r="E18" s="17">
        <v>1</v>
      </c>
      <c r="F18" s="9">
        <f t="shared" si="0"/>
        <v>0.80256793511931512</v>
      </c>
      <c r="G18" s="9">
        <f t="shared" si="1"/>
        <v>1.2460004396404565</v>
      </c>
      <c r="H18" s="34">
        <f t="shared" si="2"/>
        <v>38.455809237034792</v>
      </c>
      <c r="I18" s="34">
        <f t="shared" si="3"/>
        <v>76.911618474069584</v>
      </c>
    </row>
    <row r="19" spans="3:13" ht="26.25" customHeight="1" x14ac:dyDescent="0.15">
      <c r="C19" s="17">
        <v>4</v>
      </c>
      <c r="D19" s="17">
        <v>2</v>
      </c>
      <c r="E19" s="17">
        <v>2</v>
      </c>
      <c r="F19" s="9">
        <f t="shared" si="0"/>
        <v>0.90200848903580177</v>
      </c>
      <c r="G19" s="9">
        <f t="shared" si="1"/>
        <v>1.1086370163422141</v>
      </c>
      <c r="H19" s="34">
        <f t="shared" si="2"/>
        <v>44.344220904677947</v>
      </c>
      <c r="I19" s="34">
        <f t="shared" si="3"/>
        <v>88.688441809355893</v>
      </c>
    </row>
    <row r="20" spans="3:13" ht="26.25" customHeight="1" x14ac:dyDescent="0.15">
      <c r="C20" s="17">
        <v>3</v>
      </c>
      <c r="D20" s="17">
        <v>3</v>
      </c>
      <c r="E20" s="17">
        <v>3</v>
      </c>
      <c r="F20" s="9">
        <f t="shared" si="0"/>
        <v>0.95672447892757051</v>
      </c>
      <c r="G20" s="9">
        <f t="shared" si="1"/>
        <v>1.0452330028400012</v>
      </c>
      <c r="H20" s="34">
        <f t="shared" si="2"/>
        <v>47.847987983163399</v>
      </c>
      <c r="I20" s="34">
        <f t="shared" si="3"/>
        <v>95.695975966326799</v>
      </c>
    </row>
    <row r="21" spans="3:13" ht="26.25" customHeight="1" x14ac:dyDescent="0.15">
      <c r="C21" s="17">
        <v>5</v>
      </c>
      <c r="D21" s="17">
        <v>1</v>
      </c>
      <c r="E21" s="17">
        <v>1</v>
      </c>
      <c r="F21" s="9">
        <f t="shared" si="0"/>
        <v>0.95672447892757051</v>
      </c>
      <c r="G21" s="9">
        <f t="shared" si="1"/>
        <v>1.0452330028400012</v>
      </c>
      <c r="H21" s="34">
        <f t="shared" si="2"/>
        <v>47.847987983163399</v>
      </c>
      <c r="I21" s="34">
        <f t="shared" si="3"/>
        <v>95.695975966326799</v>
      </c>
    </row>
    <row r="22" spans="3:13" ht="26.25" customHeight="1" x14ac:dyDescent="0.15">
      <c r="C22" s="17">
        <v>4</v>
      </c>
      <c r="D22" s="17">
        <v>4</v>
      </c>
      <c r="E22" s="17">
        <v>0</v>
      </c>
      <c r="F22" s="9">
        <f t="shared" ref="F22:F27" si="4">SQRT(C22^2*$C$6^2+D22^2*$D$6^2+E22^2*$E$6^2+2*$C$6*$D$6*C22*D22*COS(RADIANS($H$6))+2*$C$6*$E$6*C22*E22*COS(RADIANS($G$6))+2*$D$6*$E$6*D22*E22*COS(RADIANS($F$6)))</f>
        <v>1.0415496879122954</v>
      </c>
      <c r="G22" s="9">
        <f t="shared" ref="G22:G27" si="5">1/F22</f>
        <v>0.9601078197281413</v>
      </c>
      <c r="H22" s="34">
        <f t="shared" ref="H22:H27" si="6">DEGREES(ASIN(F22*$D$9/2))</f>
        <v>53.813368223261065</v>
      </c>
      <c r="I22" s="34">
        <f t="shared" ref="I22:I27" si="7">H22*2</f>
        <v>107.62673644652213</v>
      </c>
    </row>
    <row r="23" spans="3:13" ht="26.25" customHeight="1" x14ac:dyDescent="0.15">
      <c r="C23" s="17">
        <v>5</v>
      </c>
      <c r="D23" s="17">
        <v>3</v>
      </c>
      <c r="E23" s="17">
        <v>1</v>
      </c>
      <c r="F23" s="9">
        <f t="shared" si="4"/>
        <v>1.089278736906574</v>
      </c>
      <c r="G23" s="9">
        <f t="shared" si="5"/>
        <v>0.91803866734779449</v>
      </c>
      <c r="H23" s="34">
        <f t="shared" si="6"/>
        <v>57.573860947429303</v>
      </c>
      <c r="I23" s="34">
        <f t="shared" si="7"/>
        <v>115.14772189485861</v>
      </c>
    </row>
    <row r="24" spans="3:13" ht="26.25" customHeight="1" x14ac:dyDescent="0.15">
      <c r="C24" s="17">
        <v>4</v>
      </c>
      <c r="D24" s="17">
        <v>4</v>
      </c>
      <c r="E24" s="17">
        <v>2</v>
      </c>
      <c r="F24" s="9">
        <f t="shared" si="4"/>
        <v>1.1047302708982745</v>
      </c>
      <c r="G24" s="9">
        <f t="shared" si="5"/>
        <v>0.90519833333333344</v>
      </c>
      <c r="H24" s="34">
        <f t="shared" si="6"/>
        <v>58.876682187899448</v>
      </c>
      <c r="I24" s="34">
        <f t="shared" si="7"/>
        <v>117.7533643757989</v>
      </c>
    </row>
    <row r="25" spans="3:13" ht="26.25" customHeight="1" x14ac:dyDescent="0.15">
      <c r="C25" s="17">
        <v>6</v>
      </c>
      <c r="D25" s="17">
        <v>2</v>
      </c>
      <c r="E25" s="17">
        <v>0</v>
      </c>
      <c r="F25" s="9">
        <f t="shared" si="4"/>
        <v>1.1644879520577918</v>
      </c>
      <c r="G25" s="9">
        <f t="shared" si="5"/>
        <v>0.85874654025649511</v>
      </c>
      <c r="H25" s="34">
        <f t="shared" si="6"/>
        <v>64.470445535311072</v>
      </c>
      <c r="I25" s="34">
        <f t="shared" si="7"/>
        <v>128.94089107062214</v>
      </c>
    </row>
    <row r="26" spans="3:13" ht="26.25" customHeight="1" x14ac:dyDescent="0.15">
      <c r="C26" s="17">
        <v>5</v>
      </c>
      <c r="D26" s="17">
        <v>3</v>
      </c>
      <c r="E26" s="17">
        <v>3</v>
      </c>
      <c r="F26" s="9">
        <f t="shared" si="4"/>
        <v>1.2073668062251552</v>
      </c>
      <c r="G26" s="9">
        <f t="shared" si="5"/>
        <v>0.82824871020473911</v>
      </c>
      <c r="H26" s="34">
        <f t="shared" si="6"/>
        <v>69.32366895560989</v>
      </c>
      <c r="I26" s="34">
        <f t="shared" si="7"/>
        <v>138.64733791121978</v>
      </c>
    </row>
    <row r="27" spans="3:13" ht="26.25" customHeight="1" x14ac:dyDescent="0.15">
      <c r="C27" s="17">
        <v>6</v>
      </c>
      <c r="D27" s="17">
        <v>2</v>
      </c>
      <c r="E27" s="17">
        <v>2</v>
      </c>
      <c r="F27" s="9">
        <f t="shared" si="4"/>
        <v>1.2213252677057513</v>
      </c>
      <c r="G27" s="9">
        <f t="shared" si="5"/>
        <v>0.81878269977865203</v>
      </c>
      <c r="H27" s="34">
        <f t="shared" si="6"/>
        <v>71.156869508055024</v>
      </c>
      <c r="I27" s="34">
        <f t="shared" si="7"/>
        <v>142.31373901611005</v>
      </c>
    </row>
    <row r="28" spans="3:13" ht="26.25" customHeight="1" x14ac:dyDescent="0.15">
      <c r="C28" s="17">
        <v>4</v>
      </c>
      <c r="D28" s="17">
        <v>4</v>
      </c>
      <c r="E28" s="17">
        <v>4</v>
      </c>
      <c r="F28" s="9">
        <f t="shared" ref="F28:F91" si="8">SQRT(C28^2*$C$6^2+D28^2*$D$6^2+E28^2*$E$6^2+2*$C$6*$D$6*C28*D28*COS(RADIANS($H$6))+2*$C$6*$E$6*C28*E28*COS(RADIANS($G$6))+2*$D$6*$E$6*D28*E28*COS(RADIANS($F$6)))</f>
        <v>1.275632638570094</v>
      </c>
      <c r="G28" s="9">
        <f t="shared" ref="G28:G91" si="9">1/F28</f>
        <v>0.7839247521300009</v>
      </c>
      <c r="H28" s="34">
        <f t="shared" ref="H28:H91" si="10">DEGREES(ASIN(F28*$D$9/2))</f>
        <v>81.298242460963706</v>
      </c>
      <c r="I28" s="34">
        <f t="shared" ref="I28:I91" si="11">H28*2</f>
        <v>162.59648492192741</v>
      </c>
    </row>
    <row r="29" spans="3:13" ht="26.25" customHeight="1" x14ac:dyDescent="0.15">
      <c r="C29" s="17">
        <v>5</v>
      </c>
      <c r="D29" s="17">
        <v>5</v>
      </c>
      <c r="E29" s="17">
        <v>1</v>
      </c>
      <c r="F29" s="9">
        <f t="shared" si="8"/>
        <v>1.3148920270774636</v>
      </c>
      <c r="G29" s="9">
        <f t="shared" si="9"/>
        <v>0.76051871895720868</v>
      </c>
      <c r="H29" s="34" t="e">
        <f t="shared" si="10"/>
        <v>#NUM!</v>
      </c>
      <c r="I29" s="34" t="e">
        <f t="shared" si="11"/>
        <v>#NUM!</v>
      </c>
    </row>
    <row r="30" spans="3:13" ht="26.25" customHeight="1" x14ac:dyDescent="0.15">
      <c r="C30" s="17">
        <v>7</v>
      </c>
      <c r="D30" s="17">
        <v>1</v>
      </c>
      <c r="E30" s="17">
        <v>1</v>
      </c>
      <c r="F30" s="9">
        <f t="shared" si="8"/>
        <v>1.3148920270774636</v>
      </c>
      <c r="G30" s="9">
        <f t="shared" si="9"/>
        <v>0.76051871895720868</v>
      </c>
      <c r="H30" s="34" t="e">
        <f t="shared" si="10"/>
        <v>#NUM!</v>
      </c>
      <c r="I30" s="34" t="e">
        <f t="shared" si="11"/>
        <v>#NUM!</v>
      </c>
    </row>
    <row r="31" spans="3:13" ht="26.25" customHeight="1" x14ac:dyDescent="0.15">
      <c r="C31" s="17">
        <v>6</v>
      </c>
      <c r="D31" s="17">
        <v>4</v>
      </c>
      <c r="E31" s="17">
        <v>2</v>
      </c>
      <c r="F31" s="9">
        <f t="shared" si="8"/>
        <v>1.3778407261664356</v>
      </c>
      <c r="G31" s="9">
        <f t="shared" si="9"/>
        <v>0.72577329223117004</v>
      </c>
      <c r="H31" s="34" t="e">
        <f t="shared" si="10"/>
        <v>#NUM!</v>
      </c>
      <c r="I31" s="34" t="e">
        <f t="shared" si="11"/>
        <v>#NUM!</v>
      </c>
    </row>
    <row r="32" spans="3:13" ht="26.25" customHeight="1" x14ac:dyDescent="0.15">
      <c r="C32" s="17">
        <v>7</v>
      </c>
      <c r="D32" s="17">
        <v>3</v>
      </c>
      <c r="E32" s="17">
        <v>1</v>
      </c>
      <c r="F32" s="9">
        <f t="shared" si="8"/>
        <v>1.4142657038086697</v>
      </c>
      <c r="G32" s="9">
        <f t="shared" si="9"/>
        <v>0.70708071142994078</v>
      </c>
      <c r="H32" s="34" t="e">
        <f t="shared" si="10"/>
        <v>#NUM!</v>
      </c>
      <c r="I32" s="34" t="e">
        <f t="shared" si="11"/>
        <v>#NUM!</v>
      </c>
    </row>
    <row r="33" spans="3:9" ht="26.25" customHeight="1" x14ac:dyDescent="0.15">
      <c r="C33" s="17">
        <v>5</v>
      </c>
      <c r="D33" s="17">
        <v>5</v>
      </c>
      <c r="E33" s="17">
        <v>3</v>
      </c>
      <c r="F33" s="9">
        <f t="shared" si="8"/>
        <v>1.4142657038086697</v>
      </c>
      <c r="G33" s="9">
        <f t="shared" si="9"/>
        <v>0.70708071142994078</v>
      </c>
      <c r="H33" s="34" t="e">
        <f t="shared" si="10"/>
        <v>#NUM!</v>
      </c>
      <c r="I33" s="34" t="e">
        <f t="shared" si="11"/>
        <v>#NUM!</v>
      </c>
    </row>
    <row r="34" spans="3:9" ht="26.25" customHeight="1" x14ac:dyDescent="0.15">
      <c r="C34" s="17">
        <v>8</v>
      </c>
      <c r="D34" s="17">
        <v>0</v>
      </c>
      <c r="E34" s="17">
        <v>0</v>
      </c>
      <c r="F34" s="9">
        <f t="shared" si="8"/>
        <v>1.4729736945310328</v>
      </c>
      <c r="G34" s="9">
        <f t="shared" si="9"/>
        <v>0.67889875</v>
      </c>
      <c r="H34" s="34" t="e">
        <f t="shared" si="10"/>
        <v>#NUM!</v>
      </c>
      <c r="I34" s="34" t="e">
        <f t="shared" si="11"/>
        <v>#NUM!</v>
      </c>
    </row>
    <row r="35" spans="3:9" ht="26.25" customHeight="1" x14ac:dyDescent="0.15">
      <c r="C35" s="17">
        <v>7</v>
      </c>
      <c r="D35" s="17">
        <v>3</v>
      </c>
      <c r="E35" s="17">
        <v>3</v>
      </c>
      <c r="F35" s="9">
        <f t="shared" si="8"/>
        <v>1.5071011641780991</v>
      </c>
      <c r="G35" s="9">
        <f t="shared" si="9"/>
        <v>0.66352546449352134</v>
      </c>
      <c r="H35" s="34" t="e">
        <f t="shared" si="10"/>
        <v>#NUM!</v>
      </c>
      <c r="I35" s="34" t="e">
        <f t="shared" si="11"/>
        <v>#NUM!</v>
      </c>
    </row>
    <row r="36" spans="3:9" ht="26.25" customHeight="1" x14ac:dyDescent="0.15">
      <c r="C36" s="17">
        <v>6</v>
      </c>
      <c r="D36" s="17">
        <v>4</v>
      </c>
      <c r="E36" s="17">
        <v>4</v>
      </c>
      <c r="F36" s="9">
        <f t="shared" si="8"/>
        <v>1.5183065315769326</v>
      </c>
      <c r="G36" s="9">
        <f t="shared" si="9"/>
        <v>0.65862853067054072</v>
      </c>
      <c r="H36" s="34" t="e">
        <f t="shared" si="10"/>
        <v>#NUM!</v>
      </c>
      <c r="I36" s="34" t="e">
        <f t="shared" si="11"/>
        <v>#NUM!</v>
      </c>
    </row>
    <row r="37" spans="3:9" ht="26.25" customHeight="1" x14ac:dyDescent="0.15">
      <c r="C37" s="17">
        <v>6</v>
      </c>
      <c r="D37" s="17">
        <v>6</v>
      </c>
      <c r="E37" s="17">
        <v>0</v>
      </c>
      <c r="F37" s="9">
        <f t="shared" si="8"/>
        <v>1.5623245318684431</v>
      </c>
      <c r="G37" s="9">
        <f t="shared" si="9"/>
        <v>0.6400718798187609</v>
      </c>
      <c r="H37" s="34" t="e">
        <f t="shared" si="10"/>
        <v>#NUM!</v>
      </c>
      <c r="I37" s="34" t="e">
        <f t="shared" si="11"/>
        <v>#NUM!</v>
      </c>
    </row>
    <row r="38" spans="3:9" ht="26.25" customHeight="1" x14ac:dyDescent="0.15">
      <c r="C38" s="17">
        <v>8</v>
      </c>
      <c r="D38" s="17">
        <v>2</v>
      </c>
      <c r="E38" s="17">
        <v>2</v>
      </c>
      <c r="F38" s="9">
        <f t="shared" si="8"/>
        <v>1.5623245318684431</v>
      </c>
      <c r="G38" s="9">
        <f t="shared" si="9"/>
        <v>0.6400718798187609</v>
      </c>
      <c r="H38" s="34" t="e">
        <f t="shared" si="10"/>
        <v>#NUM!</v>
      </c>
      <c r="I38" s="34" t="e">
        <f t="shared" si="11"/>
        <v>#NUM!</v>
      </c>
    </row>
    <row r="39" spans="3:9" ht="26.25" customHeight="1" x14ac:dyDescent="0.15">
      <c r="C39" s="17">
        <v>5</v>
      </c>
      <c r="D39" s="17">
        <v>5</v>
      </c>
      <c r="E39" s="17">
        <v>5</v>
      </c>
      <c r="F39" s="9">
        <f t="shared" si="8"/>
        <v>1.5945407982126176</v>
      </c>
      <c r="G39" s="9">
        <f t="shared" si="9"/>
        <v>0.62713980170400074</v>
      </c>
      <c r="H39" s="34" t="e">
        <f t="shared" si="10"/>
        <v>#NUM!</v>
      </c>
      <c r="I39" s="34" t="e">
        <f t="shared" si="11"/>
        <v>#NUM!</v>
      </c>
    </row>
    <row r="40" spans="3:9" ht="26.25" customHeight="1" x14ac:dyDescent="0.15">
      <c r="C40" s="17">
        <v>7</v>
      </c>
      <c r="D40" s="17">
        <v>5</v>
      </c>
      <c r="E40" s="17">
        <v>1</v>
      </c>
      <c r="F40" s="9">
        <f t="shared" si="8"/>
        <v>1.5945407982126176</v>
      </c>
      <c r="G40" s="9">
        <f t="shared" si="9"/>
        <v>0.62713980170400074</v>
      </c>
      <c r="H40" s="34" t="e">
        <f t="shared" si="10"/>
        <v>#NUM!</v>
      </c>
      <c r="I40" s="34" t="e">
        <f t="shared" si="11"/>
        <v>#NUM!</v>
      </c>
    </row>
    <row r="41" spans="3:9" ht="26.25" customHeight="1" x14ac:dyDescent="0.15">
      <c r="C41" s="17">
        <v>6</v>
      </c>
      <c r="D41" s="17">
        <v>6</v>
      </c>
      <c r="E41" s="17">
        <v>2</v>
      </c>
      <c r="F41" s="9">
        <f t="shared" si="8"/>
        <v>1.6051358702386302</v>
      </c>
      <c r="G41" s="9">
        <f t="shared" si="9"/>
        <v>0.62300021982022824</v>
      </c>
      <c r="H41" s="34" t="e">
        <f t="shared" si="10"/>
        <v>#NUM!</v>
      </c>
      <c r="I41" s="34" t="e">
        <f t="shared" si="11"/>
        <v>#NUM!</v>
      </c>
    </row>
    <row r="42" spans="3:9" ht="26.25" customHeight="1" x14ac:dyDescent="0.15">
      <c r="C42" s="17">
        <v>8</v>
      </c>
      <c r="D42" s="17">
        <v>4</v>
      </c>
      <c r="E42" s="17">
        <v>0</v>
      </c>
      <c r="F42" s="9">
        <f t="shared" si="8"/>
        <v>1.6468346550201998</v>
      </c>
      <c r="G42" s="9">
        <f t="shared" si="9"/>
        <v>0.60722550193585412</v>
      </c>
      <c r="H42" s="34" t="e">
        <f t="shared" si="10"/>
        <v>#NUM!</v>
      </c>
      <c r="I42" s="34" t="e">
        <f t="shared" si="11"/>
        <v>#NUM!</v>
      </c>
    </row>
    <row r="43" spans="3:9" ht="26.25" customHeight="1" x14ac:dyDescent="0.15">
      <c r="C43" s="17">
        <v>7</v>
      </c>
      <c r="D43" s="17">
        <v>5</v>
      </c>
      <c r="E43" s="17">
        <v>3</v>
      </c>
      <c r="F43" s="9">
        <f t="shared" si="8"/>
        <v>1.6774286259814699</v>
      </c>
      <c r="G43" s="9">
        <f t="shared" si="9"/>
        <v>0.59615055121340632</v>
      </c>
      <c r="H43" s="34" t="e">
        <f t="shared" si="10"/>
        <v>#NUM!</v>
      </c>
      <c r="I43" s="34" t="e">
        <f t="shared" si="11"/>
        <v>#NUM!</v>
      </c>
    </row>
    <row r="44" spans="3:9" ht="26.25" customHeight="1" x14ac:dyDescent="0.15">
      <c r="C44" s="17">
        <v>9</v>
      </c>
      <c r="D44" s="17">
        <v>1</v>
      </c>
      <c r="E44" s="17">
        <v>1</v>
      </c>
      <c r="F44" s="9">
        <f t="shared" si="8"/>
        <v>1.6774286259814699</v>
      </c>
      <c r="G44" s="9">
        <f t="shared" si="9"/>
        <v>0.59615055121340632</v>
      </c>
      <c r="H44" s="34" t="e">
        <f t="shared" si="10"/>
        <v>#NUM!</v>
      </c>
      <c r="I44" s="34" t="e">
        <f t="shared" si="11"/>
        <v>#NUM!</v>
      </c>
    </row>
    <row r="45" spans="3:9" ht="26.25" customHeight="1" x14ac:dyDescent="0.15">
      <c r="C45" s="17">
        <v>8</v>
      </c>
      <c r="D45" s="17">
        <v>4</v>
      </c>
      <c r="E45" s="17">
        <v>2</v>
      </c>
      <c r="F45" s="9">
        <f t="shared" si="8"/>
        <v>1.6875033629668046</v>
      </c>
      <c r="G45" s="9">
        <f t="shared" si="9"/>
        <v>0.59259141163540974</v>
      </c>
      <c r="H45" s="34" t="e">
        <f t="shared" si="10"/>
        <v>#NUM!</v>
      </c>
      <c r="I45" s="34" t="e">
        <f t="shared" si="11"/>
        <v>#NUM!</v>
      </c>
    </row>
    <row r="46" spans="3:9" ht="26.25" customHeight="1" x14ac:dyDescent="0.15">
      <c r="C46" s="17">
        <v>6</v>
      </c>
      <c r="D46" s="17">
        <v>6</v>
      </c>
      <c r="E46" s="17">
        <v>4</v>
      </c>
      <c r="F46" s="9">
        <f t="shared" si="8"/>
        <v>1.7272147576584247</v>
      </c>
      <c r="G46" s="9">
        <f t="shared" si="9"/>
        <v>0.57896679933171391</v>
      </c>
      <c r="H46" s="34" t="e">
        <f t="shared" si="10"/>
        <v>#NUM!</v>
      </c>
      <c r="I46" s="34" t="e">
        <f t="shared" si="11"/>
        <v>#NUM!</v>
      </c>
    </row>
    <row r="47" spans="3:9" ht="26.25" customHeight="1" x14ac:dyDescent="0.15">
      <c r="C47" s="17">
        <v>9</v>
      </c>
      <c r="D47" s="17">
        <v>3</v>
      </c>
      <c r="E47" s="17">
        <v>1</v>
      </c>
      <c r="F47" s="9">
        <f t="shared" si="8"/>
        <v>1.756409187336377</v>
      </c>
      <c r="G47" s="9">
        <f t="shared" si="9"/>
        <v>0.5693434122355715</v>
      </c>
      <c r="H47" s="34" t="e">
        <f t="shared" si="10"/>
        <v>#NUM!</v>
      </c>
      <c r="I47" s="34" t="e">
        <f t="shared" si="11"/>
        <v>#NUM!</v>
      </c>
    </row>
    <row r="48" spans="3:9" ht="26.25" customHeight="1" x14ac:dyDescent="0.15">
      <c r="C48" s="17">
        <v>8</v>
      </c>
      <c r="D48" s="17">
        <v>4</v>
      </c>
      <c r="E48" s="17">
        <v>4</v>
      </c>
      <c r="F48" s="9">
        <f t="shared" si="8"/>
        <v>1.8040169780716035</v>
      </c>
      <c r="G48" s="9">
        <f t="shared" si="9"/>
        <v>0.55431850817110706</v>
      </c>
      <c r="H48" s="34" t="e">
        <f t="shared" si="10"/>
        <v>#NUM!</v>
      </c>
      <c r="I48" s="34" t="e">
        <f t="shared" si="11"/>
        <v>#NUM!</v>
      </c>
    </row>
    <row r="49" spans="3:9" ht="26.25" customHeight="1" x14ac:dyDescent="0.15">
      <c r="C49" s="17">
        <v>7</v>
      </c>
      <c r="D49" s="17">
        <v>5</v>
      </c>
      <c r="E49" s="17">
        <v>5</v>
      </c>
      <c r="F49" s="9">
        <f t="shared" si="8"/>
        <v>1.8319879015586269</v>
      </c>
      <c r="G49" s="9">
        <f t="shared" si="9"/>
        <v>0.54585513318576806</v>
      </c>
      <c r="H49" s="34" t="e">
        <f t="shared" si="10"/>
        <v>#NUM!</v>
      </c>
      <c r="I49" s="34" t="e">
        <f t="shared" si="11"/>
        <v>#NUM!</v>
      </c>
    </row>
    <row r="50" spans="3:9" ht="26.25" customHeight="1" x14ac:dyDescent="0.15">
      <c r="C50" s="17">
        <v>7</v>
      </c>
      <c r="D50" s="17">
        <v>7</v>
      </c>
      <c r="E50" s="17">
        <v>1</v>
      </c>
      <c r="F50" s="9">
        <f t="shared" si="8"/>
        <v>1.8319879015586269</v>
      </c>
      <c r="G50" s="9">
        <f t="shared" si="9"/>
        <v>0.54585513318576806</v>
      </c>
      <c r="H50" s="34" t="e">
        <f t="shared" si="10"/>
        <v>#NUM!</v>
      </c>
      <c r="I50" s="34" t="e">
        <f t="shared" si="11"/>
        <v>#NUM!</v>
      </c>
    </row>
    <row r="51" spans="3:9" ht="26.25" customHeight="1" x14ac:dyDescent="0.15">
      <c r="C51" s="17">
        <v>9</v>
      </c>
      <c r="D51" s="17">
        <v>3</v>
      </c>
      <c r="E51" s="17">
        <v>3</v>
      </c>
      <c r="F51" s="9">
        <f t="shared" si="8"/>
        <v>1.8319879015586271</v>
      </c>
      <c r="G51" s="9">
        <f t="shared" si="9"/>
        <v>0.54585513318576795</v>
      </c>
      <c r="H51" s="34" t="e">
        <f t="shared" si="10"/>
        <v>#NUM!</v>
      </c>
      <c r="I51" s="34" t="e">
        <f t="shared" si="11"/>
        <v>#NUM!</v>
      </c>
    </row>
    <row r="52" spans="3:9" ht="26.25" customHeight="1" x14ac:dyDescent="0.15">
      <c r="C52" s="17">
        <v>8</v>
      </c>
      <c r="D52" s="17">
        <v>6</v>
      </c>
      <c r="E52" s="17">
        <v>2</v>
      </c>
      <c r="F52" s="9">
        <f t="shared" si="8"/>
        <v>1.8776804028556484</v>
      </c>
      <c r="G52" s="9">
        <f t="shared" si="9"/>
        <v>0.53257199600057692</v>
      </c>
      <c r="H52" s="34" t="e">
        <f t="shared" si="10"/>
        <v>#NUM!</v>
      </c>
      <c r="I52" s="34" t="e">
        <f t="shared" si="11"/>
        <v>#NUM!</v>
      </c>
    </row>
    <row r="53" spans="3:9" ht="26.25" customHeight="1" x14ac:dyDescent="0.15">
      <c r="C53" s="17">
        <v>10</v>
      </c>
      <c r="D53" s="17">
        <v>2</v>
      </c>
      <c r="E53" s="17">
        <v>0</v>
      </c>
      <c r="F53" s="9">
        <f t="shared" si="8"/>
        <v>1.8776804028556484</v>
      </c>
      <c r="G53" s="9">
        <f t="shared" si="9"/>
        <v>0.53257199600057692</v>
      </c>
      <c r="H53" s="34" t="e">
        <f t="shared" si="10"/>
        <v>#NUM!</v>
      </c>
      <c r="I53" s="34" t="e">
        <f t="shared" si="11"/>
        <v>#NUM!</v>
      </c>
    </row>
    <row r="54" spans="3:9" ht="26.25" customHeight="1" x14ac:dyDescent="0.15">
      <c r="C54" s="17">
        <v>7</v>
      </c>
      <c r="D54" s="17">
        <v>7</v>
      </c>
      <c r="E54" s="17">
        <v>3</v>
      </c>
      <c r="F54" s="9">
        <f t="shared" si="8"/>
        <v>1.9045697964513486</v>
      </c>
      <c r="G54" s="9">
        <f t="shared" si="9"/>
        <v>0.52505295519399175</v>
      </c>
      <c r="H54" s="34" t="e">
        <f t="shared" si="10"/>
        <v>#NUM!</v>
      </c>
      <c r="I54" s="34" t="e">
        <f t="shared" si="11"/>
        <v>#NUM!</v>
      </c>
    </row>
    <row r="55" spans="3:9" ht="26.25" customHeight="1" x14ac:dyDescent="0.15">
      <c r="C55" s="17">
        <v>9</v>
      </c>
      <c r="D55" s="17">
        <v>5</v>
      </c>
      <c r="E55" s="17">
        <v>1</v>
      </c>
      <c r="F55" s="9">
        <f t="shared" si="8"/>
        <v>1.9045697964513488</v>
      </c>
      <c r="G55" s="9">
        <f t="shared" si="9"/>
        <v>0.52505295519399175</v>
      </c>
      <c r="H55" s="34" t="e">
        <f t="shared" si="10"/>
        <v>#NUM!</v>
      </c>
      <c r="I55" s="34" t="e">
        <f t="shared" si="11"/>
        <v>#NUM!</v>
      </c>
    </row>
    <row r="56" spans="3:9" ht="26.25" customHeight="1" x14ac:dyDescent="0.15">
      <c r="C56" s="17">
        <v>6</v>
      </c>
      <c r="D56" s="17">
        <v>6</v>
      </c>
      <c r="E56" s="17">
        <v>6</v>
      </c>
      <c r="F56" s="9">
        <f t="shared" si="8"/>
        <v>1.913448957855141</v>
      </c>
      <c r="G56" s="9">
        <f t="shared" si="9"/>
        <v>0.5226165014200006</v>
      </c>
      <c r="H56" s="34" t="e">
        <f t="shared" si="10"/>
        <v>#NUM!</v>
      </c>
      <c r="I56" s="34" t="e">
        <f t="shared" si="11"/>
        <v>#NUM!</v>
      </c>
    </row>
    <row r="57" spans="3:9" ht="26.25" customHeight="1" x14ac:dyDescent="0.15">
      <c r="C57" s="17">
        <v>10</v>
      </c>
      <c r="D57" s="17">
        <v>2</v>
      </c>
      <c r="E57" s="17">
        <v>2</v>
      </c>
      <c r="F57" s="9">
        <f t="shared" si="8"/>
        <v>1.913448957855141</v>
      </c>
      <c r="G57" s="9">
        <f t="shared" si="9"/>
        <v>0.5226165014200006</v>
      </c>
      <c r="H57" s="34" t="e">
        <f t="shared" si="10"/>
        <v>#NUM!</v>
      </c>
      <c r="I57" s="34" t="e">
        <f t="shared" si="11"/>
        <v>#NUM!</v>
      </c>
    </row>
    <row r="58" spans="3:9" ht="26.25" customHeight="1" x14ac:dyDescent="0.15">
      <c r="C58" s="17">
        <v>9</v>
      </c>
      <c r="D58" s="17">
        <v>5</v>
      </c>
      <c r="E58" s="17">
        <v>3</v>
      </c>
      <c r="F58" s="9">
        <f t="shared" si="8"/>
        <v>1.9744853880574256</v>
      </c>
      <c r="G58" s="9">
        <f t="shared" si="9"/>
        <v>0.50646107894667092</v>
      </c>
      <c r="H58" s="34" t="e">
        <f t="shared" si="10"/>
        <v>#NUM!</v>
      </c>
      <c r="I58" s="34" t="e">
        <f t="shared" si="11"/>
        <v>#NUM!</v>
      </c>
    </row>
    <row r="59" spans="3:9" ht="26.25" customHeight="1" x14ac:dyDescent="0.15">
      <c r="C59" s="17">
        <v>8</v>
      </c>
      <c r="D59" s="17">
        <v>6</v>
      </c>
      <c r="E59" s="17">
        <v>4</v>
      </c>
      <c r="F59" s="9">
        <f t="shared" si="8"/>
        <v>1.9830515254058518</v>
      </c>
      <c r="G59" s="9">
        <f t="shared" si="9"/>
        <v>0.50427333187691115</v>
      </c>
      <c r="H59" s="34" t="e">
        <f t="shared" si="10"/>
        <v>#NUM!</v>
      </c>
      <c r="I59" s="34" t="e">
        <f t="shared" si="11"/>
        <v>#NUM!</v>
      </c>
    </row>
    <row r="60" spans="3:9" ht="26.25" customHeight="1" x14ac:dyDescent="0.15">
      <c r="C60" s="17">
        <v>10</v>
      </c>
      <c r="D60" s="17">
        <v>4</v>
      </c>
      <c r="E60" s="17">
        <v>2</v>
      </c>
      <c r="F60" s="9">
        <f t="shared" si="8"/>
        <v>2.0169522977659264</v>
      </c>
      <c r="G60" s="9">
        <f t="shared" si="9"/>
        <v>0.49579754618274718</v>
      </c>
      <c r="H60" s="34" t="e">
        <f t="shared" si="10"/>
        <v>#NUM!</v>
      </c>
      <c r="I60" s="34" t="e">
        <f t="shared" si="11"/>
        <v>#NUM!</v>
      </c>
    </row>
    <row r="61" spans="3:9" ht="26.25" customHeight="1" x14ac:dyDescent="0.15">
      <c r="C61" s="17">
        <v>7</v>
      </c>
      <c r="D61" s="17">
        <v>7</v>
      </c>
      <c r="E61" s="17">
        <v>5</v>
      </c>
      <c r="F61" s="9">
        <f t="shared" si="8"/>
        <v>2.0420085665221466</v>
      </c>
      <c r="G61" s="9">
        <f t="shared" si="9"/>
        <v>0.48971391031094114</v>
      </c>
      <c r="H61" s="34" t="e">
        <f t="shared" si="10"/>
        <v>#NUM!</v>
      </c>
      <c r="I61" s="34" t="e">
        <f t="shared" si="11"/>
        <v>#NUM!</v>
      </c>
    </row>
    <row r="62" spans="3:9" ht="26.25" customHeight="1" x14ac:dyDescent="0.15">
      <c r="C62" s="17">
        <v>11</v>
      </c>
      <c r="D62" s="17">
        <v>1</v>
      </c>
      <c r="E62" s="17">
        <v>1</v>
      </c>
      <c r="F62" s="9">
        <f t="shared" si="8"/>
        <v>2.0420085665221466</v>
      </c>
      <c r="G62" s="9">
        <f t="shared" si="9"/>
        <v>0.48971391031094114</v>
      </c>
      <c r="H62" s="34" t="e">
        <f t="shared" si="10"/>
        <v>#NUM!</v>
      </c>
      <c r="I62" s="34" t="e">
        <f t="shared" si="11"/>
        <v>#NUM!</v>
      </c>
    </row>
    <row r="63" spans="3:9" ht="26.25" customHeight="1" x14ac:dyDescent="0.15">
      <c r="C63" s="17">
        <v>8</v>
      </c>
      <c r="D63" s="17">
        <v>8</v>
      </c>
      <c r="E63" s="17">
        <v>0</v>
      </c>
      <c r="F63" s="9">
        <f t="shared" si="8"/>
        <v>2.0830993758245908</v>
      </c>
      <c r="G63" s="9">
        <f t="shared" si="9"/>
        <v>0.48005390986407065</v>
      </c>
      <c r="H63" s="34" t="e">
        <f t="shared" si="10"/>
        <v>#NUM!</v>
      </c>
      <c r="I63" s="34" t="e">
        <f t="shared" si="11"/>
        <v>#NUM!</v>
      </c>
    </row>
    <row r="64" spans="3:9" ht="26.25" customHeight="1" x14ac:dyDescent="0.15">
      <c r="C64" s="17">
        <v>9</v>
      </c>
      <c r="D64" s="17">
        <v>7</v>
      </c>
      <c r="E64" s="17">
        <v>1</v>
      </c>
      <c r="F64" s="9">
        <f t="shared" si="8"/>
        <v>2.1073693135868194</v>
      </c>
      <c r="G64" s="9">
        <f t="shared" si="9"/>
        <v>0.47452527354968621</v>
      </c>
      <c r="H64" s="34" t="e">
        <f t="shared" si="10"/>
        <v>#NUM!</v>
      </c>
      <c r="I64" s="34" t="e">
        <f t="shared" si="11"/>
        <v>#NUM!</v>
      </c>
    </row>
    <row r="65" spans="3:9" ht="26.25" customHeight="1" x14ac:dyDescent="0.15">
      <c r="C65" s="17">
        <v>9</v>
      </c>
      <c r="D65" s="17">
        <v>5</v>
      </c>
      <c r="E65" s="17">
        <v>5</v>
      </c>
      <c r="F65" s="9">
        <f t="shared" si="8"/>
        <v>2.1073693135868194</v>
      </c>
      <c r="G65" s="9">
        <f t="shared" si="9"/>
        <v>0.47452527354968621</v>
      </c>
      <c r="H65" s="34" t="e">
        <f t="shared" si="10"/>
        <v>#NUM!</v>
      </c>
      <c r="I65" s="34" t="e">
        <f t="shared" si="11"/>
        <v>#NUM!</v>
      </c>
    </row>
    <row r="66" spans="3:9" ht="26.25" customHeight="1" x14ac:dyDescent="0.15">
      <c r="C66" s="17">
        <v>11</v>
      </c>
      <c r="D66" s="17">
        <v>3</v>
      </c>
      <c r="E66" s="17">
        <v>1</v>
      </c>
      <c r="F66" s="9">
        <f t="shared" si="8"/>
        <v>2.107369313586819</v>
      </c>
      <c r="G66" s="9">
        <f t="shared" si="9"/>
        <v>0.47452527354968632</v>
      </c>
      <c r="H66" s="34" t="e">
        <f t="shared" si="10"/>
        <v>#NUM!</v>
      </c>
      <c r="I66" s="34" t="e">
        <f t="shared" si="11"/>
        <v>#NUM!</v>
      </c>
    </row>
    <row r="67" spans="3:9" ht="26.25" customHeight="1" x14ac:dyDescent="0.15">
      <c r="C67" s="17">
        <v>8</v>
      </c>
      <c r="D67" s="17">
        <v>8</v>
      </c>
      <c r="E67" s="17">
        <v>2</v>
      </c>
      <c r="F67" s="9">
        <f t="shared" si="8"/>
        <v>2.1153974162340217</v>
      </c>
      <c r="G67" s="9">
        <f t="shared" si="9"/>
        <v>0.47272441212501332</v>
      </c>
      <c r="H67" s="34" t="e">
        <f t="shared" si="10"/>
        <v>#NUM!</v>
      </c>
      <c r="I67" s="34" t="e">
        <f t="shared" si="11"/>
        <v>#NUM!</v>
      </c>
    </row>
    <row r="68" spans="3:9" ht="26.25" customHeight="1" x14ac:dyDescent="0.15">
      <c r="C68" s="17">
        <v>10</v>
      </c>
      <c r="D68" s="17">
        <v>4</v>
      </c>
      <c r="E68" s="17">
        <v>4</v>
      </c>
      <c r="F68" s="9">
        <f t="shared" si="8"/>
        <v>2.1153974162340217</v>
      </c>
      <c r="G68" s="9">
        <f t="shared" si="9"/>
        <v>0.47272441212501332</v>
      </c>
      <c r="H68" s="34" t="e">
        <f t="shared" si="10"/>
        <v>#NUM!</v>
      </c>
      <c r="I68" s="34" t="e">
        <f t="shared" si="11"/>
        <v>#NUM!</v>
      </c>
    </row>
    <row r="69" spans="3:9" ht="26.25" customHeight="1" x14ac:dyDescent="0.15">
      <c r="C69" s="17">
        <v>8</v>
      </c>
      <c r="D69" s="17">
        <v>6</v>
      </c>
      <c r="E69" s="17">
        <v>6</v>
      </c>
      <c r="F69" s="9">
        <f t="shared" si="8"/>
        <v>2.1472096887957521</v>
      </c>
      <c r="G69" s="9">
        <f t="shared" si="9"/>
        <v>0.46572070032007129</v>
      </c>
      <c r="H69" s="34" t="e">
        <f t="shared" si="10"/>
        <v>#NUM!</v>
      </c>
      <c r="I69" s="34" t="e">
        <f t="shared" si="11"/>
        <v>#NUM!</v>
      </c>
    </row>
    <row r="70" spans="3:9" ht="26.25" customHeight="1" x14ac:dyDescent="0.15">
      <c r="C70" s="17">
        <v>10</v>
      </c>
      <c r="D70" s="17">
        <v>6</v>
      </c>
      <c r="E70" s="17">
        <v>0</v>
      </c>
      <c r="F70" s="9">
        <f t="shared" si="8"/>
        <v>2.1472096887957521</v>
      </c>
      <c r="G70" s="9">
        <f t="shared" si="9"/>
        <v>0.46572070032007129</v>
      </c>
      <c r="H70" s="34" t="e">
        <f t="shared" si="10"/>
        <v>#NUM!</v>
      </c>
      <c r="I70" s="34" t="e">
        <f t="shared" si="11"/>
        <v>#NUM!</v>
      </c>
    </row>
    <row r="71" spans="3:9" ht="26.25" customHeight="1" x14ac:dyDescent="0.15">
      <c r="C71" s="17">
        <v>9</v>
      </c>
      <c r="D71" s="17">
        <v>7</v>
      </c>
      <c r="E71" s="17">
        <v>3</v>
      </c>
      <c r="F71" s="9">
        <f t="shared" si="8"/>
        <v>2.1707629677016631</v>
      </c>
      <c r="G71" s="9">
        <f t="shared" si="9"/>
        <v>0.46066752329885613</v>
      </c>
      <c r="H71" s="34" t="e">
        <f t="shared" si="10"/>
        <v>#NUM!</v>
      </c>
      <c r="I71" s="34" t="e">
        <f t="shared" si="11"/>
        <v>#NUM!</v>
      </c>
    </row>
    <row r="72" spans="3:9" ht="26.25" customHeight="1" x14ac:dyDescent="0.15">
      <c r="C72" s="17">
        <v>11</v>
      </c>
      <c r="D72" s="17">
        <v>3</v>
      </c>
      <c r="E72" s="17">
        <v>3</v>
      </c>
      <c r="F72" s="9">
        <f t="shared" si="8"/>
        <v>2.1707629677016627</v>
      </c>
      <c r="G72" s="9">
        <f t="shared" si="9"/>
        <v>0.46066752329885624</v>
      </c>
      <c r="H72" s="34" t="e">
        <f t="shared" si="10"/>
        <v>#NUM!</v>
      </c>
      <c r="I72" s="34" t="e">
        <f t="shared" si="11"/>
        <v>#NUM!</v>
      </c>
    </row>
    <row r="73" spans="3:9" ht="26.25" customHeight="1" x14ac:dyDescent="0.15">
      <c r="C73" s="17">
        <v>10</v>
      </c>
      <c r="D73" s="17">
        <v>6</v>
      </c>
      <c r="E73" s="17">
        <v>2</v>
      </c>
      <c r="F73" s="9">
        <f t="shared" si="8"/>
        <v>2.1785574738131479</v>
      </c>
      <c r="G73" s="9">
        <f t="shared" si="9"/>
        <v>0.45901933367389725</v>
      </c>
      <c r="H73" s="34" t="e">
        <f t="shared" si="10"/>
        <v>#NUM!</v>
      </c>
      <c r="I73" s="34" t="e">
        <f t="shared" si="11"/>
        <v>#NUM!</v>
      </c>
    </row>
    <row r="74" spans="3:9" ht="26.25" customHeight="1" x14ac:dyDescent="0.15">
      <c r="C74" s="17">
        <v>8</v>
      </c>
      <c r="D74" s="17">
        <v>8</v>
      </c>
      <c r="E74" s="17">
        <v>4</v>
      </c>
      <c r="F74" s="9">
        <f t="shared" si="8"/>
        <v>2.2094605417965489</v>
      </c>
      <c r="G74" s="9">
        <f t="shared" si="9"/>
        <v>0.45259916666666672</v>
      </c>
      <c r="H74" s="34" t="e">
        <f t="shared" si="10"/>
        <v>#NUM!</v>
      </c>
      <c r="I74" s="34" t="e">
        <f t="shared" si="11"/>
        <v>#NUM!</v>
      </c>
    </row>
    <row r="75" spans="3:9" ht="26.25" customHeight="1" x14ac:dyDescent="0.15">
      <c r="C75" s="17">
        <v>12</v>
      </c>
      <c r="D75" s="17">
        <v>0</v>
      </c>
      <c r="E75" s="17">
        <v>0</v>
      </c>
      <c r="F75" s="9">
        <f t="shared" si="8"/>
        <v>2.2094605417965489</v>
      </c>
      <c r="G75" s="9">
        <f t="shared" si="9"/>
        <v>0.45259916666666672</v>
      </c>
      <c r="H75" s="34" t="e">
        <f t="shared" si="10"/>
        <v>#NUM!</v>
      </c>
      <c r="I75" s="34" t="e">
        <f t="shared" si="11"/>
        <v>#NUM!</v>
      </c>
    </row>
    <row r="76" spans="3:9" ht="26.25" customHeight="1" x14ac:dyDescent="0.15">
      <c r="C76" s="17">
        <v>11</v>
      </c>
      <c r="D76" s="17">
        <v>5</v>
      </c>
      <c r="E76" s="17">
        <v>1</v>
      </c>
      <c r="F76" s="9">
        <f t="shared" si="8"/>
        <v>2.2323571174976644</v>
      </c>
      <c r="G76" s="9">
        <f t="shared" si="9"/>
        <v>0.44795700121714338</v>
      </c>
      <c r="H76" s="34" t="e">
        <f t="shared" si="10"/>
        <v>#NUM!</v>
      </c>
      <c r="I76" s="34" t="e">
        <f t="shared" si="11"/>
        <v>#NUM!</v>
      </c>
    </row>
    <row r="77" spans="3:9" ht="26.25" customHeight="1" x14ac:dyDescent="0.15">
      <c r="C77" s="17">
        <v>7</v>
      </c>
      <c r="D77" s="17">
        <v>7</v>
      </c>
      <c r="E77" s="17">
        <v>7</v>
      </c>
      <c r="F77" s="9">
        <f t="shared" si="8"/>
        <v>2.2323571174976644</v>
      </c>
      <c r="G77" s="9">
        <f t="shared" si="9"/>
        <v>0.44795700121714338</v>
      </c>
      <c r="H77" s="34" t="e">
        <f t="shared" si="10"/>
        <v>#NUM!</v>
      </c>
      <c r="I77" s="34" t="e">
        <f t="shared" si="11"/>
        <v>#NUM!</v>
      </c>
    </row>
    <row r="78" spans="3:9" ht="26.25" customHeight="1" x14ac:dyDescent="0.15">
      <c r="C78" s="17">
        <v>10</v>
      </c>
      <c r="D78" s="17">
        <v>6</v>
      </c>
      <c r="E78" s="17">
        <v>4</v>
      </c>
      <c r="F78" s="9">
        <f t="shared" si="8"/>
        <v>2.2700049171430114</v>
      </c>
      <c r="G78" s="9">
        <f t="shared" si="9"/>
        <v>0.44052768011559312</v>
      </c>
      <c r="H78" s="34" t="e">
        <f t="shared" si="10"/>
        <v>#NUM!</v>
      </c>
      <c r="I78" s="34" t="e">
        <f t="shared" si="11"/>
        <v>#NUM!</v>
      </c>
    </row>
    <row r="79" spans="3:9" ht="26.25" customHeight="1" x14ac:dyDescent="0.15">
      <c r="C79" s="17">
        <v>12</v>
      </c>
      <c r="D79" s="17">
        <v>2</v>
      </c>
      <c r="E79" s="17">
        <v>2</v>
      </c>
      <c r="F79" s="9">
        <f t="shared" si="8"/>
        <v>2.2700049171430114</v>
      </c>
      <c r="G79" s="9">
        <f t="shared" si="9"/>
        <v>0.44052768011559312</v>
      </c>
      <c r="H79" s="34" t="e">
        <f t="shared" si="10"/>
        <v>#NUM!</v>
      </c>
      <c r="I79" s="34" t="e">
        <f t="shared" si="11"/>
        <v>#NUM!</v>
      </c>
    </row>
    <row r="80" spans="3:9" ht="26.25" customHeight="1" x14ac:dyDescent="0.15">
      <c r="C80" s="17">
        <v>9</v>
      </c>
      <c r="D80" s="17">
        <v>7</v>
      </c>
      <c r="E80" s="17">
        <v>5</v>
      </c>
      <c r="F80" s="9">
        <f t="shared" si="8"/>
        <v>2.2922968259237351</v>
      </c>
      <c r="G80" s="9">
        <f t="shared" si="9"/>
        <v>0.43624367869419634</v>
      </c>
      <c r="H80" s="34" t="e">
        <f t="shared" si="10"/>
        <v>#NUM!</v>
      </c>
      <c r="I80" s="34" t="e">
        <f t="shared" si="11"/>
        <v>#NUM!</v>
      </c>
    </row>
    <row r="81" spans="3:9" ht="26.25" customHeight="1" x14ac:dyDescent="0.15">
      <c r="C81" s="17">
        <v>11</v>
      </c>
      <c r="D81" s="17">
        <v>5</v>
      </c>
      <c r="E81" s="17">
        <v>3</v>
      </c>
      <c r="F81" s="9">
        <f t="shared" si="8"/>
        <v>2.2922968259237351</v>
      </c>
      <c r="G81" s="9">
        <f t="shared" si="9"/>
        <v>0.43624367869419634</v>
      </c>
      <c r="H81" s="34" t="e">
        <f t="shared" si="10"/>
        <v>#NUM!</v>
      </c>
      <c r="I81" s="34" t="e">
        <f t="shared" si="11"/>
        <v>#NUM!</v>
      </c>
    </row>
    <row r="82" spans="3:9" ht="26.25" customHeight="1" x14ac:dyDescent="0.15">
      <c r="C82" s="17">
        <v>12</v>
      </c>
      <c r="D82" s="17">
        <v>4</v>
      </c>
      <c r="E82" s="17">
        <v>0</v>
      </c>
      <c r="F82" s="9">
        <f t="shared" si="8"/>
        <v>2.3289759041155835</v>
      </c>
      <c r="G82" s="9">
        <f t="shared" si="9"/>
        <v>0.42937327012824755</v>
      </c>
      <c r="H82" s="34" t="e">
        <f t="shared" si="10"/>
        <v>#NUM!</v>
      </c>
      <c r="I82" s="34" t="e">
        <f t="shared" si="11"/>
        <v>#NUM!</v>
      </c>
    </row>
    <row r="83" spans="3:9" ht="26.25" customHeight="1" x14ac:dyDescent="0.15">
      <c r="C83" s="17">
        <v>9</v>
      </c>
      <c r="D83" s="17">
        <v>9</v>
      </c>
      <c r="E83" s="17">
        <v>1</v>
      </c>
      <c r="F83" s="9">
        <f t="shared" si="8"/>
        <v>2.3507086540525566</v>
      </c>
      <c r="G83" s="9">
        <f t="shared" si="9"/>
        <v>0.4254036323370094</v>
      </c>
      <c r="H83" s="34" t="e">
        <f t="shared" si="10"/>
        <v>#NUM!</v>
      </c>
      <c r="I83" s="34" t="e">
        <f t="shared" si="11"/>
        <v>#NUM!</v>
      </c>
    </row>
    <row r="84" spans="3:9" ht="26.25" customHeight="1" x14ac:dyDescent="0.15">
      <c r="C84" s="17">
        <v>8</v>
      </c>
      <c r="D84" s="17">
        <v>8</v>
      </c>
      <c r="E84" s="17">
        <v>6</v>
      </c>
      <c r="F84" s="9">
        <f t="shared" si="8"/>
        <v>2.357908391138166</v>
      </c>
      <c r="G84" s="9">
        <f t="shared" si="9"/>
        <v>0.42410468691588926</v>
      </c>
      <c r="H84" s="34" t="e">
        <f t="shared" si="10"/>
        <v>#NUM!</v>
      </c>
      <c r="I84" s="34" t="e">
        <f t="shared" si="11"/>
        <v>#NUM!</v>
      </c>
    </row>
    <row r="85" spans="3:9" ht="26.25" customHeight="1" x14ac:dyDescent="0.15">
      <c r="C85" s="17">
        <v>12</v>
      </c>
      <c r="D85" s="17">
        <v>4</v>
      </c>
      <c r="E85" s="17">
        <v>2</v>
      </c>
      <c r="F85" s="9">
        <f t="shared" si="8"/>
        <v>2.3579083911381664</v>
      </c>
      <c r="G85" s="9">
        <f t="shared" si="9"/>
        <v>0.42410468691588915</v>
      </c>
      <c r="H85" s="34" t="e">
        <f t="shared" si="10"/>
        <v>#NUM!</v>
      </c>
      <c r="I85" s="34" t="e">
        <f t="shared" si="11"/>
        <v>#NUM!</v>
      </c>
    </row>
    <row r="86" spans="3:9" ht="26.25" customHeight="1" x14ac:dyDescent="0.15">
      <c r="C86" s="17">
        <v>10</v>
      </c>
      <c r="D86" s="17">
        <v>8</v>
      </c>
      <c r="E86" s="17">
        <v>2</v>
      </c>
      <c r="F86" s="9">
        <f t="shared" si="8"/>
        <v>2.3864901424578626</v>
      </c>
      <c r="G86" s="9">
        <f t="shared" si="9"/>
        <v>0.41902540564030705</v>
      </c>
      <c r="H86" s="34" t="e">
        <f t="shared" si="10"/>
        <v>#NUM!</v>
      </c>
      <c r="I86" s="34" t="e">
        <f t="shared" si="11"/>
        <v>#NUM!</v>
      </c>
    </row>
    <row r="87" spans="3:9" ht="26.25" customHeight="1" x14ac:dyDescent="0.15">
      <c r="C87" s="17">
        <v>11</v>
      </c>
      <c r="D87" s="17">
        <v>5</v>
      </c>
      <c r="E87" s="17">
        <v>5</v>
      </c>
      <c r="F87" s="9">
        <f t="shared" si="8"/>
        <v>2.4077038053579454</v>
      </c>
      <c r="G87" s="9">
        <f t="shared" si="9"/>
        <v>0.41533347988015218</v>
      </c>
      <c r="H87" s="34" t="e">
        <f t="shared" si="10"/>
        <v>#NUM!</v>
      </c>
      <c r="I87" s="34" t="e">
        <f t="shared" si="11"/>
        <v>#NUM!</v>
      </c>
    </row>
    <row r="88" spans="3:9" ht="26.25" customHeight="1" x14ac:dyDescent="0.15">
      <c r="C88" s="17">
        <v>11</v>
      </c>
      <c r="D88" s="17">
        <v>7</v>
      </c>
      <c r="E88" s="17">
        <v>1</v>
      </c>
      <c r="F88" s="9">
        <f t="shared" si="8"/>
        <v>2.4077038053579454</v>
      </c>
      <c r="G88" s="9">
        <f t="shared" si="9"/>
        <v>0.41533347988015218</v>
      </c>
      <c r="H88" s="34" t="e">
        <f t="shared" si="10"/>
        <v>#NUM!</v>
      </c>
      <c r="I88" s="34" t="e">
        <f t="shared" si="11"/>
        <v>#NUM!</v>
      </c>
    </row>
    <row r="89" spans="3:9" ht="26.25" customHeight="1" x14ac:dyDescent="0.15">
      <c r="C89" s="17">
        <v>13</v>
      </c>
      <c r="D89" s="17">
        <v>1</v>
      </c>
      <c r="E89" s="17">
        <v>1</v>
      </c>
      <c r="F89" s="9">
        <f t="shared" si="8"/>
        <v>2.4077038053579454</v>
      </c>
      <c r="G89" s="9">
        <f t="shared" si="9"/>
        <v>0.41533347988015218</v>
      </c>
      <c r="H89" s="34" t="e">
        <f t="shared" si="10"/>
        <v>#NUM!</v>
      </c>
      <c r="I89" s="34" t="e">
        <f t="shared" si="11"/>
        <v>#NUM!</v>
      </c>
    </row>
    <row r="90" spans="3:9" ht="26.25" customHeight="1" x14ac:dyDescent="0.15">
      <c r="C90" s="17">
        <v>9</v>
      </c>
      <c r="D90" s="17">
        <v>9</v>
      </c>
      <c r="E90" s="17">
        <v>3</v>
      </c>
      <c r="F90" s="9">
        <f t="shared" si="8"/>
        <v>2.4077038053579454</v>
      </c>
      <c r="G90" s="9">
        <f t="shared" si="9"/>
        <v>0.41533347988015218</v>
      </c>
      <c r="H90" s="34" t="e">
        <f t="shared" si="10"/>
        <v>#NUM!</v>
      </c>
      <c r="I90" s="34" t="e">
        <f t="shared" si="11"/>
        <v>#NUM!</v>
      </c>
    </row>
    <row r="91" spans="3:9" ht="26.25" customHeight="1" x14ac:dyDescent="0.15">
      <c r="C91" s="17">
        <v>10</v>
      </c>
      <c r="D91" s="17">
        <v>6</v>
      </c>
      <c r="E91" s="17">
        <v>6</v>
      </c>
      <c r="F91" s="9">
        <f t="shared" si="8"/>
        <v>2.4147336124503105</v>
      </c>
      <c r="G91" s="9">
        <f t="shared" si="9"/>
        <v>0.41412435510236956</v>
      </c>
      <c r="H91" s="34" t="e">
        <f t="shared" si="10"/>
        <v>#NUM!</v>
      </c>
      <c r="I91" s="34" t="e">
        <f t="shared" si="11"/>
        <v>#NUM!</v>
      </c>
    </row>
    <row r="92" spans="3:9" ht="26.25" customHeight="1" x14ac:dyDescent="0.15">
      <c r="C92" s="17">
        <v>12</v>
      </c>
      <c r="D92" s="17">
        <v>4</v>
      </c>
      <c r="E92" s="17">
        <v>4</v>
      </c>
      <c r="F92" s="9">
        <f t="shared" ref="F92:F155" si="12">SQRT(C92^2*$C$6^2+D92^2*$D$6^2+E92^2*$E$6^2+2*$C$6*$D$6*C92*D92*COS(RADIANS($H$6))+2*$C$6*$E$6*C92*E92*COS(RADIANS($G$6))+2*$D$6*$E$6*D92*E92*COS(RADIANS($F$6)))</f>
        <v>2.4426505354115027</v>
      </c>
      <c r="G92" s="9">
        <f t="shared" ref="G92:G155" si="13">1/F92</f>
        <v>0.40939134988932602</v>
      </c>
      <c r="H92" s="34" t="e">
        <f t="shared" ref="H92:H155" si="14">DEGREES(ASIN(F92*$D$9/2))</f>
        <v>#NUM!</v>
      </c>
      <c r="I92" s="34" t="e">
        <f t="shared" ref="I92:I155" si="15">H92*2</f>
        <v>#NUM!</v>
      </c>
    </row>
    <row r="93" spans="3:9" ht="26.25" customHeight="1" x14ac:dyDescent="0.15">
      <c r="C93" s="17">
        <v>9</v>
      </c>
      <c r="D93" s="17">
        <v>7</v>
      </c>
      <c r="E93" s="17">
        <v>7</v>
      </c>
      <c r="F93" s="9">
        <f t="shared" si="12"/>
        <v>2.4633806146092572</v>
      </c>
      <c r="G93" s="9">
        <f t="shared" si="13"/>
        <v>0.40594620014033866</v>
      </c>
      <c r="H93" s="34" t="e">
        <f t="shared" si="14"/>
        <v>#NUM!</v>
      </c>
      <c r="I93" s="34" t="e">
        <f t="shared" si="15"/>
        <v>#NUM!</v>
      </c>
    </row>
    <row r="94" spans="3:9" ht="26.25" customHeight="1" x14ac:dyDescent="0.15">
      <c r="C94" s="17">
        <v>13</v>
      </c>
      <c r="D94" s="17">
        <v>3</v>
      </c>
      <c r="E94" s="17">
        <v>1</v>
      </c>
      <c r="F94" s="9">
        <f t="shared" si="12"/>
        <v>2.4633806146092572</v>
      </c>
      <c r="G94" s="9">
        <f t="shared" si="13"/>
        <v>0.40594620014033866</v>
      </c>
      <c r="H94" s="34" t="e">
        <f t="shared" si="14"/>
        <v>#NUM!</v>
      </c>
      <c r="I94" s="34" t="e">
        <f t="shared" si="15"/>
        <v>#NUM!</v>
      </c>
    </row>
    <row r="95" spans="3:9" ht="26.25" customHeight="1" x14ac:dyDescent="0.15">
      <c r="C95" s="17">
        <v>11</v>
      </c>
      <c r="D95" s="17">
        <v>7</v>
      </c>
      <c r="E95" s="17">
        <v>3</v>
      </c>
      <c r="F95" s="9">
        <f t="shared" si="12"/>
        <v>2.4633806146092572</v>
      </c>
      <c r="G95" s="9">
        <f t="shared" si="13"/>
        <v>0.40594620014033866</v>
      </c>
      <c r="H95" s="34" t="e">
        <f t="shared" si="14"/>
        <v>#NUM!</v>
      </c>
      <c r="I95" s="34" t="e">
        <f t="shared" si="15"/>
        <v>#NUM!</v>
      </c>
    </row>
    <row r="96" spans="3:9" ht="26.25" customHeight="1" x14ac:dyDescent="0.15">
      <c r="C96" s="17">
        <v>10</v>
      </c>
      <c r="D96" s="17">
        <v>8</v>
      </c>
      <c r="E96" s="17">
        <v>4</v>
      </c>
      <c r="F96" s="9">
        <f t="shared" si="12"/>
        <v>2.4702519825302995</v>
      </c>
      <c r="G96" s="9">
        <f t="shared" si="13"/>
        <v>0.40481700129056947</v>
      </c>
      <c r="H96" s="34" t="e">
        <f t="shared" si="14"/>
        <v>#NUM!</v>
      </c>
      <c r="I96" s="34" t="e">
        <f t="shared" si="15"/>
        <v>#NUM!</v>
      </c>
    </row>
    <row r="97" spans="3:9" ht="26.25" customHeight="1" x14ac:dyDescent="0.15">
      <c r="C97" s="17">
        <v>12</v>
      </c>
      <c r="D97" s="17">
        <v>6</v>
      </c>
      <c r="E97" s="17">
        <v>2</v>
      </c>
      <c r="F97" s="9">
        <f t="shared" si="12"/>
        <v>2.4975484131931558</v>
      </c>
      <c r="G97" s="9">
        <f t="shared" si="13"/>
        <v>0.40039263892445792</v>
      </c>
      <c r="H97" s="34" t="e">
        <f t="shared" si="14"/>
        <v>#NUM!</v>
      </c>
      <c r="I97" s="34" t="e">
        <f t="shared" si="15"/>
        <v>#NUM!</v>
      </c>
    </row>
    <row r="98" spans="3:9" ht="26.25" customHeight="1" x14ac:dyDescent="0.15">
      <c r="C98" s="17">
        <v>9</v>
      </c>
      <c r="D98" s="17">
        <v>9</v>
      </c>
      <c r="E98" s="17">
        <v>5</v>
      </c>
      <c r="F98" s="9">
        <f t="shared" si="12"/>
        <v>2.5178265409932892</v>
      </c>
      <c r="G98" s="9">
        <f t="shared" si="13"/>
        <v>0.39716794771950309</v>
      </c>
      <c r="H98" s="34" t="e">
        <f t="shared" si="14"/>
        <v>#NUM!</v>
      </c>
      <c r="I98" s="34" t="e">
        <f t="shared" si="15"/>
        <v>#NUM!</v>
      </c>
    </row>
    <row r="99" spans="3:9" ht="26.25" customHeight="1" x14ac:dyDescent="0.15">
      <c r="C99" s="17">
        <v>13</v>
      </c>
      <c r="D99" s="17">
        <v>3</v>
      </c>
      <c r="E99" s="17">
        <v>3</v>
      </c>
      <c r="F99" s="9">
        <f t="shared" si="12"/>
        <v>2.5178265409932892</v>
      </c>
      <c r="G99" s="9">
        <f t="shared" si="13"/>
        <v>0.39716794771950309</v>
      </c>
      <c r="H99" s="34" t="e">
        <f t="shared" si="14"/>
        <v>#NUM!</v>
      </c>
      <c r="I99" s="34" t="e">
        <f t="shared" si="15"/>
        <v>#NUM!</v>
      </c>
    </row>
    <row r="100" spans="3:9" ht="26.25" customHeight="1" x14ac:dyDescent="0.15">
      <c r="C100" s="17">
        <v>8</v>
      </c>
      <c r="D100" s="17">
        <v>8</v>
      </c>
      <c r="E100" s="17">
        <v>8</v>
      </c>
      <c r="F100" s="9">
        <f t="shared" si="12"/>
        <v>2.551265277140188</v>
      </c>
      <c r="G100" s="9">
        <f t="shared" si="13"/>
        <v>0.39196237606500045</v>
      </c>
      <c r="H100" s="34" t="e">
        <f t="shared" si="14"/>
        <v>#NUM!</v>
      </c>
      <c r="I100" s="34" t="e">
        <f t="shared" si="15"/>
        <v>#NUM!</v>
      </c>
    </row>
    <row r="101" spans="3:9" ht="26.25" customHeight="1" x14ac:dyDescent="0.15">
      <c r="C101" s="17">
        <v>11</v>
      </c>
      <c r="D101" s="17">
        <v>7</v>
      </c>
      <c r="E101" s="17">
        <v>5</v>
      </c>
      <c r="F101" s="9">
        <f t="shared" si="12"/>
        <v>2.5711197810735658</v>
      </c>
      <c r="G101" s="9">
        <f t="shared" si="13"/>
        <v>0.38893559427342278</v>
      </c>
      <c r="H101" s="34" t="e">
        <f t="shared" si="14"/>
        <v>#NUM!</v>
      </c>
      <c r="I101" s="34" t="e">
        <f t="shared" si="15"/>
        <v>#NUM!</v>
      </c>
    </row>
    <row r="102" spans="3:9" ht="26.25" customHeight="1" x14ac:dyDescent="0.15">
      <c r="C102" s="17">
        <v>13</v>
      </c>
      <c r="D102" s="17">
        <v>5</v>
      </c>
      <c r="E102" s="17">
        <v>1</v>
      </c>
      <c r="F102" s="9">
        <f t="shared" si="12"/>
        <v>2.5711197810735658</v>
      </c>
      <c r="G102" s="9">
        <f t="shared" si="13"/>
        <v>0.38893559427342278</v>
      </c>
      <c r="H102" s="34" t="e">
        <f t="shared" si="14"/>
        <v>#NUM!</v>
      </c>
      <c r="I102" s="34" t="e">
        <f t="shared" si="15"/>
        <v>#NUM!</v>
      </c>
    </row>
    <row r="103" spans="3:9" ht="26.25" customHeight="1" x14ac:dyDescent="0.15">
      <c r="C103" s="17">
        <v>12</v>
      </c>
      <c r="D103" s="17">
        <v>6</v>
      </c>
      <c r="E103" s="17">
        <v>4</v>
      </c>
      <c r="F103" s="9">
        <f t="shared" si="12"/>
        <v>2.5777039654293072</v>
      </c>
      <c r="G103" s="9">
        <f t="shared" si="13"/>
        <v>0.3879421428571429</v>
      </c>
      <c r="H103" s="34" t="e">
        <f t="shared" si="14"/>
        <v>#NUM!</v>
      </c>
      <c r="I103" s="34" t="e">
        <f t="shared" si="15"/>
        <v>#NUM!</v>
      </c>
    </row>
    <row r="104" spans="3:9" ht="26.25" customHeight="1" x14ac:dyDescent="0.15">
      <c r="C104" s="17">
        <v>10</v>
      </c>
      <c r="D104" s="17">
        <v>8</v>
      </c>
      <c r="E104" s="17">
        <v>6</v>
      </c>
      <c r="F104" s="9">
        <f t="shared" si="12"/>
        <v>2.6038742197807387</v>
      </c>
      <c r="G104" s="9">
        <f t="shared" si="13"/>
        <v>0.3840431278912565</v>
      </c>
      <c r="H104" s="34" t="e">
        <f t="shared" si="14"/>
        <v>#NUM!</v>
      </c>
      <c r="I104" s="34" t="e">
        <f t="shared" si="15"/>
        <v>#NUM!</v>
      </c>
    </row>
    <row r="105" spans="3:9" ht="26.25" customHeight="1" x14ac:dyDescent="0.15">
      <c r="C105" s="17">
        <v>10</v>
      </c>
      <c r="D105" s="17">
        <v>10</v>
      </c>
      <c r="E105" s="17">
        <v>0</v>
      </c>
      <c r="F105" s="9">
        <f t="shared" si="12"/>
        <v>2.6038742197807387</v>
      </c>
      <c r="G105" s="9">
        <f t="shared" si="13"/>
        <v>0.3840431278912565</v>
      </c>
      <c r="H105" s="34" t="e">
        <f t="shared" si="14"/>
        <v>#NUM!</v>
      </c>
      <c r="I105" s="34" t="e">
        <f t="shared" si="15"/>
        <v>#NUM!</v>
      </c>
    </row>
    <row r="106" spans="3:9" ht="26.25" customHeight="1" x14ac:dyDescent="0.15">
      <c r="C106" s="17">
        <v>14</v>
      </c>
      <c r="D106" s="17">
        <v>2</v>
      </c>
      <c r="E106" s="17">
        <v>0</v>
      </c>
      <c r="F106" s="9">
        <f t="shared" si="12"/>
        <v>2.6038742197807387</v>
      </c>
      <c r="G106" s="9">
        <f t="shared" si="13"/>
        <v>0.3840431278912565</v>
      </c>
      <c r="H106" s="34" t="e">
        <f t="shared" si="14"/>
        <v>#NUM!</v>
      </c>
      <c r="I106" s="34" t="e">
        <f t="shared" si="15"/>
        <v>#NUM!</v>
      </c>
    </row>
    <row r="107" spans="3:9" ht="26.25" customHeight="1" x14ac:dyDescent="0.15">
      <c r="C107" s="17">
        <v>13</v>
      </c>
      <c r="D107" s="17">
        <v>5</v>
      </c>
      <c r="E107" s="17">
        <v>3</v>
      </c>
      <c r="F107" s="9">
        <f t="shared" si="12"/>
        <v>2.6233305866255843</v>
      </c>
      <c r="G107" s="9">
        <f t="shared" si="13"/>
        <v>0.38119480827092772</v>
      </c>
      <c r="H107" s="34" t="e">
        <f t="shared" si="14"/>
        <v>#NUM!</v>
      </c>
      <c r="I107" s="34" t="e">
        <f t="shared" si="15"/>
        <v>#NUM!</v>
      </c>
    </row>
    <row r="108" spans="3:9" ht="26.25" customHeight="1" x14ac:dyDescent="0.15">
      <c r="C108" s="17">
        <v>11</v>
      </c>
      <c r="D108" s="17">
        <v>9</v>
      </c>
      <c r="E108" s="17">
        <v>1</v>
      </c>
      <c r="F108" s="9">
        <f t="shared" si="12"/>
        <v>2.6233305866255843</v>
      </c>
      <c r="G108" s="9">
        <f t="shared" si="13"/>
        <v>0.38119480827092772</v>
      </c>
      <c r="H108" s="34" t="e">
        <f t="shared" si="14"/>
        <v>#NUM!</v>
      </c>
      <c r="I108" s="34" t="e">
        <f t="shared" si="15"/>
        <v>#NUM!</v>
      </c>
    </row>
    <row r="109" spans="3:9" ht="26.25" customHeight="1" x14ac:dyDescent="0.15">
      <c r="C109" s="17">
        <v>10</v>
      </c>
      <c r="D109" s="17">
        <v>10</v>
      </c>
      <c r="E109" s="17">
        <v>2</v>
      </c>
      <c r="F109" s="9">
        <f t="shared" si="12"/>
        <v>2.6297840541549271</v>
      </c>
      <c r="G109" s="9">
        <f t="shared" si="13"/>
        <v>0.38025935947860434</v>
      </c>
      <c r="H109" s="34" t="e">
        <f t="shared" si="14"/>
        <v>#NUM!</v>
      </c>
      <c r="I109" s="34" t="e">
        <f t="shared" si="15"/>
        <v>#NUM!</v>
      </c>
    </row>
    <row r="110" spans="3:9" ht="26.25" customHeight="1" x14ac:dyDescent="0.15">
      <c r="C110" s="17">
        <v>14</v>
      </c>
      <c r="D110" s="17">
        <v>2</v>
      </c>
      <c r="E110" s="17">
        <v>2</v>
      </c>
      <c r="F110" s="9">
        <f t="shared" si="12"/>
        <v>2.6297840541549271</v>
      </c>
      <c r="G110" s="9">
        <f t="shared" si="13"/>
        <v>0.38025935947860434</v>
      </c>
      <c r="H110" s="34" t="e">
        <f t="shared" si="14"/>
        <v>#NUM!</v>
      </c>
      <c r="I110" s="34" t="e">
        <f t="shared" si="15"/>
        <v>#NUM!</v>
      </c>
    </row>
    <row r="111" spans="3:9" ht="26.25" customHeight="1" x14ac:dyDescent="0.15">
      <c r="C111" s="17">
        <v>12</v>
      </c>
      <c r="D111" s="17">
        <v>8</v>
      </c>
      <c r="E111" s="17">
        <v>0</v>
      </c>
      <c r="F111" s="9">
        <f t="shared" si="12"/>
        <v>2.6554410915206348</v>
      </c>
      <c r="G111" s="9">
        <f t="shared" si="13"/>
        <v>0.37658526984206281</v>
      </c>
      <c r="H111" s="34" t="e">
        <f t="shared" si="14"/>
        <v>#NUM!</v>
      </c>
      <c r="I111" s="34" t="e">
        <f t="shared" si="15"/>
        <v>#NUM!</v>
      </c>
    </row>
    <row r="112" spans="3:9" ht="26.25" customHeight="1" x14ac:dyDescent="0.15">
      <c r="C112" s="17">
        <v>9</v>
      </c>
      <c r="D112" s="17">
        <v>9</v>
      </c>
      <c r="E112" s="17">
        <v>7</v>
      </c>
      <c r="F112" s="9">
        <f t="shared" si="12"/>
        <v>2.6745223507802067</v>
      </c>
      <c r="G112" s="9">
        <f t="shared" si="13"/>
        <v>0.37389853919458998</v>
      </c>
      <c r="H112" s="34" t="e">
        <f t="shared" si="14"/>
        <v>#NUM!</v>
      </c>
      <c r="I112" s="34" t="e">
        <f t="shared" si="15"/>
        <v>#NUM!</v>
      </c>
    </row>
    <row r="113" spans="3:9" ht="26.25" customHeight="1" x14ac:dyDescent="0.15">
      <c r="C113" s="17">
        <v>11</v>
      </c>
      <c r="D113" s="17">
        <v>9</v>
      </c>
      <c r="E113" s="17">
        <v>3</v>
      </c>
      <c r="F113" s="9">
        <f t="shared" si="12"/>
        <v>2.6745223507802063</v>
      </c>
      <c r="G113" s="9">
        <f t="shared" si="13"/>
        <v>0.37389853919459004</v>
      </c>
      <c r="H113" s="34" t="e">
        <f t="shared" si="14"/>
        <v>#NUM!</v>
      </c>
      <c r="I113" s="34" t="e">
        <f t="shared" si="15"/>
        <v>#NUM!</v>
      </c>
    </row>
    <row r="114" spans="3:9" ht="26.25" customHeight="1" x14ac:dyDescent="0.15">
      <c r="C114" s="17">
        <v>12</v>
      </c>
      <c r="D114" s="17">
        <v>8</v>
      </c>
      <c r="E114" s="17">
        <v>2</v>
      </c>
      <c r="F114" s="9">
        <f t="shared" si="12"/>
        <v>2.6808525900513582</v>
      </c>
      <c r="G114" s="9">
        <f t="shared" si="13"/>
        <v>0.3730156606562402</v>
      </c>
      <c r="H114" s="34" t="e">
        <f t="shared" si="14"/>
        <v>#NUM!</v>
      </c>
      <c r="I114" s="34" t="e">
        <f t="shared" si="15"/>
        <v>#NUM!</v>
      </c>
    </row>
    <row r="115" spans="3:9" ht="26.25" customHeight="1" x14ac:dyDescent="0.15">
      <c r="C115" s="17">
        <v>12</v>
      </c>
      <c r="D115" s="17">
        <v>6</v>
      </c>
      <c r="E115" s="17">
        <v>6</v>
      </c>
      <c r="F115" s="9">
        <f t="shared" si="12"/>
        <v>2.7060254671074055</v>
      </c>
      <c r="G115" s="9">
        <f t="shared" si="13"/>
        <v>0.36954567211407136</v>
      </c>
      <c r="H115" s="34" t="e">
        <f t="shared" si="14"/>
        <v>#NUM!</v>
      </c>
      <c r="I115" s="34" t="e">
        <f t="shared" si="15"/>
        <v>#NUM!</v>
      </c>
    </row>
    <row r="116" spans="3:9" ht="26.25" customHeight="1" x14ac:dyDescent="0.15">
      <c r="C116" s="17">
        <v>10</v>
      </c>
      <c r="D116" s="17">
        <v>10</v>
      </c>
      <c r="E116" s="17">
        <v>4</v>
      </c>
      <c r="F116" s="9">
        <f t="shared" si="12"/>
        <v>2.7060254671074051</v>
      </c>
      <c r="G116" s="9">
        <f t="shared" si="13"/>
        <v>0.36954567211407141</v>
      </c>
      <c r="H116" s="34" t="e">
        <f t="shared" si="14"/>
        <v>#NUM!</v>
      </c>
      <c r="I116" s="34" t="e">
        <f t="shared" si="15"/>
        <v>#NUM!</v>
      </c>
    </row>
    <row r="117" spans="3:9" ht="26.25" customHeight="1" x14ac:dyDescent="0.15">
      <c r="C117" s="17">
        <v>14</v>
      </c>
      <c r="D117" s="17">
        <v>4</v>
      </c>
      <c r="E117" s="17">
        <v>2</v>
      </c>
      <c r="F117" s="9">
        <f t="shared" si="12"/>
        <v>2.7060254671074051</v>
      </c>
      <c r="G117" s="9">
        <f t="shared" si="13"/>
        <v>0.36954567211407141</v>
      </c>
      <c r="H117" s="34" t="e">
        <f t="shared" si="14"/>
        <v>#NUM!</v>
      </c>
      <c r="I117" s="34" t="e">
        <f t="shared" si="15"/>
        <v>#NUM!</v>
      </c>
    </row>
    <row r="118" spans="3:9" ht="26.25" customHeight="1" x14ac:dyDescent="0.15">
      <c r="C118" s="17">
        <v>11</v>
      </c>
      <c r="D118" s="17">
        <v>7</v>
      </c>
      <c r="E118" s="17">
        <v>7</v>
      </c>
      <c r="F118" s="9">
        <f t="shared" si="12"/>
        <v>2.7247525103980417</v>
      </c>
      <c r="G118" s="9">
        <f t="shared" si="13"/>
        <v>0.36700580921895043</v>
      </c>
      <c r="H118" s="34" t="e">
        <f t="shared" si="14"/>
        <v>#NUM!</v>
      </c>
      <c r="I118" s="34" t="e">
        <f t="shared" si="15"/>
        <v>#NUM!</v>
      </c>
    </row>
    <row r="119" spans="3:9" ht="26.25" customHeight="1" x14ac:dyDescent="0.15">
      <c r="C119" s="17">
        <v>13</v>
      </c>
      <c r="D119" s="17">
        <v>5</v>
      </c>
      <c r="E119" s="17">
        <v>5</v>
      </c>
      <c r="F119" s="9">
        <f t="shared" si="12"/>
        <v>2.7247525103980417</v>
      </c>
      <c r="G119" s="9">
        <f t="shared" si="13"/>
        <v>0.36700580921895043</v>
      </c>
      <c r="H119" s="34" t="e">
        <f t="shared" si="14"/>
        <v>#NUM!</v>
      </c>
      <c r="I119" s="34" t="e">
        <f t="shared" si="15"/>
        <v>#NUM!</v>
      </c>
    </row>
    <row r="120" spans="3:9" ht="26.25" customHeight="1" x14ac:dyDescent="0.15">
      <c r="C120" s="17">
        <v>13</v>
      </c>
      <c r="D120" s="17">
        <v>7</v>
      </c>
      <c r="E120" s="17">
        <v>1</v>
      </c>
      <c r="F120" s="9">
        <f t="shared" si="12"/>
        <v>2.7247525103980417</v>
      </c>
      <c r="G120" s="9">
        <f t="shared" si="13"/>
        <v>0.36700580921895043</v>
      </c>
      <c r="H120" s="34" t="e">
        <f t="shared" si="14"/>
        <v>#NUM!</v>
      </c>
      <c r="I120" s="34" t="e">
        <f t="shared" si="15"/>
        <v>#NUM!</v>
      </c>
    </row>
    <row r="121" spans="3:9" ht="26.25" customHeight="1" x14ac:dyDescent="0.15">
      <c r="C121" s="17">
        <v>12</v>
      </c>
      <c r="D121" s="17">
        <v>8</v>
      </c>
      <c r="E121" s="17">
        <v>4</v>
      </c>
      <c r="F121" s="9">
        <f t="shared" si="12"/>
        <v>2.7556814523328712</v>
      </c>
      <c r="G121" s="9">
        <f t="shared" si="13"/>
        <v>0.36288664611558502</v>
      </c>
      <c r="H121" s="34" t="e">
        <f t="shared" si="14"/>
        <v>#NUM!</v>
      </c>
      <c r="I121" s="34" t="e">
        <f t="shared" si="15"/>
        <v>#NUM!</v>
      </c>
    </row>
    <row r="122" spans="3:9" ht="26.25" customHeight="1" x14ac:dyDescent="0.15">
      <c r="C122" s="17">
        <v>13</v>
      </c>
      <c r="D122" s="17">
        <v>7</v>
      </c>
      <c r="E122" s="17">
        <v>3</v>
      </c>
      <c r="F122" s="9">
        <f t="shared" si="12"/>
        <v>2.7740733013058581</v>
      </c>
      <c r="G122" s="9">
        <f t="shared" si="13"/>
        <v>0.36048074127286517</v>
      </c>
      <c r="H122" s="34" t="e">
        <f t="shared" si="14"/>
        <v>#NUM!</v>
      </c>
      <c r="I122" s="34" t="e">
        <f t="shared" si="15"/>
        <v>#NUM!</v>
      </c>
    </row>
    <row r="123" spans="3:9" ht="26.25" customHeight="1" x14ac:dyDescent="0.15">
      <c r="C123" s="17">
        <v>11</v>
      </c>
      <c r="D123" s="17">
        <v>9</v>
      </c>
      <c r="E123" s="17">
        <v>5</v>
      </c>
      <c r="F123" s="9">
        <f t="shared" si="12"/>
        <v>2.7740733013058581</v>
      </c>
      <c r="G123" s="9">
        <f t="shared" si="13"/>
        <v>0.36048074127286517</v>
      </c>
      <c r="H123" s="34" t="e">
        <f t="shared" si="14"/>
        <v>#NUM!</v>
      </c>
      <c r="I123" s="34" t="e">
        <f t="shared" si="15"/>
        <v>#NUM!</v>
      </c>
    </row>
    <row r="124" spans="3:9" ht="26.25" customHeight="1" x14ac:dyDescent="0.15">
      <c r="C124" s="17">
        <v>15</v>
      </c>
      <c r="D124" s="17">
        <v>1</v>
      </c>
      <c r="E124" s="17">
        <v>1</v>
      </c>
      <c r="F124" s="9">
        <f t="shared" si="12"/>
        <v>2.7740733013058581</v>
      </c>
      <c r="G124" s="9">
        <f t="shared" si="13"/>
        <v>0.36048074127286517</v>
      </c>
      <c r="H124" s="34" t="e">
        <f t="shared" si="14"/>
        <v>#NUM!</v>
      </c>
      <c r="I124" s="34" t="e">
        <f t="shared" si="15"/>
        <v>#NUM!</v>
      </c>
    </row>
    <row r="125" spans="3:9" ht="26.25" customHeight="1" x14ac:dyDescent="0.15">
      <c r="C125" s="17">
        <v>10</v>
      </c>
      <c r="D125" s="17">
        <v>8</v>
      </c>
      <c r="E125" s="17">
        <v>8</v>
      </c>
      <c r="F125" s="9">
        <f t="shared" si="12"/>
        <v>2.7801768803045923</v>
      </c>
      <c r="G125" s="9">
        <f t="shared" si="13"/>
        <v>0.35968934461840479</v>
      </c>
      <c r="H125" s="34" t="e">
        <f t="shared" si="14"/>
        <v>#NUM!</v>
      </c>
      <c r="I125" s="34" t="e">
        <f t="shared" si="15"/>
        <v>#NUM!</v>
      </c>
    </row>
    <row r="126" spans="3:9" ht="26.25" customHeight="1" x14ac:dyDescent="0.15">
      <c r="C126" s="17">
        <v>14</v>
      </c>
      <c r="D126" s="17">
        <v>4</v>
      </c>
      <c r="E126" s="17">
        <v>4</v>
      </c>
      <c r="F126" s="9">
        <f t="shared" si="12"/>
        <v>2.7801768803045923</v>
      </c>
      <c r="G126" s="9">
        <f t="shared" si="13"/>
        <v>0.35968934461840479</v>
      </c>
      <c r="H126" s="34" t="e">
        <f t="shared" si="14"/>
        <v>#NUM!</v>
      </c>
      <c r="I126" s="34" t="e">
        <f t="shared" si="15"/>
        <v>#NUM!</v>
      </c>
    </row>
    <row r="127" spans="3:9" ht="26.25" customHeight="1" x14ac:dyDescent="0.15">
      <c r="C127" s="17">
        <v>14</v>
      </c>
      <c r="D127" s="17">
        <v>6</v>
      </c>
      <c r="E127" s="17">
        <v>0</v>
      </c>
      <c r="F127" s="9">
        <f t="shared" si="12"/>
        <v>2.8044583621136097</v>
      </c>
      <c r="G127" s="9">
        <f t="shared" si="13"/>
        <v>0.35657509254169828</v>
      </c>
      <c r="H127" s="34" t="e">
        <f t="shared" si="14"/>
        <v>#NUM!</v>
      </c>
      <c r="I127" s="34" t="e">
        <f t="shared" si="15"/>
        <v>#NUM!</v>
      </c>
    </row>
    <row r="128" spans="3:9" ht="26.25" customHeight="1" x14ac:dyDescent="0.15">
      <c r="C128" s="17">
        <v>15</v>
      </c>
      <c r="D128" s="17">
        <v>3</v>
      </c>
      <c r="E128" s="17">
        <v>1</v>
      </c>
      <c r="F128" s="9">
        <f t="shared" si="12"/>
        <v>2.8225323946972747</v>
      </c>
      <c r="G128" s="9">
        <f t="shared" si="13"/>
        <v>0.35429177070871248</v>
      </c>
      <c r="H128" s="34" t="e">
        <f t="shared" si="14"/>
        <v>#NUM!</v>
      </c>
      <c r="I128" s="34" t="e">
        <f t="shared" si="15"/>
        <v>#NUM!</v>
      </c>
    </row>
    <row r="129" spans="3:9" ht="26.25" customHeight="1" x14ac:dyDescent="0.15">
      <c r="C129" s="17">
        <v>10</v>
      </c>
      <c r="D129" s="17">
        <v>10</v>
      </c>
      <c r="E129" s="17">
        <v>6</v>
      </c>
      <c r="F129" s="9">
        <f t="shared" si="12"/>
        <v>2.8285314076173393</v>
      </c>
      <c r="G129" s="9">
        <f t="shared" si="13"/>
        <v>0.35354035571497039</v>
      </c>
      <c r="H129" s="34" t="e">
        <f t="shared" si="14"/>
        <v>#NUM!</v>
      </c>
      <c r="I129" s="34" t="e">
        <f t="shared" si="15"/>
        <v>#NUM!</v>
      </c>
    </row>
    <row r="130" spans="3:9" ht="26.25" customHeight="1" x14ac:dyDescent="0.15">
      <c r="C130" s="17">
        <v>14</v>
      </c>
      <c r="D130" s="17">
        <v>6</v>
      </c>
      <c r="E130" s="17">
        <v>2</v>
      </c>
      <c r="F130" s="9">
        <f t="shared" si="12"/>
        <v>2.8285314076173393</v>
      </c>
      <c r="G130" s="9">
        <f t="shared" si="13"/>
        <v>0.35354035571497039</v>
      </c>
      <c r="H130" s="34" t="e">
        <f t="shared" si="14"/>
        <v>#NUM!</v>
      </c>
      <c r="I130" s="34" t="e">
        <f t="shared" si="15"/>
        <v>#NUM!</v>
      </c>
    </row>
    <row r="131" spans="3:9" ht="26.25" customHeight="1" x14ac:dyDescent="0.15">
      <c r="C131" s="17">
        <v>11</v>
      </c>
      <c r="D131" s="17">
        <v>11</v>
      </c>
      <c r="E131" s="17">
        <v>1</v>
      </c>
      <c r="F131" s="9">
        <f t="shared" si="12"/>
        <v>2.8701734367827112</v>
      </c>
      <c r="G131" s="9">
        <f t="shared" si="13"/>
        <v>0.3484110009466671</v>
      </c>
      <c r="H131" s="34" t="e">
        <f t="shared" si="14"/>
        <v>#NUM!</v>
      </c>
      <c r="I131" s="34" t="e">
        <f t="shared" si="15"/>
        <v>#NUM!</v>
      </c>
    </row>
    <row r="132" spans="3:9" ht="26.25" customHeight="1" x14ac:dyDescent="0.15">
      <c r="C132" s="17">
        <v>13</v>
      </c>
      <c r="D132" s="17">
        <v>7</v>
      </c>
      <c r="E132" s="17">
        <v>5</v>
      </c>
      <c r="F132" s="9">
        <f t="shared" si="12"/>
        <v>2.8701734367827112</v>
      </c>
      <c r="G132" s="9">
        <f t="shared" si="13"/>
        <v>0.3484110009466671</v>
      </c>
      <c r="H132" s="34" t="e">
        <f t="shared" si="14"/>
        <v>#NUM!</v>
      </c>
      <c r="I132" s="34" t="e">
        <f t="shared" si="15"/>
        <v>#NUM!</v>
      </c>
    </row>
    <row r="133" spans="3:9" ht="26.25" customHeight="1" x14ac:dyDescent="0.15">
      <c r="C133" s="17">
        <v>9</v>
      </c>
      <c r="D133" s="17">
        <v>9</v>
      </c>
      <c r="E133" s="17">
        <v>9</v>
      </c>
      <c r="F133" s="9">
        <f t="shared" si="12"/>
        <v>2.8701734367827116</v>
      </c>
      <c r="G133" s="9">
        <f t="shared" si="13"/>
        <v>0.34841100094666705</v>
      </c>
      <c r="H133" s="34" t="e">
        <f t="shared" si="14"/>
        <v>#NUM!</v>
      </c>
      <c r="I133" s="34" t="e">
        <f t="shared" si="15"/>
        <v>#NUM!</v>
      </c>
    </row>
    <row r="134" spans="3:9" ht="26.25" customHeight="1" x14ac:dyDescent="0.15">
      <c r="C134" s="17">
        <v>15</v>
      </c>
      <c r="D134" s="17">
        <v>3</v>
      </c>
      <c r="E134" s="17">
        <v>3</v>
      </c>
      <c r="F134" s="9">
        <f t="shared" si="12"/>
        <v>2.8701734367827112</v>
      </c>
      <c r="G134" s="9">
        <f t="shared" si="13"/>
        <v>0.3484110009466671</v>
      </c>
      <c r="H134" s="34" t="e">
        <f t="shared" si="14"/>
        <v>#NUM!</v>
      </c>
      <c r="I134" s="34" t="e">
        <f t="shared" si="15"/>
        <v>#NUM!</v>
      </c>
    </row>
    <row r="135" spans="3:9" ht="26.25" customHeight="1" x14ac:dyDescent="0.15">
      <c r="C135" s="17">
        <v>12</v>
      </c>
      <c r="D135" s="17">
        <v>8</v>
      </c>
      <c r="E135" s="17">
        <v>6</v>
      </c>
      <c r="F135" s="9">
        <f t="shared" si="12"/>
        <v>2.8760730800825067</v>
      </c>
      <c r="G135" s="9">
        <f t="shared" si="13"/>
        <v>0.3476963109613726</v>
      </c>
      <c r="H135" s="34" t="e">
        <f t="shared" si="14"/>
        <v>#NUM!</v>
      </c>
      <c r="I135" s="34" t="e">
        <f t="shared" si="15"/>
        <v>#NUM!</v>
      </c>
    </row>
    <row r="136" spans="3:9" ht="26.25" customHeight="1" x14ac:dyDescent="0.15">
      <c r="C136" s="17">
        <v>14</v>
      </c>
      <c r="D136" s="17">
        <v>6</v>
      </c>
      <c r="E136" s="17">
        <v>4</v>
      </c>
      <c r="F136" s="9">
        <f t="shared" si="12"/>
        <v>2.899551617237405</v>
      </c>
      <c r="G136" s="9">
        <f t="shared" si="13"/>
        <v>0.34488090988108233</v>
      </c>
      <c r="H136" s="34" t="e">
        <f t="shared" si="14"/>
        <v>#NUM!</v>
      </c>
      <c r="I136" s="34" t="e">
        <f t="shared" si="15"/>
        <v>#NUM!</v>
      </c>
    </row>
    <row r="137" spans="3:9" ht="26.25" customHeight="1" x14ac:dyDescent="0.15">
      <c r="C137" s="17">
        <v>12</v>
      </c>
      <c r="D137" s="17">
        <v>10</v>
      </c>
      <c r="E137" s="17">
        <v>2</v>
      </c>
      <c r="F137" s="9">
        <f t="shared" si="12"/>
        <v>2.8995516172374054</v>
      </c>
      <c r="G137" s="9">
        <f t="shared" si="13"/>
        <v>0.34488090988108228</v>
      </c>
      <c r="H137" s="34" t="e">
        <f t="shared" si="14"/>
        <v>#NUM!</v>
      </c>
      <c r="I137" s="34" t="e">
        <f t="shared" si="15"/>
        <v>#NUM!</v>
      </c>
    </row>
    <row r="138" spans="3:9" ht="26.25" customHeight="1" x14ac:dyDescent="0.15">
      <c r="C138" s="17">
        <v>11</v>
      </c>
      <c r="D138" s="17">
        <v>11</v>
      </c>
      <c r="E138" s="17">
        <v>3</v>
      </c>
      <c r="F138" s="9">
        <f t="shared" si="12"/>
        <v>2.917036509080857</v>
      </c>
      <c r="G138" s="9">
        <f t="shared" si="13"/>
        <v>0.34281367301607574</v>
      </c>
      <c r="H138" s="34" t="e">
        <f t="shared" si="14"/>
        <v>#NUM!</v>
      </c>
      <c r="I138" s="34" t="e">
        <f t="shared" si="15"/>
        <v>#NUM!</v>
      </c>
    </row>
    <row r="139" spans="3:9" ht="26.25" customHeight="1" x14ac:dyDescent="0.15">
      <c r="C139" s="17">
        <v>11</v>
      </c>
      <c r="D139" s="17">
        <v>9</v>
      </c>
      <c r="E139" s="17">
        <v>7</v>
      </c>
      <c r="F139" s="9">
        <f t="shared" si="12"/>
        <v>2.917036509080857</v>
      </c>
      <c r="G139" s="9">
        <f t="shared" si="13"/>
        <v>0.34281367301607574</v>
      </c>
      <c r="H139" s="34" t="e">
        <f t="shared" si="14"/>
        <v>#NUM!</v>
      </c>
      <c r="I139" s="34" t="e">
        <f t="shared" si="15"/>
        <v>#NUM!</v>
      </c>
    </row>
    <row r="140" spans="3:9" ht="26.25" customHeight="1" x14ac:dyDescent="0.15">
      <c r="C140" s="17">
        <v>13</v>
      </c>
      <c r="D140" s="17">
        <v>9</v>
      </c>
      <c r="E140" s="17">
        <v>1</v>
      </c>
      <c r="F140" s="9">
        <f t="shared" si="12"/>
        <v>2.917036509080857</v>
      </c>
      <c r="G140" s="9">
        <f t="shared" si="13"/>
        <v>0.34281367301607574</v>
      </c>
      <c r="H140" s="34" t="e">
        <f t="shared" si="14"/>
        <v>#NUM!</v>
      </c>
      <c r="I140" s="34" t="e">
        <f t="shared" si="15"/>
        <v>#NUM!</v>
      </c>
    </row>
    <row r="141" spans="3:9" ht="26.25" customHeight="1" x14ac:dyDescent="0.15">
      <c r="C141" s="17">
        <v>15</v>
      </c>
      <c r="D141" s="17">
        <v>5</v>
      </c>
      <c r="E141" s="17">
        <v>1</v>
      </c>
      <c r="F141" s="9">
        <f t="shared" si="12"/>
        <v>2.917036509080857</v>
      </c>
      <c r="G141" s="9">
        <f t="shared" si="13"/>
        <v>0.34281367301607574</v>
      </c>
      <c r="H141" s="34" t="e">
        <f t="shared" si="14"/>
        <v>#NUM!</v>
      </c>
      <c r="I141" s="34" t="e">
        <f t="shared" si="15"/>
        <v>#NUM!</v>
      </c>
    </row>
    <row r="142" spans="3:9" ht="26.25" customHeight="1" x14ac:dyDescent="0.15">
      <c r="C142" s="17">
        <v>16</v>
      </c>
      <c r="D142" s="17">
        <v>0</v>
      </c>
      <c r="E142" s="17">
        <v>0</v>
      </c>
      <c r="F142" s="9">
        <f t="shared" si="12"/>
        <v>2.9459473890620655</v>
      </c>
      <c r="G142" s="9">
        <f t="shared" si="13"/>
        <v>0.339449375</v>
      </c>
      <c r="H142" s="34" t="e">
        <f t="shared" si="14"/>
        <v>#NUM!</v>
      </c>
      <c r="I142" s="34" t="e">
        <f t="shared" si="15"/>
        <v>#NUM!</v>
      </c>
    </row>
    <row r="143" spans="3:9" ht="26.25" customHeight="1" x14ac:dyDescent="0.15">
      <c r="C143" s="17">
        <v>13</v>
      </c>
      <c r="D143" s="17">
        <v>9</v>
      </c>
      <c r="E143" s="17">
        <v>3</v>
      </c>
      <c r="F143" s="9">
        <f t="shared" si="12"/>
        <v>2.9631585231654722</v>
      </c>
      <c r="G143" s="9">
        <f t="shared" si="13"/>
        <v>0.33747772594080577</v>
      </c>
      <c r="H143" s="34" t="e">
        <f t="shared" si="14"/>
        <v>#NUM!</v>
      </c>
      <c r="I143" s="34" t="e">
        <f t="shared" si="15"/>
        <v>#NUM!</v>
      </c>
    </row>
    <row r="144" spans="3:9" ht="26.25" customHeight="1" x14ac:dyDescent="0.15">
      <c r="C144" s="17">
        <v>15</v>
      </c>
      <c r="D144" s="17">
        <v>5</v>
      </c>
      <c r="E144" s="17">
        <v>3</v>
      </c>
      <c r="F144" s="9">
        <f t="shared" si="12"/>
        <v>2.9631585231654722</v>
      </c>
      <c r="G144" s="9">
        <f t="shared" si="13"/>
        <v>0.33747772594080577</v>
      </c>
      <c r="H144" s="34" t="e">
        <f t="shared" si="14"/>
        <v>#NUM!</v>
      </c>
      <c r="I144" s="34" t="e">
        <f t="shared" si="15"/>
        <v>#NUM!</v>
      </c>
    </row>
    <row r="145" spans="3:9" ht="26.25" customHeight="1" x14ac:dyDescent="0.15">
      <c r="C145" s="17">
        <v>12</v>
      </c>
      <c r="D145" s="17">
        <v>10</v>
      </c>
      <c r="E145" s="17">
        <v>4</v>
      </c>
      <c r="F145" s="9">
        <f t="shared" si="12"/>
        <v>2.9688733954431901</v>
      </c>
      <c r="G145" s="9">
        <f t="shared" si="13"/>
        <v>0.33682810507678151</v>
      </c>
      <c r="H145" s="34" t="e">
        <f t="shared" si="14"/>
        <v>#NUM!</v>
      </c>
      <c r="I145" s="34" t="e">
        <f t="shared" si="15"/>
        <v>#NUM!</v>
      </c>
    </row>
    <row r="146" spans="3:9" ht="26.25" customHeight="1" x14ac:dyDescent="0.15">
      <c r="C146" s="17">
        <v>10</v>
      </c>
      <c r="D146" s="17">
        <v>10</v>
      </c>
      <c r="E146" s="17">
        <v>8</v>
      </c>
      <c r="F146" s="9">
        <f t="shared" si="12"/>
        <v>2.9916237158471568</v>
      </c>
      <c r="G146" s="9">
        <f t="shared" si="13"/>
        <v>0.33426663744602109</v>
      </c>
      <c r="H146" s="34" t="e">
        <f t="shared" si="14"/>
        <v>#NUM!</v>
      </c>
      <c r="I146" s="34" t="e">
        <f t="shared" si="15"/>
        <v>#NUM!</v>
      </c>
    </row>
    <row r="147" spans="3:9" ht="26.25" customHeight="1" x14ac:dyDescent="0.15">
      <c r="C147" s="17">
        <v>14</v>
      </c>
      <c r="D147" s="17">
        <v>8</v>
      </c>
      <c r="E147" s="17">
        <v>2</v>
      </c>
      <c r="F147" s="9">
        <f t="shared" si="12"/>
        <v>2.9916237158471568</v>
      </c>
      <c r="G147" s="9">
        <f t="shared" si="13"/>
        <v>0.33426663744602109</v>
      </c>
      <c r="H147" s="34" t="e">
        <f t="shared" si="14"/>
        <v>#NUM!</v>
      </c>
      <c r="I147" s="34" t="e">
        <f t="shared" si="15"/>
        <v>#NUM!</v>
      </c>
    </row>
    <row r="148" spans="3:9" ht="26.25" customHeight="1" x14ac:dyDescent="0.15">
      <c r="C148" s="17">
        <v>16</v>
      </c>
      <c r="D148" s="17">
        <v>2</v>
      </c>
      <c r="E148" s="17">
        <v>2</v>
      </c>
      <c r="F148" s="9">
        <f t="shared" si="12"/>
        <v>2.9916237158471568</v>
      </c>
      <c r="G148" s="9">
        <f t="shared" si="13"/>
        <v>0.33426663744602109</v>
      </c>
      <c r="H148" s="34" t="e">
        <f t="shared" si="14"/>
        <v>#NUM!</v>
      </c>
      <c r="I148" s="34" t="e">
        <f t="shared" si="15"/>
        <v>#NUM!</v>
      </c>
    </row>
    <row r="149" spans="3:9" ht="26.25" customHeight="1" x14ac:dyDescent="0.15">
      <c r="C149" s="17">
        <v>13</v>
      </c>
      <c r="D149" s="17">
        <v>7</v>
      </c>
      <c r="E149" s="17">
        <v>7</v>
      </c>
      <c r="F149" s="9">
        <f t="shared" si="12"/>
        <v>3.0085735609264619</v>
      </c>
      <c r="G149" s="9">
        <f t="shared" si="13"/>
        <v>0.3323834301369249</v>
      </c>
      <c r="H149" s="34" t="e">
        <f t="shared" si="14"/>
        <v>#NUM!</v>
      </c>
      <c r="I149" s="34" t="e">
        <f t="shared" si="15"/>
        <v>#NUM!</v>
      </c>
    </row>
    <row r="150" spans="3:9" ht="26.25" customHeight="1" x14ac:dyDescent="0.15">
      <c r="C150" s="17">
        <v>11</v>
      </c>
      <c r="D150" s="17">
        <v>11</v>
      </c>
      <c r="E150" s="17">
        <v>5</v>
      </c>
      <c r="F150" s="9">
        <f t="shared" si="12"/>
        <v>3.0085735609264619</v>
      </c>
      <c r="G150" s="9">
        <f t="shared" si="13"/>
        <v>0.3323834301369249</v>
      </c>
      <c r="H150" s="34" t="e">
        <f t="shared" si="14"/>
        <v>#NUM!</v>
      </c>
      <c r="I150" s="34" t="e">
        <f t="shared" si="15"/>
        <v>#NUM!</v>
      </c>
    </row>
    <row r="151" spans="3:9" ht="26.25" customHeight="1" x14ac:dyDescent="0.15">
      <c r="C151" s="17">
        <v>14</v>
      </c>
      <c r="D151" s="17">
        <v>6</v>
      </c>
      <c r="E151" s="17">
        <v>6</v>
      </c>
      <c r="F151" s="9">
        <f t="shared" si="12"/>
        <v>3.0142023283561983</v>
      </c>
      <c r="G151" s="9">
        <f t="shared" si="13"/>
        <v>0.33176273224676067</v>
      </c>
      <c r="H151" s="34" t="e">
        <f t="shared" si="14"/>
        <v>#NUM!</v>
      </c>
      <c r="I151" s="34" t="e">
        <f t="shared" si="15"/>
        <v>#NUM!</v>
      </c>
    </row>
    <row r="152" spans="3:9" ht="26.25" customHeight="1" x14ac:dyDescent="0.15">
      <c r="C152" s="17">
        <v>12</v>
      </c>
      <c r="D152" s="17">
        <v>8</v>
      </c>
      <c r="E152" s="17">
        <v>8</v>
      </c>
      <c r="F152" s="9">
        <f t="shared" si="12"/>
        <v>3.0366130631538653</v>
      </c>
      <c r="G152" s="9">
        <f t="shared" si="13"/>
        <v>0.32931426533527036</v>
      </c>
      <c r="H152" s="34" t="e">
        <f t="shared" si="14"/>
        <v>#NUM!</v>
      </c>
      <c r="I152" s="34" t="e">
        <f t="shared" si="15"/>
        <v>#NUM!</v>
      </c>
    </row>
    <row r="153" spans="3:9" ht="26.25" customHeight="1" x14ac:dyDescent="0.15">
      <c r="C153" s="17">
        <v>16</v>
      </c>
      <c r="D153" s="17">
        <v>4</v>
      </c>
      <c r="E153" s="17">
        <v>0</v>
      </c>
      <c r="F153" s="9">
        <f t="shared" si="12"/>
        <v>3.0366130631538653</v>
      </c>
      <c r="G153" s="9">
        <f t="shared" si="13"/>
        <v>0.32931426533527036</v>
      </c>
      <c r="H153" s="34" t="e">
        <f t="shared" si="14"/>
        <v>#NUM!</v>
      </c>
      <c r="I153" s="34" t="e">
        <f t="shared" si="15"/>
        <v>#NUM!</v>
      </c>
    </row>
    <row r="154" spans="3:9" ht="26.25" customHeight="1" x14ac:dyDescent="0.15">
      <c r="C154" s="17">
        <v>13</v>
      </c>
      <c r="D154" s="17">
        <v>9</v>
      </c>
      <c r="E154" s="17">
        <v>5</v>
      </c>
      <c r="F154" s="9">
        <f t="shared" si="12"/>
        <v>3.0533131692643782</v>
      </c>
      <c r="G154" s="9">
        <f t="shared" si="13"/>
        <v>0.32751307991146084</v>
      </c>
      <c r="H154" s="34" t="e">
        <f t="shared" si="14"/>
        <v>#NUM!</v>
      </c>
      <c r="I154" s="34" t="e">
        <f t="shared" si="15"/>
        <v>#NUM!</v>
      </c>
    </row>
    <row r="155" spans="3:9" ht="26.25" customHeight="1" x14ac:dyDescent="0.15">
      <c r="C155" s="17">
        <v>15</v>
      </c>
      <c r="D155" s="17">
        <v>7</v>
      </c>
      <c r="E155" s="17">
        <v>1</v>
      </c>
      <c r="F155" s="9">
        <f t="shared" si="12"/>
        <v>3.0533131692643782</v>
      </c>
      <c r="G155" s="9">
        <f t="shared" si="13"/>
        <v>0.32751307991146084</v>
      </c>
      <c r="H155" s="34" t="e">
        <f t="shared" si="14"/>
        <v>#NUM!</v>
      </c>
      <c r="I155" s="34" t="e">
        <f t="shared" si="15"/>
        <v>#NUM!</v>
      </c>
    </row>
    <row r="156" spans="3:9" ht="26.25" customHeight="1" x14ac:dyDescent="0.15">
      <c r="C156" s="17">
        <v>15</v>
      </c>
      <c r="D156" s="17">
        <v>5</v>
      </c>
      <c r="E156" s="17">
        <v>5</v>
      </c>
      <c r="F156" s="9">
        <f t="shared" ref="F156:F181" si="16">SQRT(C156^2*$C$6^2+D156^2*$D$6^2+E156^2*$E$6^2+2*$C$6*$D$6*C156*D156*COS(RADIANS($H$6))+2*$C$6*$E$6*C156*E156*COS(RADIANS($G$6))+2*$D$6*$E$6*D156*E156*COS(RADIANS($F$6)))</f>
        <v>3.0533131692643782</v>
      </c>
      <c r="G156" s="9">
        <f t="shared" ref="G156:G181" si="17">1/F156</f>
        <v>0.32751307991146084</v>
      </c>
      <c r="H156" s="34" t="e">
        <f t="shared" ref="H156:H181" si="18">DEGREES(ASIN(F156*$D$9/2))</f>
        <v>#NUM!</v>
      </c>
      <c r="I156" s="34" t="e">
        <f t="shared" ref="I156:I181" si="19">H156*2</f>
        <v>#NUM!</v>
      </c>
    </row>
    <row r="157" spans="3:9" ht="26.25" customHeight="1" x14ac:dyDescent="0.15">
      <c r="C157" s="17">
        <v>14</v>
      </c>
      <c r="D157" s="17">
        <v>8</v>
      </c>
      <c r="E157" s="17">
        <v>4</v>
      </c>
      <c r="F157" s="9">
        <f t="shared" si="16"/>
        <v>3.058859610110519</v>
      </c>
      <c r="G157" s="9">
        <f t="shared" si="17"/>
        <v>0.32691922071044943</v>
      </c>
      <c r="H157" s="34" t="e">
        <f t="shared" si="18"/>
        <v>#NUM!</v>
      </c>
      <c r="I157" s="34" t="e">
        <f t="shared" si="19"/>
        <v>#NUM!</v>
      </c>
    </row>
    <row r="158" spans="3:9" ht="26.25" customHeight="1" x14ac:dyDescent="0.15">
      <c r="C158" s="17">
        <v>16</v>
      </c>
      <c r="D158" s="17">
        <v>4</v>
      </c>
      <c r="E158" s="17">
        <v>2</v>
      </c>
      <c r="F158" s="9">
        <f t="shared" si="16"/>
        <v>3.058859610110519</v>
      </c>
      <c r="G158" s="9">
        <f t="shared" si="17"/>
        <v>0.32691922071044943</v>
      </c>
      <c r="H158" s="34" t="e">
        <f t="shared" si="18"/>
        <v>#NUM!</v>
      </c>
      <c r="I158" s="34" t="e">
        <f t="shared" si="19"/>
        <v>#NUM!</v>
      </c>
    </row>
    <row r="159" spans="3:9" ht="26.25" customHeight="1" x14ac:dyDescent="0.15">
      <c r="C159" s="17">
        <v>12</v>
      </c>
      <c r="D159" s="17">
        <v>10</v>
      </c>
      <c r="E159" s="17">
        <v>6</v>
      </c>
      <c r="F159" s="9">
        <f t="shared" si="16"/>
        <v>3.0809455258758232</v>
      </c>
      <c r="G159" s="9">
        <f t="shared" si="17"/>
        <v>0.32457568353654326</v>
      </c>
      <c r="H159" s="34" t="e">
        <f t="shared" si="18"/>
        <v>#NUM!</v>
      </c>
      <c r="I159" s="34" t="e">
        <f t="shared" si="19"/>
        <v>#NUM!</v>
      </c>
    </row>
    <row r="160" spans="3:9" ht="26.25" customHeight="1" x14ac:dyDescent="0.15">
      <c r="C160" s="17">
        <v>11</v>
      </c>
      <c r="D160" s="17">
        <v>9</v>
      </c>
      <c r="E160" s="17">
        <v>9</v>
      </c>
      <c r="F160" s="9">
        <f t="shared" si="16"/>
        <v>3.0974066164617184</v>
      </c>
      <c r="G160" s="9">
        <f t="shared" si="17"/>
        <v>0.32285073412232096</v>
      </c>
      <c r="H160" s="34" t="e">
        <f t="shared" si="18"/>
        <v>#NUM!</v>
      </c>
      <c r="I160" s="34" t="e">
        <f t="shared" si="19"/>
        <v>#NUM!</v>
      </c>
    </row>
    <row r="161" spans="3:9" ht="26.25" customHeight="1" x14ac:dyDescent="0.15">
      <c r="C161" s="17">
        <v>15</v>
      </c>
      <c r="D161" s="17">
        <v>7</v>
      </c>
      <c r="E161" s="17">
        <v>3</v>
      </c>
      <c r="F161" s="9">
        <f t="shared" si="16"/>
        <v>3.0974066164617184</v>
      </c>
      <c r="G161" s="9">
        <f t="shared" si="17"/>
        <v>0.32285073412232096</v>
      </c>
      <c r="H161" s="34" t="e">
        <f t="shared" si="18"/>
        <v>#NUM!</v>
      </c>
      <c r="I161" s="34" t="e">
        <f t="shared" si="19"/>
        <v>#NUM!</v>
      </c>
    </row>
    <row r="162" spans="3:9" ht="26.25" customHeight="1" x14ac:dyDescent="0.15">
      <c r="C162" s="17">
        <v>16</v>
      </c>
      <c r="D162" s="17">
        <v>4</v>
      </c>
      <c r="E162" s="17">
        <v>4</v>
      </c>
      <c r="F162" s="9">
        <f t="shared" si="16"/>
        <v>3.1246490637368862</v>
      </c>
      <c r="G162" s="9">
        <f t="shared" si="17"/>
        <v>0.32003593990938045</v>
      </c>
      <c r="H162" s="34" t="e">
        <f t="shared" si="18"/>
        <v>#NUM!</v>
      </c>
      <c r="I162" s="34" t="e">
        <f t="shared" si="19"/>
        <v>#NUM!</v>
      </c>
    </row>
    <row r="163" spans="3:9" ht="26.25" customHeight="1" x14ac:dyDescent="0.15">
      <c r="C163" s="17">
        <v>12</v>
      </c>
      <c r="D163" s="17">
        <v>12</v>
      </c>
      <c r="E163" s="17">
        <v>0</v>
      </c>
      <c r="F163" s="9">
        <f t="shared" si="16"/>
        <v>3.1246490637368862</v>
      </c>
      <c r="G163" s="9">
        <f t="shared" si="17"/>
        <v>0.32003593990938045</v>
      </c>
      <c r="H163" s="34" t="e">
        <f t="shared" si="18"/>
        <v>#NUM!</v>
      </c>
      <c r="I163" s="34" t="e">
        <f t="shared" si="19"/>
        <v>#NUM!</v>
      </c>
    </row>
    <row r="164" spans="3:9" ht="26.25" customHeight="1" x14ac:dyDescent="0.15">
      <c r="C164" s="17">
        <v>11</v>
      </c>
      <c r="D164" s="17">
        <v>11</v>
      </c>
      <c r="E164" s="17">
        <v>7</v>
      </c>
      <c r="F164" s="9">
        <f t="shared" si="16"/>
        <v>3.140881116151705</v>
      </c>
      <c r="G164" s="9">
        <f t="shared" si="17"/>
        <v>0.31838199633140774</v>
      </c>
      <c r="H164" s="34" t="e">
        <f t="shared" si="18"/>
        <v>#NUM!</v>
      </c>
      <c r="I164" s="34" t="e">
        <f t="shared" si="19"/>
        <v>#NUM!</v>
      </c>
    </row>
    <row r="165" spans="3:9" ht="26.25" customHeight="1" x14ac:dyDescent="0.15">
      <c r="C165" s="17">
        <v>13</v>
      </c>
      <c r="D165" s="17">
        <v>11</v>
      </c>
      <c r="E165" s="17">
        <v>1</v>
      </c>
      <c r="F165" s="9">
        <f t="shared" si="16"/>
        <v>3.1408811161517054</v>
      </c>
      <c r="G165" s="9">
        <f t="shared" si="17"/>
        <v>0.31838199633140768</v>
      </c>
      <c r="H165" s="34" t="e">
        <f t="shared" si="18"/>
        <v>#NUM!</v>
      </c>
      <c r="I165" s="34" t="e">
        <f t="shared" si="19"/>
        <v>#NUM!</v>
      </c>
    </row>
    <row r="166" spans="3:9" ht="26.25" customHeight="1" x14ac:dyDescent="0.15">
      <c r="C166" s="17">
        <v>17</v>
      </c>
      <c r="D166" s="17">
        <v>1</v>
      </c>
      <c r="E166" s="17">
        <v>1</v>
      </c>
      <c r="F166" s="9">
        <f t="shared" si="16"/>
        <v>3.1408811161517054</v>
      </c>
      <c r="G166" s="9">
        <f t="shared" si="17"/>
        <v>0.31838199633140768</v>
      </c>
      <c r="H166" s="34" t="e">
        <f t="shared" si="18"/>
        <v>#NUM!</v>
      </c>
      <c r="I166" s="34" t="e">
        <f t="shared" si="19"/>
        <v>#NUM!</v>
      </c>
    </row>
    <row r="167" spans="3:9" ht="26.25" customHeight="1" x14ac:dyDescent="0.15">
      <c r="C167" s="17">
        <v>12</v>
      </c>
      <c r="D167" s="17">
        <v>12</v>
      </c>
      <c r="E167" s="17">
        <v>2</v>
      </c>
      <c r="F167" s="9">
        <f t="shared" si="16"/>
        <v>3.1462731907068364</v>
      </c>
      <c r="G167" s="9">
        <f t="shared" si="17"/>
        <v>0.31783635412007616</v>
      </c>
      <c r="H167" s="34" t="e">
        <f t="shared" si="18"/>
        <v>#NUM!</v>
      </c>
      <c r="I167" s="34" t="e">
        <f t="shared" si="19"/>
        <v>#NUM!</v>
      </c>
    </row>
    <row r="168" spans="3:9" ht="26.25" customHeight="1" x14ac:dyDescent="0.15">
      <c r="C168" s="17">
        <v>16</v>
      </c>
      <c r="D168" s="17">
        <v>6</v>
      </c>
      <c r="E168" s="17">
        <v>2</v>
      </c>
      <c r="F168" s="9">
        <f t="shared" si="16"/>
        <v>3.1677497075383578</v>
      </c>
      <c r="G168" s="9">
        <f t="shared" si="17"/>
        <v>0.31568150653452193</v>
      </c>
      <c r="H168" s="34" t="e">
        <f t="shared" si="18"/>
        <v>#NUM!</v>
      </c>
      <c r="I168" s="34" t="e">
        <f t="shared" si="19"/>
        <v>#NUM!</v>
      </c>
    </row>
    <row r="169" spans="3:9" ht="26.25" customHeight="1" x14ac:dyDescent="0.15">
      <c r="C169" s="17">
        <v>14</v>
      </c>
      <c r="D169" s="17">
        <v>8</v>
      </c>
      <c r="E169" s="17">
        <v>6</v>
      </c>
      <c r="F169" s="9">
        <f t="shared" si="16"/>
        <v>3.1677497075383578</v>
      </c>
      <c r="G169" s="9">
        <f t="shared" si="17"/>
        <v>0.31568150653452193</v>
      </c>
      <c r="H169" s="34" t="e">
        <f t="shared" si="18"/>
        <v>#NUM!</v>
      </c>
      <c r="I169" s="34" t="e">
        <f t="shared" si="19"/>
        <v>#NUM!</v>
      </c>
    </row>
    <row r="170" spans="3:9" ht="26.25" customHeight="1" x14ac:dyDescent="0.15">
      <c r="C170" s="17">
        <v>14</v>
      </c>
      <c r="D170" s="17">
        <v>10</v>
      </c>
      <c r="E170" s="17">
        <v>0</v>
      </c>
      <c r="F170" s="9">
        <f t="shared" si="16"/>
        <v>3.1677497075383578</v>
      </c>
      <c r="G170" s="9">
        <f t="shared" si="17"/>
        <v>0.31568150653452193</v>
      </c>
      <c r="H170" s="34" t="e">
        <f t="shared" si="18"/>
        <v>#NUM!</v>
      </c>
      <c r="I170" s="34" t="e">
        <f t="shared" si="19"/>
        <v>#NUM!</v>
      </c>
    </row>
    <row r="171" spans="3:9" ht="26.25" customHeight="1" x14ac:dyDescent="0.15">
      <c r="C171" s="17">
        <v>13</v>
      </c>
      <c r="D171" s="17">
        <v>11</v>
      </c>
      <c r="E171" s="17">
        <v>3</v>
      </c>
      <c r="F171" s="9">
        <f t="shared" si="16"/>
        <v>3.1837620237536495</v>
      </c>
      <c r="G171" s="9">
        <f t="shared" si="17"/>
        <v>0.31409382753457243</v>
      </c>
      <c r="H171" s="34" t="e">
        <f t="shared" si="18"/>
        <v>#NUM!</v>
      </c>
      <c r="I171" s="34" t="e">
        <f t="shared" si="19"/>
        <v>#NUM!</v>
      </c>
    </row>
    <row r="172" spans="3:9" ht="26.25" customHeight="1" x14ac:dyDescent="0.15">
      <c r="C172" s="17">
        <v>13</v>
      </c>
      <c r="D172" s="17">
        <v>9</v>
      </c>
      <c r="E172" s="17">
        <v>7</v>
      </c>
      <c r="F172" s="9">
        <f t="shared" si="16"/>
        <v>3.183762023753649</v>
      </c>
      <c r="G172" s="9">
        <f t="shared" si="17"/>
        <v>0.31409382753457243</v>
      </c>
      <c r="H172" s="34" t="e">
        <f t="shared" si="18"/>
        <v>#NUM!</v>
      </c>
      <c r="I172" s="34" t="e">
        <f t="shared" si="19"/>
        <v>#NUM!</v>
      </c>
    </row>
    <row r="173" spans="3:9" ht="26.25" customHeight="1" x14ac:dyDescent="0.15">
      <c r="C173" s="17">
        <v>15</v>
      </c>
      <c r="D173" s="17">
        <v>7</v>
      </c>
      <c r="E173" s="17">
        <v>5</v>
      </c>
      <c r="F173" s="9">
        <f t="shared" si="16"/>
        <v>3.183762023753649</v>
      </c>
      <c r="G173" s="9">
        <f t="shared" si="17"/>
        <v>0.31409382753457243</v>
      </c>
      <c r="H173" s="34" t="e">
        <f t="shared" si="18"/>
        <v>#NUM!</v>
      </c>
      <c r="I173" s="34" t="e">
        <f t="shared" si="19"/>
        <v>#NUM!</v>
      </c>
    </row>
    <row r="174" spans="3:9" ht="26.25" customHeight="1" x14ac:dyDescent="0.15">
      <c r="C174" s="17">
        <v>17</v>
      </c>
      <c r="D174" s="17">
        <v>3</v>
      </c>
      <c r="E174" s="17">
        <v>1</v>
      </c>
      <c r="F174" s="9">
        <f t="shared" si="16"/>
        <v>3.1837620237536495</v>
      </c>
      <c r="G174" s="9">
        <f t="shared" si="17"/>
        <v>0.31409382753457243</v>
      </c>
      <c r="H174" s="34" t="e">
        <f t="shared" si="18"/>
        <v>#NUM!</v>
      </c>
      <c r="I174" s="34" t="e">
        <f t="shared" si="19"/>
        <v>#NUM!</v>
      </c>
    </row>
    <row r="175" spans="3:9" ht="26.25" customHeight="1" x14ac:dyDescent="0.15">
      <c r="C175" s="17">
        <v>14</v>
      </c>
      <c r="D175" s="17">
        <v>10</v>
      </c>
      <c r="E175" s="17">
        <v>2</v>
      </c>
      <c r="F175" s="9">
        <f t="shared" si="16"/>
        <v>3.1890815964252353</v>
      </c>
      <c r="G175" s="9">
        <f t="shared" si="17"/>
        <v>0.31356990085200037</v>
      </c>
      <c r="H175" s="34" t="e">
        <f t="shared" si="18"/>
        <v>#NUM!</v>
      </c>
      <c r="I175" s="34" t="e">
        <f t="shared" si="19"/>
        <v>#NUM!</v>
      </c>
    </row>
    <row r="176" spans="3:9" ht="26.25" customHeight="1" x14ac:dyDescent="0.15">
      <c r="C176" s="17">
        <v>10</v>
      </c>
      <c r="D176" s="17">
        <v>10</v>
      </c>
      <c r="E176" s="17">
        <v>10</v>
      </c>
      <c r="F176" s="9">
        <f t="shared" si="16"/>
        <v>3.1890815964252353</v>
      </c>
      <c r="G176" s="9">
        <f t="shared" si="17"/>
        <v>0.31356990085200037</v>
      </c>
      <c r="H176" s="34" t="e">
        <f t="shared" si="18"/>
        <v>#NUM!</v>
      </c>
      <c r="I176" s="34" t="e">
        <f t="shared" si="19"/>
        <v>#NUM!</v>
      </c>
    </row>
    <row r="177" spans="3:9" ht="26.25" customHeight="1" x14ac:dyDescent="0.15">
      <c r="C177" s="17">
        <v>12</v>
      </c>
      <c r="D177" s="17">
        <v>12</v>
      </c>
      <c r="E177" s="17">
        <v>4</v>
      </c>
      <c r="F177" s="9">
        <f t="shared" si="16"/>
        <v>3.2102717404772605</v>
      </c>
      <c r="G177" s="9">
        <f t="shared" si="17"/>
        <v>0.31150010991011412</v>
      </c>
      <c r="H177" s="34" t="e">
        <f t="shared" si="18"/>
        <v>#NUM!</v>
      </c>
      <c r="I177" s="34" t="e">
        <f t="shared" si="19"/>
        <v>#NUM!</v>
      </c>
    </row>
    <row r="178" spans="3:9" ht="26.25" customHeight="1" x14ac:dyDescent="0.15">
      <c r="C178" s="17">
        <v>17</v>
      </c>
      <c r="D178" s="17">
        <v>3</v>
      </c>
      <c r="E178" s="17">
        <v>3</v>
      </c>
      <c r="F178" s="9">
        <f t="shared" si="16"/>
        <v>3.2260730094022181</v>
      </c>
      <c r="G178" s="9">
        <f t="shared" si="17"/>
        <v>0.30997438591301352</v>
      </c>
      <c r="H178" s="34" t="e">
        <f t="shared" si="18"/>
        <v>#NUM!</v>
      </c>
      <c r="I178" s="34" t="e">
        <f t="shared" si="19"/>
        <v>#NUM!</v>
      </c>
    </row>
    <row r="179" spans="3:9" ht="26.25" customHeight="1" x14ac:dyDescent="0.15">
      <c r="C179" s="17">
        <v>15</v>
      </c>
      <c r="D179" s="17">
        <v>9</v>
      </c>
      <c r="E179" s="17">
        <v>1</v>
      </c>
      <c r="F179" s="9">
        <f t="shared" si="16"/>
        <v>3.2260730094022176</v>
      </c>
      <c r="G179" s="9">
        <f t="shared" si="17"/>
        <v>0.30997438591301357</v>
      </c>
      <c r="H179" s="34" t="e">
        <f t="shared" si="18"/>
        <v>#NUM!</v>
      </c>
      <c r="I179" s="34" t="e">
        <f t="shared" si="19"/>
        <v>#NUM!</v>
      </c>
    </row>
    <row r="180" spans="3:9" ht="26.25" customHeight="1" x14ac:dyDescent="0.15">
      <c r="C180" s="17">
        <v>16</v>
      </c>
      <c r="D180" s="17">
        <v>6</v>
      </c>
      <c r="E180" s="17">
        <v>4</v>
      </c>
      <c r="F180" s="9">
        <f t="shared" si="16"/>
        <v>3.2313229282688036</v>
      </c>
      <c r="G180" s="9">
        <f t="shared" si="17"/>
        <v>0.30947077163091052</v>
      </c>
      <c r="H180" s="34" t="e">
        <f t="shared" si="18"/>
        <v>#NUM!</v>
      </c>
      <c r="I180" s="34" t="e">
        <f t="shared" si="19"/>
        <v>#NUM!</v>
      </c>
    </row>
    <row r="181" spans="3:9" ht="26.25" customHeight="1" x14ac:dyDescent="0.15">
      <c r="C181" s="17">
        <v>12</v>
      </c>
      <c r="D181" s="17">
        <v>10</v>
      </c>
      <c r="E181" s="17">
        <v>8</v>
      </c>
      <c r="F181" s="9">
        <f t="shared" si="16"/>
        <v>3.2313229282688036</v>
      </c>
      <c r="G181" s="9">
        <f t="shared" si="17"/>
        <v>0.30947077163091052</v>
      </c>
      <c r="H181" s="34" t="e">
        <f t="shared" si="18"/>
        <v>#NUM!</v>
      </c>
      <c r="I181" s="34" t="e">
        <f t="shared" si="19"/>
        <v>#NUM!</v>
      </c>
    </row>
  </sheetData>
  <mergeCells count="2">
    <mergeCell ref="C11:E11"/>
    <mergeCell ref="H11:I11"/>
  </mergeCells>
  <phoneticPr fontId="1"/>
  <pageMargins left="0.75" right="0.75" top="1" bottom="1" header="0.51200000000000001" footer="0.51200000000000001"/>
  <pageSetup paperSize="9" orientation="portrait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188"/>
  <sheetViews>
    <sheetView zoomScale="70" zoomScaleNormal="70" workbookViewId="0">
      <selection activeCell="C9" sqref="C9"/>
    </sheetView>
  </sheetViews>
  <sheetFormatPr defaultColWidth="9" defaultRowHeight="14.25" x14ac:dyDescent="0.15"/>
  <cols>
    <col min="1" max="1" width="2.375" style="4" customWidth="1"/>
    <col min="2" max="2" width="18.5" style="4" bestFit="1" customWidth="1"/>
    <col min="3" max="5" width="10.5" style="4" customWidth="1"/>
    <col min="6" max="6" width="18.875" style="4" customWidth="1"/>
    <col min="7" max="10" width="10.5" style="4" customWidth="1"/>
    <col min="11" max="11" width="13.375" style="4" bestFit="1" customWidth="1"/>
    <col min="12" max="16384" width="9" style="4"/>
  </cols>
  <sheetData>
    <row r="2" spans="2:27" ht="24" customHeight="1" x14ac:dyDescent="0.15">
      <c r="B2" s="1"/>
      <c r="C2" s="2" t="s">
        <v>7</v>
      </c>
      <c r="D2" s="2" t="s">
        <v>8</v>
      </c>
      <c r="E2" s="2" t="s">
        <v>9</v>
      </c>
      <c r="F2" s="3" t="s">
        <v>10</v>
      </c>
      <c r="G2" s="3" t="s">
        <v>11</v>
      </c>
      <c r="H2" s="3" t="s">
        <v>12</v>
      </c>
      <c r="I2" s="2" t="s">
        <v>13</v>
      </c>
      <c r="J2" s="40"/>
    </row>
    <row r="3" spans="2:27" ht="30" customHeight="1" x14ac:dyDescent="0.15">
      <c r="B3" s="5" t="s">
        <v>0</v>
      </c>
      <c r="C3" s="53">
        <v>27.029</v>
      </c>
      <c r="D3" s="53">
        <v>7.4302999999999999</v>
      </c>
      <c r="E3" s="53">
        <v>14.217499999999999</v>
      </c>
      <c r="F3" s="54">
        <v>90</v>
      </c>
      <c r="G3" s="54">
        <v>93.456000000000003</v>
      </c>
      <c r="H3" s="54">
        <v>90</v>
      </c>
      <c r="I3" s="8">
        <f>C3*D3*E3*SQRT(1-COS(RADIANS(F3))^2-COS(RADIANS(G3))^2-COS(RADIANS(H3))^2+2*COS(RADIANS(F3))*COS(RADIANS(G3))*COS(RADIANS(H3)))</f>
        <v>2850.1586231566257</v>
      </c>
      <c r="J3" s="41"/>
      <c r="K3" s="4" t="s">
        <v>52</v>
      </c>
    </row>
    <row r="4" spans="2:27" ht="12.75" customHeight="1" x14ac:dyDescent="0.15"/>
    <row r="5" spans="2:27" ht="24" customHeight="1" x14ac:dyDescent="0.15">
      <c r="B5" s="1"/>
      <c r="C5" s="2" t="s">
        <v>14</v>
      </c>
      <c r="D5" s="2" t="s">
        <v>15</v>
      </c>
      <c r="E5" s="2" t="s">
        <v>16</v>
      </c>
      <c r="F5" s="3" t="s">
        <v>17</v>
      </c>
      <c r="G5" s="3" t="s">
        <v>18</v>
      </c>
      <c r="H5" s="3" t="s">
        <v>19</v>
      </c>
      <c r="I5" s="2" t="s">
        <v>20</v>
      </c>
      <c r="J5" s="40"/>
    </row>
    <row r="6" spans="2:27" ht="36" customHeight="1" x14ac:dyDescent="0.15">
      <c r="B6" s="5" t="s">
        <v>1</v>
      </c>
      <c r="C6" s="9">
        <f>D3*E3*SIN(RADIANS(F3))/$I$3</f>
        <v>3.7064705589263162E-2</v>
      </c>
      <c r="D6" s="9">
        <f>E3*C3*SIN(RADIANS(G3))/$I$3</f>
        <v>0.13458406793803748</v>
      </c>
      <c r="E6" s="9">
        <f>D3*C3*SIN(RADIANS(H3))/$I$3</f>
        <v>7.0464000518529565E-2</v>
      </c>
      <c r="F6" s="8">
        <f>DEGREES(ACOS((COS(RADIANS(G3))*COS(RADIANS(H3))-COS(RADIANS(F3)))/(SIN(RADIANS(G3))*SIN(RADIANS(H3)))))</f>
        <v>90</v>
      </c>
      <c r="G6" s="8">
        <f>DEGREES(ACOS((COS(RADIANS(F3))*COS(RADIANS(H3))-COS(RADIANS(G3)))/(SIN(RADIANS(F3))*SIN(RADIANS(H3)))))</f>
        <v>86.543999999999997</v>
      </c>
      <c r="H6" s="8">
        <f>DEGREES(ACOS((COS(RADIANS(F3))*COS(RADIANS(G3))-COS(RADIANS(H3)))/(SIN(RADIANS(F3))*SIN(RADIANS(G3)))))</f>
        <v>90</v>
      </c>
      <c r="I6" s="10">
        <f>C6*D6*E6*SQRT(1-COS(RADIANS(F6))^2-COS(RADIANS(G6))^2-COS(RADIANS(H6))^2+2*COS(RADIANS(F6))*COS(RADIANS(G6))*COS(RADIANS(H6)))</f>
        <v>3.5085766521039213E-4</v>
      </c>
      <c r="J6" s="42"/>
      <c r="K6" s="4">
        <v>0.18412171181637901</v>
      </c>
    </row>
    <row r="8" spans="2:27" ht="24" customHeight="1" x14ac:dyDescent="0.15">
      <c r="B8" s="1"/>
      <c r="C8" s="2" t="s">
        <v>21</v>
      </c>
      <c r="D8" s="3" t="s">
        <v>22</v>
      </c>
      <c r="E8" s="46"/>
      <c r="F8" s="3"/>
      <c r="G8" s="3" t="s">
        <v>46</v>
      </c>
      <c r="H8" s="3" t="s">
        <v>49</v>
      </c>
      <c r="J8" s="46" t="s">
        <v>48</v>
      </c>
    </row>
    <row r="9" spans="2:27" ht="23.25" customHeight="1" x14ac:dyDescent="0.15">
      <c r="B9" s="11" t="s">
        <v>23</v>
      </c>
      <c r="C9" s="6">
        <v>8.0475510434976041</v>
      </c>
      <c r="D9" s="9">
        <f>12.398419/C9</f>
        <v>1.5406449655287224</v>
      </c>
      <c r="E9" s="47"/>
      <c r="F9" s="9"/>
      <c r="G9" s="50">
        <v>5.0000000000000001E-3</v>
      </c>
      <c r="H9" s="51">
        <f>RADIANS(G9)*1000</f>
        <v>8.7266462599716488E-2</v>
      </c>
      <c r="J9" s="48">
        <v>5.0000000000000001E-4</v>
      </c>
    </row>
    <row r="11" spans="2:27" ht="25.5" customHeight="1" x14ac:dyDescent="0.15">
      <c r="B11" s="13"/>
      <c r="C11" s="68" t="s">
        <v>31</v>
      </c>
      <c r="D11" s="69"/>
      <c r="E11" s="69"/>
      <c r="F11" s="1"/>
      <c r="G11" s="1"/>
      <c r="H11" s="66" t="s">
        <v>2</v>
      </c>
      <c r="I11" s="67"/>
      <c r="J11" s="43"/>
      <c r="R11" s="4">
        <v>1</v>
      </c>
      <c r="S11" s="4">
        <v>1</v>
      </c>
      <c r="T11" s="4">
        <v>1</v>
      </c>
      <c r="U11" s="4">
        <v>3.106722</v>
      </c>
      <c r="V11" s="4">
        <v>5.7330379999999996</v>
      </c>
      <c r="W11" s="4">
        <v>-5.3910590000000003</v>
      </c>
      <c r="X11" s="4">
        <v>7.8696400000000004</v>
      </c>
      <c r="Y11" s="4">
        <v>28.71189</v>
      </c>
      <c r="Z11" s="4">
        <v>100</v>
      </c>
      <c r="AA11" s="4">
        <v>8</v>
      </c>
    </row>
    <row r="12" spans="2:27" ht="26.25" customHeight="1" x14ac:dyDescent="0.15">
      <c r="C12" s="14" t="s">
        <v>3</v>
      </c>
      <c r="D12" s="14" t="s">
        <v>4</v>
      </c>
      <c r="E12" s="14" t="s">
        <v>5</v>
      </c>
      <c r="F12" s="14" t="s">
        <v>24</v>
      </c>
      <c r="G12" s="14" t="s">
        <v>25</v>
      </c>
      <c r="H12" s="15" t="s">
        <v>26</v>
      </c>
      <c r="I12" s="16" t="s">
        <v>27</v>
      </c>
      <c r="J12" s="44" t="s">
        <v>44</v>
      </c>
      <c r="R12" s="4">
        <v>2</v>
      </c>
      <c r="S12" s="4">
        <v>2</v>
      </c>
      <c r="T12" s="4">
        <v>0</v>
      </c>
      <c r="U12" s="4">
        <v>1.902471</v>
      </c>
      <c r="V12" s="4">
        <v>0.30582599999999999</v>
      </c>
      <c r="W12" s="4">
        <v>1.1315E-2</v>
      </c>
      <c r="X12" s="4">
        <v>0.306035</v>
      </c>
      <c r="Y12" s="4">
        <v>47.768799999999999</v>
      </c>
      <c r="Z12" s="4">
        <v>7.3959999999999998E-2</v>
      </c>
      <c r="AA12" s="4">
        <v>12</v>
      </c>
    </row>
    <row r="13" spans="2:27" ht="26.25" customHeight="1" x14ac:dyDescent="0.15">
      <c r="C13" s="17">
        <v>0</v>
      </c>
      <c r="D13" s="17">
        <v>0</v>
      </c>
      <c r="E13" s="17">
        <v>1</v>
      </c>
      <c r="F13" s="56">
        <f t="shared" ref="F13:F15" si="0">SQRT(C13^2*$C$6^2+D13^2*$D$6^2+E13^2*$E$6^2+2*$C$6*$D$6*C13*D13*COS(RADIANS($H$6))+2*$C$6*$E$6*C13*E13*COS(RADIANS($G$6))+2*$D$6*$E$6*D13*E13*COS(RADIANS($F$6)))</f>
        <v>7.0464000518529565E-2</v>
      </c>
      <c r="G13" s="9">
        <f t="shared" ref="G13:G18" si="1">1/F13</f>
        <v>14.191643855603047</v>
      </c>
      <c r="H13" s="34">
        <f t="shared" ref="H13:H15" si="2">DEGREES(ASIN(F13*$D$9/2))</f>
        <v>3.1115443421692879</v>
      </c>
      <c r="I13" s="34">
        <f t="shared" ref="I13:I18" si="3">H13*2</f>
        <v>6.2230886843385758</v>
      </c>
      <c r="J13" s="45">
        <f>DEGREES(2*$F$9*F13/(2*COS(RADIANS(H13))))</f>
        <v>0</v>
      </c>
      <c r="L13" s="4">
        <v>0.47853913637497791</v>
      </c>
      <c r="M13" s="4">
        <f>ABS(F13-L13)</f>
        <v>0.40807513585644833</v>
      </c>
      <c r="R13" s="4">
        <v>3</v>
      </c>
      <c r="S13" s="4">
        <v>1</v>
      </c>
      <c r="T13" s="4">
        <v>1</v>
      </c>
      <c r="U13" s="4">
        <v>1.622433</v>
      </c>
      <c r="V13" s="4">
        <v>1.7839000000000001E-2</v>
      </c>
      <c r="W13" s="4">
        <v>1.9303000000000001E-2</v>
      </c>
      <c r="X13" s="4">
        <v>2.6283500000000001E-2</v>
      </c>
      <c r="Y13" s="4">
        <v>56.689889999999998</v>
      </c>
      <c r="Z13" s="4">
        <v>7.3999999999999999E-4</v>
      </c>
      <c r="AA13" s="4">
        <v>24</v>
      </c>
    </row>
    <row r="14" spans="2:27" ht="26.25" customHeight="1" x14ac:dyDescent="0.15">
      <c r="C14" s="17">
        <v>2</v>
      </c>
      <c r="D14" s="17">
        <v>0</v>
      </c>
      <c r="E14" s="17">
        <v>0</v>
      </c>
      <c r="F14" s="9">
        <f t="shared" si="0"/>
        <v>7.4129411178526325E-2</v>
      </c>
      <c r="G14" s="9">
        <f t="shared" si="1"/>
        <v>13.489922341237728</v>
      </c>
      <c r="H14" s="34">
        <f t="shared" si="2"/>
        <v>3.2735732614708422</v>
      </c>
      <c r="I14" s="34">
        <f t="shared" si="3"/>
        <v>6.5471465229416843</v>
      </c>
      <c r="J14" s="45">
        <f t="shared" ref="J14:J78" si="4">DEGREES(2*$F$9*F14/(2*COS(RADIANS(H14))))</f>
        <v>0</v>
      </c>
      <c r="R14" s="4">
        <v>2</v>
      </c>
      <c r="S14" s="4">
        <v>2</v>
      </c>
      <c r="T14" s="4">
        <v>2</v>
      </c>
      <c r="U14" s="4">
        <v>1.553361</v>
      </c>
      <c r="V14" s="4">
        <v>0</v>
      </c>
      <c r="W14" s="4">
        <v>0</v>
      </c>
      <c r="X14" s="55">
        <v>1.1113099999999999E-18</v>
      </c>
      <c r="Y14" s="4">
        <v>59.456940000000003</v>
      </c>
      <c r="Z14" s="4">
        <v>0</v>
      </c>
      <c r="AA14" s="4">
        <v>8</v>
      </c>
    </row>
    <row r="15" spans="2:27" ht="26.25" customHeight="1" x14ac:dyDescent="0.15">
      <c r="C15" s="17">
        <v>0</v>
      </c>
      <c r="D15" s="17">
        <v>0</v>
      </c>
      <c r="E15" s="17">
        <v>2</v>
      </c>
      <c r="F15" s="9">
        <f t="shared" si="0"/>
        <v>0.14092800103705913</v>
      </c>
      <c r="G15" s="9">
        <f t="shared" si="1"/>
        <v>7.0958219278015235</v>
      </c>
      <c r="H15" s="34">
        <f t="shared" si="2"/>
        <v>6.2323129756829125</v>
      </c>
      <c r="I15" s="34">
        <f t="shared" si="3"/>
        <v>12.464625951365825</v>
      </c>
      <c r="J15" s="45">
        <f t="shared" si="4"/>
        <v>0</v>
      </c>
      <c r="R15" s="4">
        <v>4</v>
      </c>
      <c r="S15" s="4">
        <v>0</v>
      </c>
      <c r="T15" s="4">
        <v>0</v>
      </c>
      <c r="U15" s="4">
        <v>1.3452500000000001</v>
      </c>
      <c r="V15" s="4">
        <v>1.1329999999999999E-3</v>
      </c>
      <c r="W15" s="4">
        <v>4.8000000000000001E-5</v>
      </c>
      <c r="X15" s="4">
        <v>1.1336499999999999E-3</v>
      </c>
      <c r="Y15" s="4">
        <v>69.86412</v>
      </c>
      <c r="Z15" s="4">
        <v>0</v>
      </c>
      <c r="AA15" s="4">
        <v>6</v>
      </c>
    </row>
    <row r="16" spans="2:27" ht="26.25" customHeight="1" x14ac:dyDescent="0.15">
      <c r="C16" s="17">
        <v>2</v>
      </c>
      <c r="D16" s="17">
        <v>2</v>
      </c>
      <c r="E16" s="17">
        <v>2</v>
      </c>
      <c r="F16" s="9">
        <f t="shared" ref="F16:F18" si="5">SQRT(C16^2*$C$6^2+D16^2*$D$6^2+E16^2*$E$6^2+2*$C$6*$D$6*C16*D16*COS(RADIANS($H$6))+2*$C$6*$E$6*C16*E16*COS(RADIANS($G$6))+2*$D$6*$E$6*D16*E16*COS(RADIANS($F$6)))</f>
        <v>0.31474891241220054</v>
      </c>
      <c r="G16" s="9">
        <f t="shared" si="1"/>
        <v>3.1771356804257449</v>
      </c>
      <c r="H16" s="34">
        <f t="shared" ref="H16:H18" si="6">DEGREES(ASIN(F16*$D$9/2))</f>
        <v>14.031668711296339</v>
      </c>
      <c r="I16" s="34">
        <f t="shared" si="3"/>
        <v>28.063337422592678</v>
      </c>
      <c r="J16" s="45">
        <f t="shared" si="4"/>
        <v>0</v>
      </c>
      <c r="R16" s="4">
        <v>3</v>
      </c>
      <c r="S16" s="4">
        <v>3</v>
      </c>
      <c r="T16" s="4">
        <v>1</v>
      </c>
      <c r="U16" s="4">
        <v>1.234486</v>
      </c>
      <c r="V16" s="4">
        <v>7.2999999999999999E-5</v>
      </c>
      <c r="W16" s="4">
        <v>-6.7000000000000002E-5</v>
      </c>
      <c r="X16" s="55">
        <v>9.9325899999999997E-5</v>
      </c>
      <c r="Y16" s="4">
        <v>77.214939999999999</v>
      </c>
      <c r="Z16" s="4">
        <v>0</v>
      </c>
      <c r="AA16" s="4">
        <v>24</v>
      </c>
    </row>
    <row r="17" spans="3:27" ht="26.25" customHeight="1" x14ac:dyDescent="0.15">
      <c r="C17" s="17">
        <v>4</v>
      </c>
      <c r="D17" s="17">
        <v>0</v>
      </c>
      <c r="E17" s="17">
        <v>0</v>
      </c>
      <c r="F17" s="9">
        <f t="shared" si="5"/>
        <v>0.14825882235705265</v>
      </c>
      <c r="G17" s="9">
        <f t="shared" si="1"/>
        <v>6.7449611706188639</v>
      </c>
      <c r="H17" s="34">
        <f t="shared" si="6"/>
        <v>6.5578941537190252</v>
      </c>
      <c r="I17" s="34">
        <f t="shared" si="3"/>
        <v>13.11578830743805</v>
      </c>
      <c r="J17" s="45">
        <f t="shared" si="4"/>
        <v>0</v>
      </c>
      <c r="R17" s="4">
        <v>4</v>
      </c>
      <c r="S17" s="4">
        <v>2</v>
      </c>
      <c r="T17" s="4">
        <v>2</v>
      </c>
      <c r="U17" s="4">
        <v>1.098392</v>
      </c>
      <c r="V17" s="4">
        <v>3.9999999999999998E-6</v>
      </c>
      <c r="W17" s="4">
        <v>0</v>
      </c>
      <c r="X17" s="55">
        <v>4.3437600000000004E-6</v>
      </c>
      <c r="Y17" s="4">
        <v>89.061930000000004</v>
      </c>
      <c r="Z17" s="4">
        <v>0</v>
      </c>
      <c r="AA17" s="4">
        <v>24</v>
      </c>
    </row>
    <row r="18" spans="3:27" ht="26.25" customHeight="1" x14ac:dyDescent="0.15">
      <c r="C18" s="17">
        <v>3</v>
      </c>
      <c r="D18" s="17">
        <v>3</v>
      </c>
      <c r="E18" s="17">
        <v>1</v>
      </c>
      <c r="F18" s="9">
        <f t="shared" si="5"/>
        <v>0.42578138770895207</v>
      </c>
      <c r="G18" s="9">
        <f t="shared" si="1"/>
        <v>2.3486230936039925</v>
      </c>
      <c r="H18" s="34">
        <f t="shared" si="6"/>
        <v>19.146759871744671</v>
      </c>
      <c r="I18" s="34">
        <f t="shared" si="3"/>
        <v>38.293519743489341</v>
      </c>
      <c r="J18" s="45">
        <f t="shared" si="4"/>
        <v>0</v>
      </c>
      <c r="K18" s="52" t="s">
        <v>48</v>
      </c>
      <c r="L18" s="52" t="s">
        <v>50</v>
      </c>
      <c r="R18" s="4">
        <v>3</v>
      </c>
      <c r="S18" s="4">
        <v>3</v>
      </c>
      <c r="T18" s="4">
        <v>3</v>
      </c>
      <c r="U18" s="4">
        <v>1.035574</v>
      </c>
      <c r="V18" s="4">
        <v>0</v>
      </c>
      <c r="W18" s="4">
        <v>0</v>
      </c>
      <c r="X18" s="55">
        <v>3.8212399999999999E-7</v>
      </c>
      <c r="Y18" s="4">
        <v>96.118309999999994</v>
      </c>
      <c r="Z18" s="4">
        <v>0</v>
      </c>
      <c r="AA18" s="4">
        <v>8</v>
      </c>
    </row>
    <row r="19" spans="3:27" ht="26.25" customHeight="1" x14ac:dyDescent="0.15">
      <c r="C19" s="17">
        <v>4</v>
      </c>
      <c r="D19" s="17">
        <v>2</v>
      </c>
      <c r="E19" s="17">
        <v>2</v>
      </c>
      <c r="F19" s="9">
        <f>SQRT(C19^2*$C$6^2+D19^2*$D$6^2+E19^2*$E$6^2+2*$C$6*$D$6*C19*D19*COS(RADIANS($H$6))+2*$C$6*$E$6*C19*E19*COS(RADIANS($G$6))+2*$D$6*$E$6*D19*E19*COS(RADIANS($F$6)))</f>
        <v>0.34177757106833934</v>
      </c>
      <c r="G19" s="9">
        <f>1/F19</f>
        <v>2.9258795329201028</v>
      </c>
      <c r="H19" s="34">
        <f>DEGREES(ASIN(F19*$D$9/2))</f>
        <v>15.264712601851961</v>
      </c>
      <c r="I19" s="49">
        <f>H19*2</f>
        <v>30.529425203703923</v>
      </c>
      <c r="J19" s="45">
        <f t="shared" si="4"/>
        <v>0</v>
      </c>
      <c r="K19" s="48">
        <f>(1/(TAN(RADIANS(H19))))*($H$9/1000)</f>
        <v>3.1976609185514028E-4</v>
      </c>
      <c r="L19" s="48" t="e">
        <f>ABS(F19-#REF!)/#REF!</f>
        <v>#REF!</v>
      </c>
      <c r="N19" s="48" t="e">
        <f>SQRT(K19^2+L19^2)</f>
        <v>#REF!</v>
      </c>
      <c r="R19" s="4">
        <v>5</v>
      </c>
      <c r="S19" s="4">
        <v>1</v>
      </c>
      <c r="T19" s="4">
        <v>1</v>
      </c>
      <c r="U19" s="4">
        <v>1.035574</v>
      </c>
      <c r="V19" s="4">
        <v>0</v>
      </c>
      <c r="W19" s="4">
        <v>0</v>
      </c>
      <c r="X19" s="55">
        <v>3.8212399999999999E-7</v>
      </c>
      <c r="Y19" s="4">
        <v>96.118309999999994</v>
      </c>
      <c r="Z19" s="4">
        <v>0</v>
      </c>
      <c r="AA19" s="4">
        <v>24</v>
      </c>
    </row>
    <row r="20" spans="3:27" ht="26.25" customHeight="1" x14ac:dyDescent="0.15">
      <c r="C20" s="17">
        <v>3</v>
      </c>
      <c r="D20" s="17">
        <v>3</v>
      </c>
      <c r="E20" s="17">
        <v>3</v>
      </c>
      <c r="F20" s="9">
        <f t="shared" ref="F20:F84" si="7">SQRT(C20^2*$C$6^2+D20^2*$D$6^2+E20^2*$E$6^2+2*$C$6*$D$6*C20*D20*COS(RADIANS($H$6))+2*$C$6*$E$6*C20*E20*COS(RADIANS($G$6))+2*$D$6*$E$6*D20*E20*COS(RADIANS($F$6)))</f>
        <v>0.47212336861830084</v>
      </c>
      <c r="G20" s="9">
        <f t="shared" ref="G20:G84" si="8">1/F20</f>
        <v>2.1180904536171634</v>
      </c>
      <c r="H20" s="34">
        <f t="shared" ref="H20:H84" si="9">DEGREES(ASIN(F20*$D$9/2))</f>
        <v>21.326815858799154</v>
      </c>
      <c r="I20" s="49">
        <f t="shared" ref="I20:I84" si="10">H20*2</f>
        <v>42.653631717598309</v>
      </c>
      <c r="J20" s="45">
        <f t="shared" si="4"/>
        <v>0</v>
      </c>
      <c r="K20" s="48">
        <f>(1/(TAN(RADIANS(H20))))*($H$9/1000)</f>
        <v>2.2351774372588511E-4</v>
      </c>
      <c r="L20" s="48" t="e">
        <f>ABS(F20-#REF!)/#REF!</f>
        <v>#REF!</v>
      </c>
      <c r="N20" s="48" t="e">
        <f>SQRT(K20^2+L20^2)</f>
        <v>#REF!</v>
      </c>
      <c r="R20" s="4">
        <v>4</v>
      </c>
      <c r="S20" s="4">
        <v>4</v>
      </c>
      <c r="T20" s="4">
        <v>0</v>
      </c>
      <c r="U20" s="4">
        <v>0.95123500000000005</v>
      </c>
      <c r="V20" s="4">
        <v>0</v>
      </c>
      <c r="W20" s="4">
        <v>0</v>
      </c>
      <c r="X20" s="55">
        <v>1.6788600000000001E-8</v>
      </c>
      <c r="Y20" s="4">
        <v>108.14991999999999</v>
      </c>
      <c r="Z20" s="4">
        <v>0</v>
      </c>
      <c r="AA20" s="4">
        <v>12</v>
      </c>
    </row>
    <row r="21" spans="3:27" ht="26.25" customHeight="1" x14ac:dyDescent="0.15">
      <c r="C21" s="17">
        <v>5</v>
      </c>
      <c r="D21" s="17">
        <v>1</v>
      </c>
      <c r="E21" s="17">
        <v>1</v>
      </c>
      <c r="F21" s="9">
        <f t="shared" si="7"/>
        <v>0.24289351265915171</v>
      </c>
      <c r="G21" s="9">
        <f t="shared" si="8"/>
        <v>4.1170305005357752</v>
      </c>
      <c r="H21" s="34">
        <f t="shared" si="9"/>
        <v>10.783961084037122</v>
      </c>
      <c r="I21" s="34">
        <f t="shared" si="10"/>
        <v>21.567922168074244</v>
      </c>
      <c r="J21" s="45">
        <f t="shared" si="4"/>
        <v>0</v>
      </c>
      <c r="R21" s="4">
        <v>5</v>
      </c>
      <c r="S21" s="4">
        <v>3</v>
      </c>
      <c r="T21" s="4">
        <v>1</v>
      </c>
      <c r="U21" s="4">
        <v>0.909555</v>
      </c>
      <c r="V21" s="4">
        <v>0</v>
      </c>
      <c r="W21" s="4">
        <v>0</v>
      </c>
      <c r="X21" s="55">
        <v>1.48033E-9</v>
      </c>
      <c r="Y21" s="4">
        <v>115.75081</v>
      </c>
      <c r="Z21" s="4">
        <v>0</v>
      </c>
      <c r="AA21" s="4">
        <v>48</v>
      </c>
    </row>
    <row r="22" spans="3:27" ht="26.25" customHeight="1" x14ac:dyDescent="0.15">
      <c r="C22" s="17">
        <v>4</v>
      </c>
      <c r="D22" s="17">
        <v>4</v>
      </c>
      <c r="E22" s="17">
        <v>0</v>
      </c>
      <c r="F22" s="9">
        <f t="shared" si="7"/>
        <v>0.55837856324424273</v>
      </c>
      <c r="G22" s="9">
        <f t="shared" si="8"/>
        <v>1.7908996974917637</v>
      </c>
      <c r="H22" s="34">
        <f t="shared" si="9"/>
        <v>25.475909632598782</v>
      </c>
      <c r="I22" s="34">
        <f t="shared" si="10"/>
        <v>50.951819265197564</v>
      </c>
      <c r="J22" s="45">
        <f t="shared" si="4"/>
        <v>0</v>
      </c>
      <c r="R22" s="4">
        <v>4</v>
      </c>
      <c r="S22" s="4">
        <v>4</v>
      </c>
      <c r="T22" s="4">
        <v>2</v>
      </c>
      <c r="U22" s="4">
        <v>0.89683299999999999</v>
      </c>
      <c r="V22" s="4">
        <v>0</v>
      </c>
      <c r="W22" s="4">
        <v>0</v>
      </c>
      <c r="X22" s="55">
        <v>1.1212899999999999E-25</v>
      </c>
      <c r="Y22" s="4">
        <v>118.38817</v>
      </c>
      <c r="Z22" s="4">
        <v>0</v>
      </c>
      <c r="AA22" s="4">
        <v>24</v>
      </c>
    </row>
    <row r="23" spans="3:27" ht="26.25" customHeight="1" x14ac:dyDescent="0.15">
      <c r="C23" s="17">
        <v>5</v>
      </c>
      <c r="D23" s="17">
        <v>3</v>
      </c>
      <c r="E23" s="17">
        <v>1</v>
      </c>
      <c r="F23" s="9">
        <f t="shared" si="7"/>
        <v>0.4515531300233715</v>
      </c>
      <c r="G23" s="9">
        <f t="shared" si="8"/>
        <v>2.2145788247514573</v>
      </c>
      <c r="H23" s="34">
        <f t="shared" si="9"/>
        <v>20.355350042147716</v>
      </c>
      <c r="I23" s="34">
        <f t="shared" si="10"/>
        <v>40.710700084295432</v>
      </c>
      <c r="J23" s="45">
        <f t="shared" si="4"/>
        <v>0</v>
      </c>
      <c r="R23" s="4">
        <v>6</v>
      </c>
      <c r="S23" s="4">
        <v>2</v>
      </c>
      <c r="T23" s="4">
        <v>0</v>
      </c>
      <c r="U23" s="4">
        <v>0.85081099999999998</v>
      </c>
      <c r="V23" s="4">
        <v>0</v>
      </c>
      <c r="W23" s="4">
        <v>0</v>
      </c>
      <c r="X23" s="55">
        <v>6.5274899999999996E-11</v>
      </c>
      <c r="Y23" s="4">
        <v>129.74565000000001</v>
      </c>
      <c r="Z23" s="4">
        <v>0</v>
      </c>
      <c r="AA23" s="4">
        <v>24</v>
      </c>
    </row>
    <row r="24" spans="3:27" ht="26.25" customHeight="1" x14ac:dyDescent="0.15">
      <c r="C24" s="17">
        <v>4</v>
      </c>
      <c r="D24" s="17">
        <v>4</v>
      </c>
      <c r="E24" s="17">
        <v>2</v>
      </c>
      <c r="F24" s="9">
        <f t="shared" si="7"/>
        <v>0.57807124491569128</v>
      </c>
      <c r="G24" s="9">
        <f t="shared" si="8"/>
        <v>1.7298905780131735</v>
      </c>
      <c r="H24" s="34">
        <f t="shared" si="9"/>
        <v>26.442615964865727</v>
      </c>
      <c r="I24" s="34">
        <f t="shared" si="10"/>
        <v>52.885231929731454</v>
      </c>
      <c r="J24" s="45">
        <f t="shared" si="4"/>
        <v>0</v>
      </c>
      <c r="R24" s="4">
        <v>5</v>
      </c>
      <c r="S24" s="4">
        <v>3</v>
      </c>
      <c r="T24" s="4">
        <v>3</v>
      </c>
      <c r="U24" s="4">
        <v>0.82059499999999996</v>
      </c>
      <c r="V24" s="4">
        <v>0</v>
      </c>
      <c r="W24" s="4">
        <v>0</v>
      </c>
      <c r="X24" s="55">
        <v>5.7678599999999996E-12</v>
      </c>
      <c r="Y24" s="4">
        <v>139.6704</v>
      </c>
      <c r="Z24" s="4">
        <v>0</v>
      </c>
      <c r="AA24" s="4">
        <v>24</v>
      </c>
    </row>
    <row r="25" spans="3:27" ht="26.25" customHeight="1" x14ac:dyDescent="0.15">
      <c r="C25" s="17">
        <v>6</v>
      </c>
      <c r="D25" s="17">
        <v>2</v>
      </c>
      <c r="E25" s="17">
        <v>0</v>
      </c>
      <c r="F25" s="9">
        <f t="shared" si="7"/>
        <v>0.34915327835504623</v>
      </c>
      <c r="G25" s="9">
        <f t="shared" si="8"/>
        <v>2.8640716326974371</v>
      </c>
      <c r="H25" s="34">
        <f t="shared" si="9"/>
        <v>15.602427067510483</v>
      </c>
      <c r="I25" s="34">
        <f t="shared" si="10"/>
        <v>31.204854135020966</v>
      </c>
      <c r="J25" s="45">
        <f t="shared" si="4"/>
        <v>0</v>
      </c>
      <c r="R25" s="4">
        <v>6</v>
      </c>
      <c r="S25" s="4">
        <v>2</v>
      </c>
      <c r="T25" s="4">
        <v>2</v>
      </c>
      <c r="U25" s="4">
        <v>0.81121600000000005</v>
      </c>
      <c r="V25" s="4">
        <v>0</v>
      </c>
      <c r="W25" s="4">
        <v>0</v>
      </c>
      <c r="X25" s="55">
        <v>2.96964E-28</v>
      </c>
      <c r="Y25" s="4">
        <v>143.44819000000001</v>
      </c>
      <c r="Z25" s="4">
        <v>0</v>
      </c>
      <c r="AA25" s="4">
        <v>24</v>
      </c>
    </row>
    <row r="26" spans="3:27" ht="26.25" customHeight="1" x14ac:dyDescent="0.15">
      <c r="C26" s="17">
        <v>5</v>
      </c>
      <c r="D26" s="17">
        <v>3</v>
      </c>
      <c r="E26" s="17">
        <v>3</v>
      </c>
      <c r="F26" s="9">
        <f t="shared" si="7"/>
        <v>0.49675993772215615</v>
      </c>
      <c r="G26" s="9">
        <f t="shared" si="8"/>
        <v>2.0130447809165162</v>
      </c>
      <c r="H26" s="34">
        <f t="shared" si="9"/>
        <v>22.49887851040825</v>
      </c>
      <c r="I26" s="34">
        <f t="shared" si="10"/>
        <v>44.997757020816501</v>
      </c>
      <c r="J26" s="45">
        <f t="shared" si="4"/>
        <v>0</v>
      </c>
      <c r="R26" s="4">
        <v>4</v>
      </c>
      <c r="S26" s="4">
        <v>4</v>
      </c>
      <c r="T26" s="4">
        <v>4</v>
      </c>
      <c r="U26" s="4">
        <v>0.77668000000000004</v>
      </c>
      <c r="V26" s="4">
        <v>0</v>
      </c>
      <c r="W26" s="4">
        <v>0</v>
      </c>
      <c r="X26" s="55">
        <v>2.5522899999999999E-13</v>
      </c>
      <c r="Y26" s="4">
        <v>165.29750999999999</v>
      </c>
      <c r="Z26" s="4">
        <v>0</v>
      </c>
      <c r="AA26" s="4">
        <v>8</v>
      </c>
    </row>
    <row r="27" spans="3:27" ht="26.25" customHeight="1" x14ac:dyDescent="0.15">
      <c r="C27" s="17">
        <v>6</v>
      </c>
      <c r="D27" s="17">
        <v>2</v>
      </c>
      <c r="E27" s="17">
        <v>2</v>
      </c>
      <c r="F27" s="9">
        <f t="shared" si="7"/>
        <v>0.38150658907735063</v>
      </c>
      <c r="G27" s="9">
        <f t="shared" si="8"/>
        <v>2.6211867072032393</v>
      </c>
      <c r="H27" s="34">
        <f t="shared" si="9"/>
        <v>17.090575418842608</v>
      </c>
      <c r="I27" s="34">
        <f t="shared" si="10"/>
        <v>34.181150837685216</v>
      </c>
      <c r="J27" s="45">
        <f t="shared" si="4"/>
        <v>0</v>
      </c>
      <c r="R27" s="4">
        <v>7</v>
      </c>
      <c r="S27" s="4">
        <v>1</v>
      </c>
      <c r="T27" s="4">
        <v>1</v>
      </c>
      <c r="U27" s="4">
        <v>0.75349100000000002</v>
      </c>
      <c r="V27" s="4">
        <v>0</v>
      </c>
      <c r="W27" s="4">
        <v>0</v>
      </c>
      <c r="X27" s="55">
        <v>2.2600100000000001E-14</v>
      </c>
      <c r="Y27" s="4" t="s">
        <v>51</v>
      </c>
      <c r="Z27" s="4" t="s">
        <v>51</v>
      </c>
      <c r="AA27" s="4">
        <v>24</v>
      </c>
    </row>
    <row r="28" spans="3:27" ht="26.25" customHeight="1" x14ac:dyDescent="0.15">
      <c r="C28" s="17"/>
      <c r="D28" s="17"/>
      <c r="E28" s="17"/>
      <c r="F28" s="9"/>
      <c r="G28" s="9"/>
      <c r="H28" s="34"/>
      <c r="I28" s="34"/>
      <c r="J28" s="45"/>
      <c r="R28" s="4">
        <v>5</v>
      </c>
      <c r="S28" s="4">
        <v>5</v>
      </c>
      <c r="T28" s="4">
        <v>1</v>
      </c>
      <c r="U28" s="4">
        <v>0.75349100000000002</v>
      </c>
      <c r="V28" s="4">
        <v>0</v>
      </c>
      <c r="W28" s="4">
        <v>0</v>
      </c>
      <c r="X28" s="55">
        <v>2.2600100000000001E-14</v>
      </c>
      <c r="Y28" s="4" t="s">
        <v>51</v>
      </c>
      <c r="Z28" s="4" t="s">
        <v>51</v>
      </c>
      <c r="AA28" s="4">
        <v>24</v>
      </c>
    </row>
    <row r="29" spans="3:27" ht="26.25" customHeight="1" x14ac:dyDescent="0.15">
      <c r="C29" s="17">
        <v>4</v>
      </c>
      <c r="D29" s="17">
        <v>4</v>
      </c>
      <c r="E29" s="17">
        <v>4</v>
      </c>
      <c r="F29" s="9">
        <f t="shared" si="7"/>
        <v>0.62949782482440109</v>
      </c>
      <c r="G29" s="9">
        <f t="shared" si="8"/>
        <v>1.5885678402128725</v>
      </c>
      <c r="H29" s="34">
        <f t="shared" si="9"/>
        <v>29.006990548355674</v>
      </c>
      <c r="I29" s="34">
        <f t="shared" si="10"/>
        <v>58.013981096711348</v>
      </c>
      <c r="J29" s="45">
        <f t="shared" si="4"/>
        <v>0</v>
      </c>
      <c r="R29" s="4">
        <v>6</v>
      </c>
      <c r="S29" s="4">
        <v>4</v>
      </c>
      <c r="T29" s="4">
        <v>2</v>
      </c>
      <c r="U29" s="4">
        <v>0.71906599999999998</v>
      </c>
      <c r="V29" s="4">
        <v>0</v>
      </c>
      <c r="W29" s="4">
        <v>0</v>
      </c>
      <c r="X29" s="55">
        <v>1.0035399999999999E-15</v>
      </c>
      <c r="Y29" s="4" t="s">
        <v>51</v>
      </c>
      <c r="Z29" s="4" t="s">
        <v>51</v>
      </c>
      <c r="AA29" s="4">
        <v>48</v>
      </c>
    </row>
    <row r="30" spans="3:27" ht="26.25" customHeight="1" x14ac:dyDescent="0.15">
      <c r="C30" s="17">
        <v>7</v>
      </c>
      <c r="D30" s="17">
        <v>1</v>
      </c>
      <c r="E30" s="17">
        <v>1</v>
      </c>
      <c r="F30" s="9">
        <f t="shared" si="7"/>
        <v>0.30429925535530716</v>
      </c>
      <c r="G30" s="9">
        <f t="shared" si="8"/>
        <v>3.2862387350648485</v>
      </c>
      <c r="H30" s="34">
        <f t="shared" si="9"/>
        <v>13.556761860332179</v>
      </c>
      <c r="I30" s="34">
        <f t="shared" si="10"/>
        <v>27.113523720664357</v>
      </c>
      <c r="J30" s="45">
        <f t="shared" si="4"/>
        <v>0</v>
      </c>
      <c r="R30" s="4">
        <v>5</v>
      </c>
      <c r="S30" s="4">
        <v>5</v>
      </c>
      <c r="T30" s="4">
        <v>3</v>
      </c>
      <c r="U30" s="4">
        <v>0.70054700000000003</v>
      </c>
      <c r="V30" s="4">
        <v>0</v>
      </c>
      <c r="W30" s="4">
        <v>0</v>
      </c>
      <c r="X30" s="55">
        <v>8.9045E-17</v>
      </c>
      <c r="Y30" s="4" t="s">
        <v>51</v>
      </c>
      <c r="Z30" s="4" t="s">
        <v>51</v>
      </c>
      <c r="AA30" s="4">
        <v>24</v>
      </c>
    </row>
    <row r="31" spans="3:27" ht="26.25" customHeight="1" x14ac:dyDescent="0.15">
      <c r="C31" s="17">
        <v>5</v>
      </c>
      <c r="D31" s="17">
        <v>5</v>
      </c>
      <c r="E31" s="17">
        <v>1</v>
      </c>
      <c r="F31" s="9">
        <f t="shared" si="7"/>
        <v>0.70264227791808009</v>
      </c>
      <c r="G31" s="9">
        <f t="shared" si="8"/>
        <v>1.4231993027276795</v>
      </c>
      <c r="H31" s="34">
        <f t="shared" si="9"/>
        <v>32.769531715117857</v>
      </c>
      <c r="I31" s="34">
        <f t="shared" si="10"/>
        <v>65.539063430235714</v>
      </c>
      <c r="J31" s="45">
        <f t="shared" si="4"/>
        <v>0</v>
      </c>
      <c r="R31" s="4">
        <v>7</v>
      </c>
      <c r="S31" s="4">
        <v>3</v>
      </c>
      <c r="T31" s="4">
        <v>1</v>
      </c>
      <c r="U31" s="4">
        <v>0.70054700000000003</v>
      </c>
      <c r="V31" s="4">
        <v>0</v>
      </c>
      <c r="W31" s="4">
        <v>0</v>
      </c>
      <c r="X31" s="55">
        <v>8.9045E-17</v>
      </c>
      <c r="Y31" s="4" t="s">
        <v>51</v>
      </c>
      <c r="Z31" s="4" t="s">
        <v>51</v>
      </c>
      <c r="AA31" s="4">
        <v>48</v>
      </c>
    </row>
    <row r="32" spans="3:27" ht="26.25" customHeight="1" x14ac:dyDescent="0.15">
      <c r="C32" s="17">
        <v>6</v>
      </c>
      <c r="D32" s="17">
        <v>4</v>
      </c>
      <c r="E32" s="17">
        <v>2</v>
      </c>
      <c r="F32" s="9">
        <f t="shared" si="7"/>
        <v>0.60241325817285751</v>
      </c>
      <c r="G32" s="9">
        <f t="shared" si="8"/>
        <v>1.6599900258388043</v>
      </c>
      <c r="H32" s="34">
        <f t="shared" si="9"/>
        <v>27.648917190104839</v>
      </c>
      <c r="I32" s="34">
        <f t="shared" si="10"/>
        <v>55.297834380209679</v>
      </c>
      <c r="J32" s="45">
        <f t="shared" si="4"/>
        <v>0</v>
      </c>
    </row>
    <row r="33" spans="3:10" ht="26.25" customHeight="1" x14ac:dyDescent="0.15">
      <c r="C33" s="17">
        <v>5</v>
      </c>
      <c r="D33" s="17">
        <v>5</v>
      </c>
      <c r="E33" s="17">
        <v>3</v>
      </c>
      <c r="F33" s="9">
        <f t="shared" si="7"/>
        <v>0.73251373858087143</v>
      </c>
      <c r="G33" s="9">
        <f t="shared" si="8"/>
        <v>1.3651621086825492</v>
      </c>
      <c r="H33" s="34">
        <f t="shared" si="9"/>
        <v>34.351739193648363</v>
      </c>
      <c r="I33" s="34">
        <f t="shared" si="10"/>
        <v>68.703478387296727</v>
      </c>
      <c r="J33" s="45">
        <f t="shared" si="4"/>
        <v>0</v>
      </c>
    </row>
    <row r="34" spans="3:10" ht="26.25" customHeight="1" x14ac:dyDescent="0.15">
      <c r="C34" s="17">
        <v>7</v>
      </c>
      <c r="D34" s="17">
        <v>3</v>
      </c>
      <c r="E34" s="17">
        <v>1</v>
      </c>
      <c r="F34" s="9">
        <f t="shared" si="7"/>
        <v>0.48734075096568391</v>
      </c>
      <c r="G34" s="9">
        <f t="shared" si="8"/>
        <v>2.0519523516522322</v>
      </c>
      <c r="H34" s="34">
        <f t="shared" si="9"/>
        <v>22.049626995526936</v>
      </c>
      <c r="I34" s="34">
        <f t="shared" si="10"/>
        <v>44.099253991053871</v>
      </c>
      <c r="J34" s="45">
        <f t="shared" si="4"/>
        <v>0</v>
      </c>
    </row>
    <row r="35" spans="3:10" ht="26.25" customHeight="1" x14ac:dyDescent="0.15">
      <c r="C35" s="17">
        <v>4</v>
      </c>
      <c r="D35" s="17">
        <v>4</v>
      </c>
      <c r="E35" s="17">
        <v>4</v>
      </c>
      <c r="F35" s="9">
        <f t="shared" si="7"/>
        <v>0.62949782482440109</v>
      </c>
      <c r="G35" s="9">
        <f t="shared" si="8"/>
        <v>1.5885678402128725</v>
      </c>
      <c r="H35" s="34">
        <f t="shared" si="9"/>
        <v>29.006990548355674</v>
      </c>
      <c r="I35" s="34">
        <f t="shared" si="10"/>
        <v>58.013981096711348</v>
      </c>
      <c r="J35" s="45">
        <f t="shared" si="4"/>
        <v>0</v>
      </c>
    </row>
    <row r="36" spans="3:10" ht="26.25" customHeight="1" x14ac:dyDescent="0.15">
      <c r="C36" s="17">
        <v>5</v>
      </c>
      <c r="D36" s="17">
        <v>5</v>
      </c>
      <c r="E36" s="17">
        <v>1</v>
      </c>
      <c r="F36" s="9">
        <f t="shared" si="7"/>
        <v>0.70264227791808009</v>
      </c>
      <c r="G36" s="9">
        <f t="shared" si="8"/>
        <v>1.4231993027276795</v>
      </c>
      <c r="H36" s="34">
        <f t="shared" si="9"/>
        <v>32.769531715117857</v>
      </c>
      <c r="I36" s="34">
        <f t="shared" si="10"/>
        <v>65.539063430235714</v>
      </c>
      <c r="J36" s="45">
        <f t="shared" si="4"/>
        <v>0</v>
      </c>
    </row>
    <row r="37" spans="3:10" ht="26.25" customHeight="1" x14ac:dyDescent="0.15">
      <c r="C37" s="17">
        <v>7</v>
      </c>
      <c r="D37" s="17">
        <v>1</v>
      </c>
      <c r="E37" s="17">
        <v>1</v>
      </c>
      <c r="F37" s="9">
        <f t="shared" si="7"/>
        <v>0.30429925535530716</v>
      </c>
      <c r="G37" s="9">
        <f t="shared" si="8"/>
        <v>3.2862387350648485</v>
      </c>
      <c r="H37" s="34">
        <f t="shared" si="9"/>
        <v>13.556761860332179</v>
      </c>
      <c r="I37" s="34">
        <f t="shared" si="10"/>
        <v>27.113523720664357</v>
      </c>
      <c r="J37" s="45">
        <f t="shared" si="4"/>
        <v>0</v>
      </c>
    </row>
    <row r="38" spans="3:10" ht="26.25" customHeight="1" x14ac:dyDescent="0.15">
      <c r="C38" s="17">
        <v>6</v>
      </c>
      <c r="D38" s="17">
        <v>4</v>
      </c>
      <c r="E38" s="17">
        <v>2</v>
      </c>
      <c r="F38" s="9">
        <f t="shared" si="7"/>
        <v>0.60241325817285751</v>
      </c>
      <c r="G38" s="9">
        <f t="shared" si="8"/>
        <v>1.6599900258388043</v>
      </c>
      <c r="H38" s="34">
        <f t="shared" si="9"/>
        <v>27.648917190104839</v>
      </c>
      <c r="I38" s="34">
        <f t="shared" si="10"/>
        <v>55.297834380209679</v>
      </c>
      <c r="J38" s="45">
        <f t="shared" si="4"/>
        <v>0</v>
      </c>
    </row>
    <row r="39" spans="3:10" ht="26.25" customHeight="1" x14ac:dyDescent="0.15">
      <c r="C39" s="17">
        <v>7</v>
      </c>
      <c r="D39" s="17">
        <v>3</v>
      </c>
      <c r="E39" s="17">
        <v>1</v>
      </c>
      <c r="F39" s="9">
        <f t="shared" si="7"/>
        <v>0.48734075096568391</v>
      </c>
      <c r="G39" s="9">
        <f t="shared" si="8"/>
        <v>2.0519523516522322</v>
      </c>
      <c r="H39" s="34">
        <f t="shared" si="9"/>
        <v>22.049626995526936</v>
      </c>
      <c r="I39" s="34">
        <f t="shared" si="10"/>
        <v>44.099253991053871</v>
      </c>
      <c r="J39" s="45">
        <f t="shared" si="4"/>
        <v>0</v>
      </c>
    </row>
    <row r="40" spans="3:10" ht="26.25" customHeight="1" x14ac:dyDescent="0.15">
      <c r="C40" s="17">
        <v>5</v>
      </c>
      <c r="D40" s="17">
        <v>5</v>
      </c>
      <c r="E40" s="17">
        <v>3</v>
      </c>
      <c r="F40" s="9">
        <f t="shared" si="7"/>
        <v>0.73251373858087143</v>
      </c>
      <c r="G40" s="9">
        <f t="shared" si="8"/>
        <v>1.3651621086825492</v>
      </c>
      <c r="H40" s="34">
        <f t="shared" si="9"/>
        <v>34.351739193648363</v>
      </c>
      <c r="I40" s="34">
        <f t="shared" si="10"/>
        <v>68.703478387296727</v>
      </c>
      <c r="J40" s="45">
        <f t="shared" si="4"/>
        <v>0</v>
      </c>
    </row>
    <row r="41" spans="3:10" ht="26.25" customHeight="1" x14ac:dyDescent="0.15">
      <c r="C41" s="17">
        <v>8</v>
      </c>
      <c r="D41" s="17">
        <v>0</v>
      </c>
      <c r="E41" s="17">
        <v>0</v>
      </c>
      <c r="F41" s="9">
        <f t="shared" si="7"/>
        <v>0.2965176447141053</v>
      </c>
      <c r="G41" s="9">
        <f t="shared" si="8"/>
        <v>3.372480585309432</v>
      </c>
      <c r="H41" s="34">
        <f t="shared" si="9"/>
        <v>13.203727521515763</v>
      </c>
      <c r="I41" s="34">
        <f t="shared" si="10"/>
        <v>26.407455043031526</v>
      </c>
      <c r="J41" s="45">
        <f t="shared" si="4"/>
        <v>0</v>
      </c>
    </row>
    <row r="42" spans="3:10" ht="26.25" customHeight="1" x14ac:dyDescent="0.15">
      <c r="C42" s="17">
        <v>7</v>
      </c>
      <c r="D42" s="17">
        <v>3</v>
      </c>
      <c r="E42" s="17">
        <v>3</v>
      </c>
      <c r="F42" s="9">
        <f t="shared" si="7"/>
        <v>0.53068892532188661</v>
      </c>
      <c r="G42" s="9">
        <f t="shared" si="8"/>
        <v>1.8843430723440389</v>
      </c>
      <c r="H42" s="34">
        <f t="shared" si="9"/>
        <v>24.129576054333668</v>
      </c>
      <c r="I42" s="34">
        <f t="shared" si="10"/>
        <v>48.259152108667337</v>
      </c>
      <c r="J42" s="45">
        <f t="shared" si="4"/>
        <v>0</v>
      </c>
    </row>
    <row r="43" spans="3:10" ht="26.25" customHeight="1" x14ac:dyDescent="0.15">
      <c r="C43" s="17">
        <v>6</v>
      </c>
      <c r="D43" s="17">
        <v>4</v>
      </c>
      <c r="E43" s="17">
        <v>4</v>
      </c>
      <c r="F43" s="9">
        <f t="shared" si="7"/>
        <v>0.65288774096195024</v>
      </c>
      <c r="G43" s="9">
        <f t="shared" si="8"/>
        <v>1.5316568795220789</v>
      </c>
      <c r="H43" s="34">
        <f t="shared" si="9"/>
        <v>30.194309463269196</v>
      </c>
      <c r="I43" s="34">
        <f t="shared" si="10"/>
        <v>60.388618926538392</v>
      </c>
      <c r="J43" s="45">
        <f t="shared" si="4"/>
        <v>0</v>
      </c>
    </row>
    <row r="44" spans="3:10" ht="26.25" customHeight="1" x14ac:dyDescent="0.15">
      <c r="C44" s="17">
        <v>6</v>
      </c>
      <c r="D44" s="17">
        <v>6</v>
      </c>
      <c r="E44" s="17">
        <v>0</v>
      </c>
      <c r="F44" s="9">
        <f t="shared" si="7"/>
        <v>0.83756784486636404</v>
      </c>
      <c r="G44" s="9">
        <f t="shared" si="8"/>
        <v>1.1939331316611759</v>
      </c>
      <c r="H44" s="34">
        <f t="shared" si="9"/>
        <v>40.180473087028837</v>
      </c>
      <c r="I44" s="34">
        <f t="shared" si="10"/>
        <v>80.360946174057673</v>
      </c>
      <c r="J44" s="45">
        <f t="shared" si="4"/>
        <v>0</v>
      </c>
    </row>
    <row r="45" spans="3:10" ht="26.25" customHeight="1" x14ac:dyDescent="0.15">
      <c r="C45" s="17">
        <v>8</v>
      </c>
      <c r="D45" s="17">
        <v>2</v>
      </c>
      <c r="E45" s="17">
        <v>2</v>
      </c>
      <c r="F45" s="9">
        <f t="shared" si="7"/>
        <v>0.43043348630984229</v>
      </c>
      <c r="G45" s="9">
        <f t="shared" si="8"/>
        <v>2.3232393199077506</v>
      </c>
      <c r="H45" s="34">
        <f t="shared" si="9"/>
        <v>19.364253234860591</v>
      </c>
      <c r="I45" s="34">
        <f t="shared" si="10"/>
        <v>38.728506469721182</v>
      </c>
      <c r="J45" s="45">
        <f t="shared" si="4"/>
        <v>0</v>
      </c>
    </row>
    <row r="46" spans="3:10" ht="26.25" customHeight="1" x14ac:dyDescent="0.15">
      <c r="C46" s="17">
        <v>5</v>
      </c>
      <c r="D46" s="17">
        <v>5</v>
      </c>
      <c r="E46" s="17">
        <v>5</v>
      </c>
      <c r="F46" s="9">
        <f t="shared" si="7"/>
        <v>0.78687228103050144</v>
      </c>
      <c r="G46" s="9">
        <f t="shared" si="8"/>
        <v>1.2708542721702978</v>
      </c>
      <c r="H46" s="34">
        <f t="shared" si="9"/>
        <v>37.31130977040651</v>
      </c>
      <c r="I46" s="34">
        <f t="shared" si="10"/>
        <v>74.62261954081302</v>
      </c>
      <c r="J46" s="45">
        <f t="shared" si="4"/>
        <v>0</v>
      </c>
    </row>
    <row r="47" spans="3:10" ht="26.25" customHeight="1" x14ac:dyDescent="0.15">
      <c r="C47" s="17">
        <v>7</v>
      </c>
      <c r="D47" s="17">
        <v>5</v>
      </c>
      <c r="E47" s="17">
        <v>1</v>
      </c>
      <c r="F47" s="9">
        <f t="shared" si="7"/>
        <v>0.72615903839021478</v>
      </c>
      <c r="G47" s="9">
        <f t="shared" si="8"/>
        <v>1.3771087972916365</v>
      </c>
      <c r="H47" s="34">
        <f t="shared" si="9"/>
        <v>34.012698740225488</v>
      </c>
      <c r="I47" s="34">
        <f t="shared" si="10"/>
        <v>68.025397480450977</v>
      </c>
      <c r="J47" s="45">
        <f t="shared" si="4"/>
        <v>0</v>
      </c>
    </row>
    <row r="48" spans="3:10" ht="26.25" customHeight="1" x14ac:dyDescent="0.15">
      <c r="C48" s="17">
        <v>6</v>
      </c>
      <c r="D48" s="17">
        <v>6</v>
      </c>
      <c r="E48" s="17">
        <v>2</v>
      </c>
      <c r="F48" s="9">
        <f t="shared" si="7"/>
        <v>0.85156277541790415</v>
      </c>
      <c r="G48" s="9">
        <f t="shared" si="8"/>
        <v>1.1743115468019962</v>
      </c>
      <c r="H48" s="34">
        <f t="shared" si="9"/>
        <v>40.993845066254345</v>
      </c>
      <c r="I48" s="34">
        <f t="shared" si="10"/>
        <v>81.987690132508689</v>
      </c>
      <c r="J48" s="45">
        <f t="shared" si="4"/>
        <v>0</v>
      </c>
    </row>
    <row r="49" spans="3:10" ht="26.25" customHeight="1" x14ac:dyDescent="0.15">
      <c r="C49" s="17">
        <v>8</v>
      </c>
      <c r="D49" s="17">
        <v>4</v>
      </c>
      <c r="E49" s="17">
        <v>0</v>
      </c>
      <c r="F49" s="9">
        <f t="shared" si="7"/>
        <v>0.61459633509386058</v>
      </c>
      <c r="G49" s="9">
        <f t="shared" si="8"/>
        <v>1.6270842224389135</v>
      </c>
      <c r="H49" s="34">
        <f t="shared" si="9"/>
        <v>28.257656328310162</v>
      </c>
      <c r="I49" s="34">
        <f t="shared" si="10"/>
        <v>56.515312656620324</v>
      </c>
      <c r="J49" s="45">
        <f t="shared" si="4"/>
        <v>0</v>
      </c>
    </row>
    <row r="50" spans="3:10" ht="26.25" customHeight="1" x14ac:dyDescent="0.15">
      <c r="C50" s="17">
        <v>7</v>
      </c>
      <c r="D50" s="17">
        <v>5</v>
      </c>
      <c r="E50" s="17">
        <v>3</v>
      </c>
      <c r="F50" s="9">
        <f t="shared" si="7"/>
        <v>0.75593430729349997</v>
      </c>
      <c r="G50" s="9">
        <f t="shared" si="8"/>
        <v>1.3228662733675067</v>
      </c>
      <c r="H50" s="34">
        <f t="shared" si="9"/>
        <v>35.613405281659212</v>
      </c>
      <c r="I50" s="34">
        <f t="shared" si="10"/>
        <v>71.226810563318423</v>
      </c>
      <c r="J50" s="45">
        <f t="shared" si="4"/>
        <v>0</v>
      </c>
    </row>
    <row r="51" spans="3:10" ht="26.25" customHeight="1" x14ac:dyDescent="0.15">
      <c r="C51" s="17">
        <v>9</v>
      </c>
      <c r="D51" s="17">
        <v>1</v>
      </c>
      <c r="E51" s="17">
        <v>1</v>
      </c>
      <c r="F51" s="9">
        <f t="shared" si="7"/>
        <v>0.37039054298272439</v>
      </c>
      <c r="G51" s="9">
        <f t="shared" si="8"/>
        <v>2.6998529496651904</v>
      </c>
      <c r="H51" s="34">
        <f t="shared" si="9"/>
        <v>16.577987192692021</v>
      </c>
      <c r="I51" s="34">
        <f t="shared" si="10"/>
        <v>33.155974385384042</v>
      </c>
      <c r="J51" s="45">
        <f t="shared" si="4"/>
        <v>0</v>
      </c>
    </row>
    <row r="52" spans="3:10" ht="26.25" customHeight="1" x14ac:dyDescent="0.15">
      <c r="C52" s="17">
        <v>8</v>
      </c>
      <c r="D52" s="17">
        <v>4</v>
      </c>
      <c r="E52" s="17">
        <v>2</v>
      </c>
      <c r="F52" s="9">
        <f t="shared" si="7"/>
        <v>0.63452930763665183</v>
      </c>
      <c r="G52" s="9">
        <f t="shared" si="8"/>
        <v>1.575971334916852</v>
      </c>
      <c r="H52" s="34">
        <f t="shared" si="9"/>
        <v>29.261226709842504</v>
      </c>
      <c r="I52" s="34">
        <f t="shared" si="10"/>
        <v>58.522453419685007</v>
      </c>
      <c r="J52" s="45">
        <f t="shared" si="4"/>
        <v>0</v>
      </c>
    </row>
    <row r="53" spans="3:10" ht="26.25" customHeight="1" x14ac:dyDescent="0.15">
      <c r="C53" s="17">
        <v>6</v>
      </c>
      <c r="D53" s="17">
        <v>6</v>
      </c>
      <c r="E53" s="17">
        <v>4</v>
      </c>
      <c r="F53" s="9">
        <f t="shared" si="7"/>
        <v>0.88798639018478465</v>
      </c>
      <c r="G53" s="9">
        <f t="shared" si="8"/>
        <v>1.126143385814625</v>
      </c>
      <c r="H53" s="34">
        <f t="shared" si="9"/>
        <v>43.15983172957138</v>
      </c>
      <c r="I53" s="34">
        <f t="shared" si="10"/>
        <v>86.31966345914276</v>
      </c>
      <c r="J53" s="45">
        <f t="shared" si="4"/>
        <v>0</v>
      </c>
    </row>
    <row r="54" spans="3:10" ht="26.25" customHeight="1" x14ac:dyDescent="0.15">
      <c r="C54" s="17">
        <v>9</v>
      </c>
      <c r="D54" s="17">
        <v>3</v>
      </c>
      <c r="E54" s="17">
        <v>1</v>
      </c>
      <c r="F54" s="9">
        <f t="shared" si="7"/>
        <v>0.53112345558545959</v>
      </c>
      <c r="G54" s="9">
        <f t="shared" si="8"/>
        <v>1.8828014268315374</v>
      </c>
      <c r="H54" s="34">
        <f t="shared" si="9"/>
        <v>24.150592505554485</v>
      </c>
      <c r="I54" s="34">
        <f t="shared" si="10"/>
        <v>48.30118501110897</v>
      </c>
      <c r="J54" s="45">
        <f t="shared" si="4"/>
        <v>0</v>
      </c>
    </row>
    <row r="55" spans="3:10" ht="26.25" customHeight="1" x14ac:dyDescent="0.15">
      <c r="C55" s="17">
        <v>8</v>
      </c>
      <c r="D55" s="17">
        <v>4</v>
      </c>
      <c r="E55" s="17">
        <v>4</v>
      </c>
      <c r="F55" s="9">
        <f t="shared" si="7"/>
        <v>0.68355514213667867</v>
      </c>
      <c r="G55" s="9">
        <f t="shared" si="8"/>
        <v>1.4629397664600514</v>
      </c>
      <c r="H55" s="34">
        <f t="shared" si="9"/>
        <v>31.7731792517252</v>
      </c>
      <c r="I55" s="34">
        <f t="shared" si="10"/>
        <v>63.546358503450399</v>
      </c>
      <c r="J55" s="45">
        <f t="shared" si="4"/>
        <v>0</v>
      </c>
    </row>
    <row r="56" spans="3:10" ht="26.25" customHeight="1" x14ac:dyDescent="0.15">
      <c r="C56" s="17">
        <v>7</v>
      </c>
      <c r="D56" s="17">
        <v>5</v>
      </c>
      <c r="E56" s="17">
        <v>5</v>
      </c>
      <c r="F56" s="9">
        <f t="shared" si="7"/>
        <v>0.80949849153868625</v>
      </c>
      <c r="G56" s="9">
        <f t="shared" si="8"/>
        <v>1.2353327528742031</v>
      </c>
      <c r="H56" s="34">
        <f t="shared" si="9"/>
        <v>38.57766428435734</v>
      </c>
      <c r="I56" s="34">
        <f t="shared" si="10"/>
        <v>77.15532856871468</v>
      </c>
      <c r="J56" s="45">
        <f t="shared" si="4"/>
        <v>0</v>
      </c>
    </row>
    <row r="57" spans="3:10" ht="26.25" customHeight="1" x14ac:dyDescent="0.15">
      <c r="C57" s="17">
        <v>7</v>
      </c>
      <c r="D57" s="17">
        <v>7</v>
      </c>
      <c r="E57" s="17">
        <v>1</v>
      </c>
      <c r="F57" s="9">
        <f t="shared" si="7"/>
        <v>0.98082407253380988</v>
      </c>
      <c r="G57" s="9">
        <f t="shared" si="8"/>
        <v>1.0195508328182159</v>
      </c>
      <c r="H57" s="34">
        <f t="shared" si="9"/>
        <v>49.073523791890473</v>
      </c>
      <c r="I57" s="34">
        <f t="shared" si="10"/>
        <v>98.147047583780946</v>
      </c>
      <c r="J57" s="45">
        <f t="shared" si="4"/>
        <v>0</v>
      </c>
    </row>
    <row r="58" spans="3:10" ht="26.25" customHeight="1" x14ac:dyDescent="0.15">
      <c r="C58" s="17">
        <v>9</v>
      </c>
      <c r="D58" s="17">
        <v>3</v>
      </c>
      <c r="E58" s="17">
        <v>3</v>
      </c>
      <c r="F58" s="9">
        <f t="shared" si="7"/>
        <v>0.57225988361602587</v>
      </c>
      <c r="G58" s="9">
        <f t="shared" si="8"/>
        <v>1.7474578048021598</v>
      </c>
      <c r="H58" s="34">
        <f t="shared" si="9"/>
        <v>26.15650916812741</v>
      </c>
      <c r="I58" s="34">
        <f t="shared" si="10"/>
        <v>52.313018336254821</v>
      </c>
      <c r="J58" s="45">
        <f t="shared" si="4"/>
        <v>0</v>
      </c>
    </row>
    <row r="59" spans="3:10" ht="26.25" customHeight="1" x14ac:dyDescent="0.15">
      <c r="C59" s="17">
        <v>8</v>
      </c>
      <c r="D59" s="17">
        <v>6</v>
      </c>
      <c r="E59" s="17">
        <v>2</v>
      </c>
      <c r="F59" s="9">
        <f t="shared" si="7"/>
        <v>0.87457696579823929</v>
      </c>
      <c r="G59" s="9">
        <f t="shared" si="8"/>
        <v>1.1434099445865067</v>
      </c>
      <c r="H59" s="34">
        <f t="shared" si="9"/>
        <v>42.353767348824711</v>
      </c>
      <c r="I59" s="34">
        <f t="shared" si="10"/>
        <v>84.707534697649422</v>
      </c>
      <c r="J59" s="45">
        <f t="shared" si="4"/>
        <v>0</v>
      </c>
    </row>
    <row r="60" spans="3:10" ht="26.25" customHeight="1" x14ac:dyDescent="0.15">
      <c r="C60" s="17">
        <v>10</v>
      </c>
      <c r="D60" s="17">
        <v>2</v>
      </c>
      <c r="E60" s="17">
        <v>0</v>
      </c>
      <c r="F60" s="9">
        <f t="shared" si="7"/>
        <v>0.45807283854522168</v>
      </c>
      <c r="G60" s="9">
        <f t="shared" si="8"/>
        <v>2.1830589283046486</v>
      </c>
      <c r="H60" s="34">
        <f t="shared" si="9"/>
        <v>20.662578677245293</v>
      </c>
      <c r="I60" s="34">
        <f t="shared" si="10"/>
        <v>41.325157354490585</v>
      </c>
      <c r="J60" s="45">
        <f t="shared" si="4"/>
        <v>0</v>
      </c>
    </row>
    <row r="61" spans="3:10" ht="26.25" customHeight="1" x14ac:dyDescent="0.15">
      <c r="C61" s="17">
        <v>7</v>
      </c>
      <c r="D61" s="17">
        <v>7</v>
      </c>
      <c r="E61" s="17">
        <v>3</v>
      </c>
      <c r="F61" s="9">
        <f t="shared" si="7"/>
        <v>1.0030680880026592</v>
      </c>
      <c r="G61" s="9">
        <f t="shared" si="8"/>
        <v>0.99694129636925399</v>
      </c>
      <c r="H61" s="34">
        <f t="shared" si="9"/>
        <v>50.595696804912336</v>
      </c>
      <c r="I61" s="34">
        <f t="shared" si="10"/>
        <v>101.19139360982467</v>
      </c>
      <c r="J61" s="45">
        <f t="shared" si="4"/>
        <v>0</v>
      </c>
    </row>
    <row r="62" spans="3:10" ht="26.25" customHeight="1" x14ac:dyDescent="0.15">
      <c r="C62" s="17">
        <v>9</v>
      </c>
      <c r="D62" s="17">
        <v>5</v>
      </c>
      <c r="E62" s="17">
        <v>1</v>
      </c>
      <c r="F62" s="9">
        <f t="shared" si="7"/>
        <v>0.75623942409599643</v>
      </c>
      <c r="G62" s="9">
        <f t="shared" si="8"/>
        <v>1.3223325419663137</v>
      </c>
      <c r="H62" s="34">
        <f t="shared" si="9"/>
        <v>35.629971932071705</v>
      </c>
      <c r="I62" s="34">
        <f t="shared" si="10"/>
        <v>71.259943864143409</v>
      </c>
      <c r="J62" s="45">
        <f t="shared" si="4"/>
        <v>0</v>
      </c>
    </row>
    <row r="63" spans="3:10" ht="26.25" customHeight="1" x14ac:dyDescent="0.15">
      <c r="C63" s="17">
        <v>6</v>
      </c>
      <c r="D63" s="17">
        <v>6</v>
      </c>
      <c r="E63" s="17">
        <v>6</v>
      </c>
      <c r="F63" s="9">
        <f t="shared" si="7"/>
        <v>0.94424673723660169</v>
      </c>
      <c r="G63" s="9">
        <f t="shared" si="8"/>
        <v>1.0590452268085817</v>
      </c>
      <c r="H63" s="34">
        <f t="shared" si="9"/>
        <v>46.666737584698744</v>
      </c>
      <c r="I63" s="34">
        <f t="shared" si="10"/>
        <v>93.333475169397488</v>
      </c>
      <c r="J63" s="45">
        <f t="shared" si="4"/>
        <v>0</v>
      </c>
    </row>
    <row r="64" spans="3:10" ht="26.25" customHeight="1" x14ac:dyDescent="0.15">
      <c r="C64" s="17">
        <v>10</v>
      </c>
      <c r="D64" s="17">
        <v>2</v>
      </c>
      <c r="E64" s="17">
        <v>2</v>
      </c>
      <c r="F64" s="9">
        <f t="shared" si="7"/>
        <v>0.48578702531830342</v>
      </c>
      <c r="G64" s="9">
        <f t="shared" si="8"/>
        <v>2.0585152502678876</v>
      </c>
      <c r="H64" s="34">
        <f t="shared" si="9"/>
        <v>21.975659239837054</v>
      </c>
      <c r="I64" s="34">
        <f t="shared" si="10"/>
        <v>43.951318479674107</v>
      </c>
      <c r="J64" s="45">
        <f t="shared" si="4"/>
        <v>0</v>
      </c>
    </row>
    <row r="65" spans="3:10" ht="26.25" customHeight="1" x14ac:dyDescent="0.15">
      <c r="C65" s="17">
        <v>9</v>
      </c>
      <c r="D65" s="17">
        <v>5</v>
      </c>
      <c r="E65" s="17">
        <v>3</v>
      </c>
      <c r="F65" s="9">
        <f t="shared" si="7"/>
        <v>0.78567634295569322</v>
      </c>
      <c r="G65" s="9">
        <f t="shared" si="8"/>
        <v>1.2727887366928052</v>
      </c>
      <c r="H65" s="34">
        <f t="shared" si="9"/>
        <v>37.244973347472474</v>
      </c>
      <c r="I65" s="34">
        <f t="shared" si="10"/>
        <v>74.489946694944948</v>
      </c>
      <c r="J65" s="45">
        <f t="shared" si="4"/>
        <v>0</v>
      </c>
    </row>
    <row r="66" spans="3:10" ht="26.25" customHeight="1" x14ac:dyDescent="0.15">
      <c r="C66" s="17">
        <v>8</v>
      </c>
      <c r="D66" s="17">
        <v>6</v>
      </c>
      <c r="E66" s="17">
        <v>4</v>
      </c>
      <c r="F66" s="9">
        <f t="shared" si="7"/>
        <v>0.91077168335236514</v>
      </c>
      <c r="G66" s="9">
        <f t="shared" si="8"/>
        <v>1.0979700162824602</v>
      </c>
      <c r="H66" s="34">
        <f t="shared" si="9"/>
        <v>44.554541026707376</v>
      </c>
      <c r="I66" s="34">
        <f t="shared" si="10"/>
        <v>89.109082053414753</v>
      </c>
      <c r="J66" s="45">
        <f t="shared" si="4"/>
        <v>0</v>
      </c>
    </row>
    <row r="67" spans="3:10" ht="26.25" customHeight="1" x14ac:dyDescent="0.15">
      <c r="C67" s="17">
        <v>10</v>
      </c>
      <c r="D67" s="17">
        <v>4</v>
      </c>
      <c r="E67" s="17">
        <v>2</v>
      </c>
      <c r="F67" s="9">
        <f t="shared" si="7"/>
        <v>0.67330787169066231</v>
      </c>
      <c r="G67" s="9">
        <f t="shared" si="8"/>
        <v>1.4852046768575873</v>
      </c>
      <c r="H67" s="34">
        <f t="shared" si="9"/>
        <v>31.242690680461148</v>
      </c>
      <c r="I67" s="34">
        <f t="shared" si="10"/>
        <v>62.485381360922297</v>
      </c>
      <c r="J67" s="45">
        <f t="shared" si="4"/>
        <v>0</v>
      </c>
    </row>
    <row r="68" spans="3:10" ht="26.25" customHeight="1" x14ac:dyDescent="0.15">
      <c r="C68" s="17">
        <v>7</v>
      </c>
      <c r="D68" s="17">
        <v>7</v>
      </c>
      <c r="E68" s="17">
        <v>5</v>
      </c>
      <c r="F68" s="9">
        <f t="shared" si="7"/>
        <v>1.044029080068853</v>
      </c>
      <c r="G68" s="9">
        <f t="shared" si="8"/>
        <v>0.957827726344606</v>
      </c>
      <c r="H68" s="34">
        <f t="shared" si="9"/>
        <v>53.536832275339989</v>
      </c>
      <c r="I68" s="34">
        <f t="shared" si="10"/>
        <v>107.07366455067998</v>
      </c>
      <c r="J68" s="45">
        <f t="shared" si="4"/>
        <v>0</v>
      </c>
    </row>
    <row r="69" spans="3:10" ht="26.25" customHeight="1" x14ac:dyDescent="0.15">
      <c r="C69" s="17">
        <v>11</v>
      </c>
      <c r="D69" s="17">
        <v>1</v>
      </c>
      <c r="E69" s="17">
        <v>1</v>
      </c>
      <c r="F69" s="9">
        <f t="shared" si="7"/>
        <v>0.43905650098322252</v>
      </c>
      <c r="G69" s="9">
        <f t="shared" si="8"/>
        <v>2.2776111907251146</v>
      </c>
      <c r="H69" s="34">
        <f t="shared" si="9"/>
        <v>19.768165203209456</v>
      </c>
      <c r="I69" s="34">
        <f t="shared" si="10"/>
        <v>39.536330406418912</v>
      </c>
      <c r="J69" s="45">
        <f t="shared" si="4"/>
        <v>0</v>
      </c>
    </row>
    <row r="70" spans="3:10" ht="26.25" customHeight="1" x14ac:dyDescent="0.15">
      <c r="C70" s="17">
        <v>8</v>
      </c>
      <c r="D70" s="17">
        <v>8</v>
      </c>
      <c r="E70" s="17">
        <v>0</v>
      </c>
      <c r="F70" s="9">
        <f t="shared" si="7"/>
        <v>1.1167571264884855</v>
      </c>
      <c r="G70" s="9">
        <f t="shared" si="8"/>
        <v>0.89544984874588185</v>
      </c>
      <c r="H70" s="34">
        <f t="shared" si="9"/>
        <v>59.346139096413104</v>
      </c>
      <c r="I70" s="34">
        <f t="shared" si="10"/>
        <v>118.69227819282621</v>
      </c>
      <c r="J70" s="45">
        <f t="shared" si="4"/>
        <v>0</v>
      </c>
    </row>
    <row r="71" spans="3:10" ht="26.25" customHeight="1" x14ac:dyDescent="0.15">
      <c r="C71" s="17">
        <v>9</v>
      </c>
      <c r="D71" s="17">
        <v>7</v>
      </c>
      <c r="E71" s="17">
        <v>1</v>
      </c>
      <c r="F71" s="9">
        <f t="shared" si="7"/>
        <v>1.0032980508219136</v>
      </c>
      <c r="G71" s="9">
        <f t="shared" si="8"/>
        <v>0.99671279056187567</v>
      </c>
      <c r="H71" s="34">
        <f t="shared" si="9"/>
        <v>50.611688611668029</v>
      </c>
      <c r="I71" s="34">
        <f t="shared" si="10"/>
        <v>101.22337722333606</v>
      </c>
      <c r="J71" s="45">
        <f t="shared" si="4"/>
        <v>0</v>
      </c>
    </row>
    <row r="72" spans="3:10" ht="26.25" customHeight="1" x14ac:dyDescent="0.15">
      <c r="C72" s="17">
        <v>9</v>
      </c>
      <c r="D72" s="17">
        <v>5</v>
      </c>
      <c r="E72" s="17">
        <v>5</v>
      </c>
      <c r="F72" s="9">
        <f t="shared" si="7"/>
        <v>0.83809186140662562</v>
      </c>
      <c r="G72" s="9">
        <f t="shared" si="8"/>
        <v>1.1931866255348587</v>
      </c>
      <c r="H72" s="34">
        <f t="shared" si="9"/>
        <v>40.210751611514027</v>
      </c>
      <c r="I72" s="34">
        <f t="shared" si="10"/>
        <v>80.421503223028054</v>
      </c>
      <c r="J72" s="45">
        <f t="shared" si="4"/>
        <v>0</v>
      </c>
    </row>
    <row r="73" spans="3:10" ht="26.25" customHeight="1" x14ac:dyDescent="0.15">
      <c r="C73" s="17">
        <v>11</v>
      </c>
      <c r="D73" s="17">
        <v>3</v>
      </c>
      <c r="E73" s="17">
        <v>1</v>
      </c>
      <c r="F73" s="9">
        <f t="shared" si="7"/>
        <v>0.58109687815168365</v>
      </c>
      <c r="G73" s="9">
        <f t="shared" si="8"/>
        <v>1.7208834492120093</v>
      </c>
      <c r="H73" s="34">
        <f t="shared" si="9"/>
        <v>26.591856085009585</v>
      </c>
      <c r="I73" s="34">
        <f t="shared" si="10"/>
        <v>53.18371217001917</v>
      </c>
      <c r="J73" s="45">
        <f t="shared" si="4"/>
        <v>0</v>
      </c>
    </row>
    <row r="74" spans="3:10" ht="26.25" customHeight="1" x14ac:dyDescent="0.15">
      <c r="C74" s="17">
        <v>8</v>
      </c>
      <c r="D74" s="17">
        <v>8</v>
      </c>
      <c r="E74" s="17">
        <v>2</v>
      </c>
      <c r="F74" s="9">
        <f t="shared" si="7"/>
        <v>1.1278498422670735</v>
      </c>
      <c r="G74" s="9">
        <f t="shared" si="8"/>
        <v>0.88664285131247211</v>
      </c>
      <c r="H74" s="34">
        <f t="shared" si="9"/>
        <v>60.320425995036139</v>
      </c>
      <c r="I74" s="34">
        <f t="shared" si="10"/>
        <v>120.64085199007228</v>
      </c>
      <c r="J74" s="45">
        <f t="shared" si="4"/>
        <v>0</v>
      </c>
    </row>
    <row r="75" spans="3:10" ht="26.25" customHeight="1" x14ac:dyDescent="0.15">
      <c r="C75" s="17">
        <v>10</v>
      </c>
      <c r="D75" s="17">
        <v>4</v>
      </c>
      <c r="E75" s="17">
        <v>4</v>
      </c>
      <c r="F75" s="9">
        <f t="shared" si="7"/>
        <v>0.7205714410021683</v>
      </c>
      <c r="G75" s="9">
        <f t="shared" si="8"/>
        <v>1.3877874463206639</v>
      </c>
      <c r="H75" s="34">
        <f t="shared" si="9"/>
        <v>33.715700379545005</v>
      </c>
      <c r="I75" s="34">
        <f t="shared" si="10"/>
        <v>67.43140075909001</v>
      </c>
      <c r="J75" s="45">
        <f t="shared" si="4"/>
        <v>0</v>
      </c>
    </row>
    <row r="76" spans="3:10" ht="26.25" customHeight="1" x14ac:dyDescent="0.15">
      <c r="C76" s="17">
        <v>8</v>
      </c>
      <c r="D76" s="17">
        <v>6</v>
      </c>
      <c r="E76" s="17">
        <v>6</v>
      </c>
      <c r="F76" s="9">
        <f t="shared" si="7"/>
        <v>0.96635741433527067</v>
      </c>
      <c r="G76" s="9">
        <f t="shared" si="8"/>
        <v>1.0348138123282999</v>
      </c>
      <c r="H76" s="34">
        <f t="shared" si="9"/>
        <v>48.108176475876661</v>
      </c>
      <c r="I76" s="34">
        <f t="shared" si="10"/>
        <v>96.216352951753322</v>
      </c>
      <c r="J76" s="45">
        <f t="shared" si="4"/>
        <v>0</v>
      </c>
    </row>
    <row r="77" spans="3:10" ht="26.25" customHeight="1" x14ac:dyDescent="0.15">
      <c r="C77" s="17">
        <v>10</v>
      </c>
      <c r="D77" s="17">
        <v>6</v>
      </c>
      <c r="E77" s="17">
        <v>0</v>
      </c>
      <c r="F77" s="9">
        <f t="shared" si="7"/>
        <v>0.88850582912037557</v>
      </c>
      <c r="G77" s="9">
        <f t="shared" si="8"/>
        <v>1.1254850190347137</v>
      </c>
      <c r="H77" s="34">
        <f t="shared" si="9"/>
        <v>43.191269150955684</v>
      </c>
      <c r="I77" s="34">
        <f t="shared" si="10"/>
        <v>86.382538301911367</v>
      </c>
      <c r="J77" s="45">
        <f t="shared" si="4"/>
        <v>0</v>
      </c>
    </row>
    <row r="78" spans="3:10" ht="26.25" customHeight="1" x14ac:dyDescent="0.15">
      <c r="C78" s="17">
        <v>9</v>
      </c>
      <c r="D78" s="17">
        <v>7</v>
      </c>
      <c r="E78" s="17">
        <v>3</v>
      </c>
      <c r="F78" s="9">
        <f t="shared" si="7"/>
        <v>1.0256686736496532</v>
      </c>
      <c r="G78" s="9">
        <f t="shared" si="8"/>
        <v>0.97497371782028208</v>
      </c>
      <c r="H78" s="34">
        <f t="shared" si="9"/>
        <v>52.194450021168926</v>
      </c>
      <c r="I78" s="34">
        <f t="shared" si="10"/>
        <v>104.38890004233785</v>
      </c>
      <c r="J78" s="45">
        <f t="shared" si="4"/>
        <v>0</v>
      </c>
    </row>
    <row r="79" spans="3:10" ht="26.25" customHeight="1" x14ac:dyDescent="0.15">
      <c r="C79" s="17">
        <v>11</v>
      </c>
      <c r="D79" s="17">
        <v>3</v>
      </c>
      <c r="E79" s="17">
        <v>3</v>
      </c>
      <c r="F79" s="9">
        <f t="shared" si="7"/>
        <v>0.6199373779153069</v>
      </c>
      <c r="G79" s="9">
        <f t="shared" si="8"/>
        <v>1.6130661509114805</v>
      </c>
      <c r="H79" s="34">
        <f t="shared" si="9"/>
        <v>28.525621405381415</v>
      </c>
      <c r="I79" s="34">
        <f t="shared" si="10"/>
        <v>57.05124281076283</v>
      </c>
      <c r="J79" s="45">
        <f t="shared" ref="J79:J142" si="11">DEGREES(2*$F$9*F79/(2*COS(RADIANS(H79))))</f>
        <v>0</v>
      </c>
    </row>
    <row r="80" spans="3:10" ht="26.25" customHeight="1" x14ac:dyDescent="0.15">
      <c r="C80" s="17">
        <v>10</v>
      </c>
      <c r="D80" s="17">
        <v>6</v>
      </c>
      <c r="E80" s="17">
        <v>2</v>
      </c>
      <c r="F80" s="9">
        <f t="shared" si="7"/>
        <v>0.90310626004674299</v>
      </c>
      <c r="G80" s="9">
        <f t="shared" si="8"/>
        <v>1.1072894123757286</v>
      </c>
      <c r="H80" s="34">
        <f t="shared" si="9"/>
        <v>44.081672998700725</v>
      </c>
      <c r="I80" s="34">
        <f t="shared" si="10"/>
        <v>88.16334599740145</v>
      </c>
      <c r="J80" s="45">
        <f t="shared" si="11"/>
        <v>0</v>
      </c>
    </row>
    <row r="81" spans="3:10" ht="26.25" customHeight="1" x14ac:dyDescent="0.15">
      <c r="C81" s="17">
        <v>8</v>
      </c>
      <c r="D81" s="17">
        <v>8</v>
      </c>
      <c r="E81" s="17">
        <v>4</v>
      </c>
      <c r="F81" s="9">
        <f t="shared" si="7"/>
        <v>1.1561424898313826</v>
      </c>
      <c r="G81" s="9">
        <f t="shared" si="8"/>
        <v>0.86494528900658674</v>
      </c>
      <c r="H81" s="34">
        <f t="shared" si="9"/>
        <v>62.949061355880332</v>
      </c>
      <c r="I81" s="34">
        <f t="shared" si="10"/>
        <v>125.89812271176066</v>
      </c>
      <c r="J81" s="45">
        <f t="shared" si="11"/>
        <v>0</v>
      </c>
    </row>
    <row r="82" spans="3:10" ht="26.25" customHeight="1" x14ac:dyDescent="0.15">
      <c r="C82" s="17">
        <v>12</v>
      </c>
      <c r="D82" s="17">
        <v>0</v>
      </c>
      <c r="E82" s="17">
        <v>0</v>
      </c>
      <c r="F82" s="9">
        <f t="shared" si="7"/>
        <v>0.44477646707115792</v>
      </c>
      <c r="G82" s="9">
        <f t="shared" si="8"/>
        <v>2.2483203902062878</v>
      </c>
      <c r="H82" s="34">
        <f t="shared" si="9"/>
        <v>20.036659289270222</v>
      </c>
      <c r="I82" s="34">
        <f t="shared" si="10"/>
        <v>40.073318578540444</v>
      </c>
      <c r="J82" s="45">
        <f t="shared" si="11"/>
        <v>0</v>
      </c>
    </row>
    <row r="83" spans="3:10" ht="26.25" customHeight="1" x14ac:dyDescent="0.15">
      <c r="C83" s="17">
        <v>11</v>
      </c>
      <c r="D83" s="17">
        <v>5</v>
      </c>
      <c r="E83" s="17">
        <v>1</v>
      </c>
      <c r="F83" s="9">
        <f t="shared" si="7"/>
        <v>0.7921360509922758</v>
      </c>
      <c r="G83" s="9">
        <f t="shared" si="8"/>
        <v>1.2624094039746603</v>
      </c>
      <c r="H83" s="34">
        <f t="shared" si="9"/>
        <v>37.603980822139782</v>
      </c>
      <c r="I83" s="34">
        <f t="shared" si="10"/>
        <v>75.207961644279564</v>
      </c>
      <c r="J83" s="45">
        <f t="shared" si="11"/>
        <v>0</v>
      </c>
    </row>
    <row r="84" spans="3:10" ht="26.25" customHeight="1" x14ac:dyDescent="0.15">
      <c r="C84" s="17">
        <v>7</v>
      </c>
      <c r="D84" s="17">
        <v>7</v>
      </c>
      <c r="E84" s="17">
        <v>7</v>
      </c>
      <c r="F84" s="9">
        <f t="shared" si="7"/>
        <v>1.1016211934427018</v>
      </c>
      <c r="G84" s="9">
        <f t="shared" si="8"/>
        <v>0.90775305155021291</v>
      </c>
      <c r="H84" s="34">
        <f t="shared" si="9"/>
        <v>58.060109557827779</v>
      </c>
      <c r="I84" s="34">
        <f t="shared" si="10"/>
        <v>116.12021911565556</v>
      </c>
      <c r="J84" s="45">
        <f t="shared" si="11"/>
        <v>0</v>
      </c>
    </row>
    <row r="85" spans="3:10" ht="26.25" customHeight="1" x14ac:dyDescent="0.15">
      <c r="C85" s="17">
        <v>10</v>
      </c>
      <c r="D85" s="17">
        <v>6</v>
      </c>
      <c r="E85" s="17">
        <v>4</v>
      </c>
      <c r="F85" s="9">
        <f t="shared" ref="F85:F148" si="12">SQRT(C85^2*$C$6^2+D85^2*$D$6^2+E85^2*$E$6^2+2*$C$6*$D$6*C85*D85*COS(RADIANS($H$6))+2*$C$6*$E$6*C85*E85*COS(RADIANS($G$6))+2*$D$6*$E$6*D85*E85*COS(RADIANS($F$6)))</f>
        <v>0.93887199790117681</v>
      </c>
      <c r="G85" s="9">
        <f t="shared" ref="G85:G148" si="13">1/F85</f>
        <v>1.0651079191151438</v>
      </c>
      <c r="H85" s="34">
        <f t="shared" ref="H85:H148" si="14">DEGREES(ASIN(F85*$D$9/2))</f>
        <v>46.32215232424852</v>
      </c>
      <c r="I85" s="34">
        <f t="shared" ref="I85:I148" si="15">H85*2</f>
        <v>92.644304648497041</v>
      </c>
      <c r="J85" s="45">
        <f t="shared" si="11"/>
        <v>0</v>
      </c>
    </row>
    <row r="86" spans="3:10" ht="26.25" customHeight="1" x14ac:dyDescent="0.15">
      <c r="C86" s="17">
        <v>12</v>
      </c>
      <c r="D86" s="17">
        <v>2</v>
      </c>
      <c r="E86" s="17">
        <v>2</v>
      </c>
      <c r="F86" s="9">
        <f t="shared" si="12"/>
        <v>0.54561471846140375</v>
      </c>
      <c r="G86" s="9">
        <f t="shared" si="13"/>
        <v>1.8327951321033489</v>
      </c>
      <c r="H86" s="34">
        <f t="shared" si="14"/>
        <v>24.853484013810267</v>
      </c>
      <c r="I86" s="34">
        <f t="shared" si="15"/>
        <v>49.706968027620533</v>
      </c>
      <c r="J86" s="45">
        <f t="shared" si="11"/>
        <v>0</v>
      </c>
    </row>
    <row r="87" spans="3:10" ht="26.25" customHeight="1" x14ac:dyDescent="0.15">
      <c r="C87" s="17">
        <v>9</v>
      </c>
      <c r="D87" s="17">
        <v>7</v>
      </c>
      <c r="E87" s="17">
        <v>5</v>
      </c>
      <c r="F87" s="9">
        <f t="shared" si="12"/>
        <v>1.0663521371395237</v>
      </c>
      <c r="G87" s="9">
        <f t="shared" si="13"/>
        <v>0.93777652350609764</v>
      </c>
      <c r="H87" s="34">
        <f t="shared" si="14"/>
        <v>55.228704403700412</v>
      </c>
      <c r="I87" s="34">
        <f t="shared" si="15"/>
        <v>110.45740880740082</v>
      </c>
      <c r="J87" s="45">
        <f t="shared" si="11"/>
        <v>0</v>
      </c>
    </row>
    <row r="88" spans="3:10" ht="26.25" customHeight="1" x14ac:dyDescent="0.15">
      <c r="C88" s="17">
        <v>11</v>
      </c>
      <c r="D88" s="17">
        <v>5</v>
      </c>
      <c r="E88" s="17">
        <v>3</v>
      </c>
      <c r="F88" s="9">
        <f t="shared" si="12"/>
        <v>0.82105316150692131</v>
      </c>
      <c r="G88" s="9">
        <f t="shared" si="13"/>
        <v>1.2179479318545565</v>
      </c>
      <c r="H88" s="34">
        <f t="shared" si="14"/>
        <v>39.233013023205487</v>
      </c>
      <c r="I88" s="34">
        <f t="shared" si="15"/>
        <v>78.466026046410974</v>
      </c>
      <c r="J88" s="45">
        <f t="shared" si="11"/>
        <v>0</v>
      </c>
    </row>
    <row r="89" spans="3:10" ht="26.25" customHeight="1" x14ac:dyDescent="0.15">
      <c r="C89" s="17">
        <v>12</v>
      </c>
      <c r="D89" s="17">
        <v>4</v>
      </c>
      <c r="E89" s="17">
        <v>0</v>
      </c>
      <c r="F89" s="9">
        <f t="shared" si="12"/>
        <v>0.69830655671009245</v>
      </c>
      <c r="G89" s="9">
        <f t="shared" si="13"/>
        <v>1.4320358163487186</v>
      </c>
      <c r="H89" s="34">
        <f t="shared" si="14"/>
        <v>32.542240489882843</v>
      </c>
      <c r="I89" s="34">
        <f t="shared" si="15"/>
        <v>65.084480979765686</v>
      </c>
      <c r="J89" s="45">
        <f t="shared" si="11"/>
        <v>0</v>
      </c>
    </row>
    <row r="90" spans="3:10" ht="26.25" customHeight="1" x14ac:dyDescent="0.15">
      <c r="C90" s="17">
        <v>9</v>
      </c>
      <c r="D90" s="17">
        <v>9</v>
      </c>
      <c r="E90" s="17">
        <v>1</v>
      </c>
      <c r="F90" s="9">
        <f t="shared" si="12"/>
        <v>1.2594518100153973</v>
      </c>
      <c r="G90" s="9">
        <f t="shared" si="13"/>
        <v>0.79399623871895075</v>
      </c>
      <c r="H90" s="34">
        <f t="shared" si="14"/>
        <v>75.973574360279258</v>
      </c>
      <c r="I90" s="34">
        <f t="shared" si="15"/>
        <v>151.94714872055852</v>
      </c>
      <c r="J90" s="45">
        <f t="shared" si="11"/>
        <v>0</v>
      </c>
    </row>
    <row r="91" spans="3:10" ht="26.25" customHeight="1" x14ac:dyDescent="0.15">
      <c r="C91" s="17">
        <v>8</v>
      </c>
      <c r="D91" s="17">
        <v>8</v>
      </c>
      <c r="E91" s="17">
        <v>6</v>
      </c>
      <c r="F91" s="9">
        <f t="shared" si="12"/>
        <v>1.2004195307632068</v>
      </c>
      <c r="G91" s="9">
        <f t="shared" si="13"/>
        <v>0.83304209434531329</v>
      </c>
      <c r="H91" s="34">
        <f t="shared" si="14"/>
        <v>67.624689097027712</v>
      </c>
      <c r="I91" s="34">
        <f t="shared" si="15"/>
        <v>135.24937819405542</v>
      </c>
      <c r="J91" s="45">
        <f t="shared" si="11"/>
        <v>0</v>
      </c>
    </row>
    <row r="92" spans="3:10" ht="26.25" customHeight="1" x14ac:dyDescent="0.15">
      <c r="C92" s="17">
        <v>12</v>
      </c>
      <c r="D92" s="17">
        <v>4</v>
      </c>
      <c r="E92" s="17">
        <v>2</v>
      </c>
      <c r="F92" s="9">
        <f t="shared" si="12"/>
        <v>0.71766975491149154</v>
      </c>
      <c r="G92" s="9">
        <f t="shared" si="13"/>
        <v>1.3933985557512139</v>
      </c>
      <c r="H92" s="34">
        <f t="shared" si="14"/>
        <v>33.561871704686382</v>
      </c>
      <c r="I92" s="34">
        <f t="shared" si="15"/>
        <v>67.123743409372764</v>
      </c>
      <c r="J92" s="45">
        <f t="shared" si="11"/>
        <v>0</v>
      </c>
    </row>
    <row r="93" spans="3:10" ht="26.25" customHeight="1" x14ac:dyDescent="0.15">
      <c r="C93" s="17">
        <v>10</v>
      </c>
      <c r="D93" s="17">
        <v>8</v>
      </c>
      <c r="E93" s="17">
        <v>2</v>
      </c>
      <c r="F93" s="9">
        <f t="shared" si="12"/>
        <v>1.1501136094024031</v>
      </c>
      <c r="G93" s="9">
        <f t="shared" si="13"/>
        <v>0.86947932084691881</v>
      </c>
      <c r="H93" s="34">
        <f t="shared" si="14"/>
        <v>62.369690460230125</v>
      </c>
      <c r="I93" s="34">
        <f t="shared" si="15"/>
        <v>124.73938092046025</v>
      </c>
      <c r="J93" s="45">
        <f t="shared" si="11"/>
        <v>0</v>
      </c>
    </row>
    <row r="94" spans="3:10" ht="26.25" customHeight="1" x14ac:dyDescent="0.15">
      <c r="C94" s="17">
        <v>11</v>
      </c>
      <c r="D94" s="17">
        <v>5</v>
      </c>
      <c r="E94" s="17">
        <v>5</v>
      </c>
      <c r="F94" s="9">
        <f t="shared" si="12"/>
        <v>0.87206563268597315</v>
      </c>
      <c r="G94" s="9">
        <f t="shared" si="13"/>
        <v>1.1467026821364206</v>
      </c>
      <c r="H94" s="34">
        <f t="shared" si="14"/>
        <v>42.203958054513329</v>
      </c>
      <c r="I94" s="34">
        <f t="shared" si="15"/>
        <v>84.407916109026658</v>
      </c>
      <c r="J94" s="45">
        <f t="shared" si="11"/>
        <v>0</v>
      </c>
    </row>
    <row r="95" spans="3:10" ht="26.25" customHeight="1" x14ac:dyDescent="0.15">
      <c r="C95" s="17">
        <v>11</v>
      </c>
      <c r="D95" s="17">
        <v>7</v>
      </c>
      <c r="E95" s="17">
        <v>1</v>
      </c>
      <c r="F95" s="9">
        <f t="shared" si="12"/>
        <v>1.0306252643457003</v>
      </c>
      <c r="G95" s="9">
        <f t="shared" si="13"/>
        <v>0.97028477235599009</v>
      </c>
      <c r="H95" s="34">
        <f t="shared" si="14"/>
        <v>52.552782550701899</v>
      </c>
      <c r="I95" s="34">
        <f t="shared" si="15"/>
        <v>105.1055651014038</v>
      </c>
      <c r="J95" s="45">
        <f t="shared" si="11"/>
        <v>0</v>
      </c>
    </row>
    <row r="96" spans="3:10" ht="26.25" customHeight="1" x14ac:dyDescent="0.15">
      <c r="C96" s="17">
        <v>13</v>
      </c>
      <c r="D96" s="17">
        <v>1</v>
      </c>
      <c r="E96" s="17">
        <v>1</v>
      </c>
      <c r="F96" s="9">
        <f t="shared" si="12"/>
        <v>0.50925672011626266</v>
      </c>
      <c r="G96" s="9">
        <f t="shared" si="13"/>
        <v>1.9636461542848198</v>
      </c>
      <c r="H96" s="34">
        <f t="shared" si="14"/>
        <v>23.097183545013817</v>
      </c>
      <c r="I96" s="34">
        <f t="shared" si="15"/>
        <v>46.194367090027633</v>
      </c>
      <c r="J96" s="45">
        <f t="shared" si="11"/>
        <v>0</v>
      </c>
    </row>
    <row r="97" spans="3:10" ht="26.25" customHeight="1" x14ac:dyDescent="0.15">
      <c r="C97" s="17">
        <v>9</v>
      </c>
      <c r="D97" s="17">
        <v>9</v>
      </c>
      <c r="E97" s="17">
        <v>3</v>
      </c>
      <c r="F97" s="9">
        <f t="shared" si="12"/>
        <v>1.2773441631268561</v>
      </c>
      <c r="G97" s="9">
        <f t="shared" si="13"/>
        <v>0.7828743645346643</v>
      </c>
      <c r="H97" s="34">
        <f t="shared" si="14"/>
        <v>79.726273891364244</v>
      </c>
      <c r="I97" s="34">
        <f t="shared" si="15"/>
        <v>159.45254778272849</v>
      </c>
      <c r="J97" s="45">
        <f t="shared" si="11"/>
        <v>0</v>
      </c>
    </row>
    <row r="98" spans="3:10" ht="26.25" customHeight="1" x14ac:dyDescent="0.15">
      <c r="C98" s="17">
        <v>10</v>
      </c>
      <c r="D98" s="17">
        <v>6</v>
      </c>
      <c r="E98" s="17">
        <v>6</v>
      </c>
      <c r="F98" s="9">
        <f t="shared" si="12"/>
        <v>0.99351987544431231</v>
      </c>
      <c r="G98" s="9">
        <f t="shared" si="13"/>
        <v>1.0065223904582581</v>
      </c>
      <c r="H98" s="34">
        <f t="shared" si="14"/>
        <v>49.936421271609632</v>
      </c>
      <c r="I98" s="34">
        <f t="shared" si="15"/>
        <v>99.872842543219264</v>
      </c>
      <c r="J98" s="45">
        <f t="shared" si="11"/>
        <v>0</v>
      </c>
    </row>
    <row r="99" spans="3:10" ht="26.25" customHeight="1" x14ac:dyDescent="0.15">
      <c r="C99" s="17">
        <v>12</v>
      </c>
      <c r="D99" s="17">
        <v>4</v>
      </c>
      <c r="E99" s="17">
        <v>4</v>
      </c>
      <c r="F99" s="9">
        <f t="shared" si="12"/>
        <v>0.76301317815470127</v>
      </c>
      <c r="G99" s="9">
        <f t="shared" si="13"/>
        <v>1.3105933536016197</v>
      </c>
      <c r="H99" s="34">
        <f t="shared" si="14"/>
        <v>35.99865110922849</v>
      </c>
      <c r="I99" s="34">
        <f t="shared" si="15"/>
        <v>71.99730221845698</v>
      </c>
      <c r="J99" s="45">
        <f t="shared" si="11"/>
        <v>0</v>
      </c>
    </row>
    <row r="100" spans="3:10" ht="26.25" customHeight="1" x14ac:dyDescent="0.15">
      <c r="C100" s="17">
        <v>9</v>
      </c>
      <c r="D100" s="17">
        <v>7</v>
      </c>
      <c r="E100" s="17">
        <v>7</v>
      </c>
      <c r="F100" s="9">
        <f t="shared" si="12"/>
        <v>1.1233605545907435</v>
      </c>
      <c r="G100" s="9">
        <f t="shared" si="13"/>
        <v>0.89018614363249959</v>
      </c>
      <c r="H100" s="34">
        <f t="shared" si="14"/>
        <v>59.922682322980918</v>
      </c>
      <c r="I100" s="34">
        <f t="shared" si="15"/>
        <v>119.84536464596184</v>
      </c>
      <c r="J100" s="45">
        <f t="shared" si="11"/>
        <v>0</v>
      </c>
    </row>
    <row r="101" spans="3:10" ht="26.25" customHeight="1" x14ac:dyDescent="0.15">
      <c r="C101" s="17">
        <v>13</v>
      </c>
      <c r="D101" s="17">
        <v>3</v>
      </c>
      <c r="E101" s="17">
        <v>1</v>
      </c>
      <c r="F101" s="9">
        <f t="shared" si="12"/>
        <v>0.63580293938104426</v>
      </c>
      <c r="G101" s="9">
        <f t="shared" si="13"/>
        <v>1.5728143707128854</v>
      </c>
      <c r="H101" s="34">
        <f t="shared" si="14"/>
        <v>29.325682254267601</v>
      </c>
      <c r="I101" s="34">
        <f t="shared" si="15"/>
        <v>58.651364508535202</v>
      </c>
      <c r="J101" s="45">
        <f t="shared" si="11"/>
        <v>0</v>
      </c>
    </row>
    <row r="102" spans="3:10" ht="26.25" customHeight="1" x14ac:dyDescent="0.15">
      <c r="C102" s="17">
        <v>11</v>
      </c>
      <c r="D102" s="17">
        <v>7</v>
      </c>
      <c r="E102" s="17">
        <v>3</v>
      </c>
      <c r="F102" s="9">
        <f t="shared" si="12"/>
        <v>1.0530133931942736</v>
      </c>
      <c r="G102" s="9">
        <f t="shared" si="13"/>
        <v>0.94965553758679211</v>
      </c>
      <c r="H102" s="34">
        <f t="shared" si="14"/>
        <v>54.209411231799358</v>
      </c>
      <c r="I102" s="34">
        <f t="shared" si="15"/>
        <v>108.41882246359872</v>
      </c>
      <c r="J102" s="45">
        <f t="shared" si="11"/>
        <v>0</v>
      </c>
    </row>
    <row r="103" spans="3:10" ht="26.25" customHeight="1" x14ac:dyDescent="0.15">
      <c r="C103" s="17">
        <v>10</v>
      </c>
      <c r="D103" s="17">
        <v>8</v>
      </c>
      <c r="E103" s="17">
        <v>4</v>
      </c>
      <c r="F103" s="9">
        <f t="shared" si="12"/>
        <v>1.1784061379846742</v>
      </c>
      <c r="G103" s="9">
        <f t="shared" si="13"/>
        <v>0.84860386225602424</v>
      </c>
      <c r="H103" s="34">
        <f t="shared" si="14"/>
        <v>65.196621274967271</v>
      </c>
      <c r="I103" s="34">
        <f t="shared" si="15"/>
        <v>130.39324254993454</v>
      </c>
      <c r="J103" s="45">
        <f t="shared" si="11"/>
        <v>0</v>
      </c>
    </row>
    <row r="104" spans="3:10" ht="26.25" customHeight="1" x14ac:dyDescent="0.15">
      <c r="C104" s="17">
        <v>12</v>
      </c>
      <c r="D104" s="17">
        <v>6</v>
      </c>
      <c r="E104" s="17">
        <v>2</v>
      </c>
      <c r="F104" s="9">
        <f t="shared" si="12"/>
        <v>0.93664684058065673</v>
      </c>
      <c r="G104" s="9">
        <f t="shared" si="13"/>
        <v>1.067638256677478</v>
      </c>
      <c r="H104" s="34">
        <f t="shared" si="14"/>
        <v>46.180127362848147</v>
      </c>
      <c r="I104" s="34">
        <f t="shared" si="15"/>
        <v>92.360254725696294</v>
      </c>
      <c r="J104" s="45">
        <f t="shared" si="11"/>
        <v>0</v>
      </c>
    </row>
    <row r="105" spans="3:10" ht="26.25" customHeight="1" x14ac:dyDescent="0.15">
      <c r="C105" s="17">
        <v>9</v>
      </c>
      <c r="D105" s="17">
        <v>9</v>
      </c>
      <c r="E105" s="17">
        <v>5</v>
      </c>
      <c r="F105" s="9">
        <f t="shared" si="12"/>
        <v>1.3102361479328979</v>
      </c>
      <c r="G105" s="9">
        <f t="shared" si="13"/>
        <v>0.76322119610091366</v>
      </c>
      <c r="H105" s="34" t="e">
        <f t="shared" si="14"/>
        <v>#NUM!</v>
      </c>
      <c r="I105" s="34" t="e">
        <f t="shared" si="15"/>
        <v>#NUM!</v>
      </c>
      <c r="J105" s="45" t="e">
        <f t="shared" si="11"/>
        <v>#NUM!</v>
      </c>
    </row>
    <row r="106" spans="3:10" ht="26.25" customHeight="1" x14ac:dyDescent="0.15">
      <c r="C106" s="17">
        <v>13</v>
      </c>
      <c r="D106" s="17">
        <v>3</v>
      </c>
      <c r="E106" s="17">
        <v>3</v>
      </c>
      <c r="F106" s="9">
        <f t="shared" si="12"/>
        <v>0.67242372792766225</v>
      </c>
      <c r="G106" s="9">
        <f t="shared" si="13"/>
        <v>1.487157514625328</v>
      </c>
      <c r="H106" s="34">
        <f t="shared" si="14"/>
        <v>31.197059859894267</v>
      </c>
      <c r="I106" s="34">
        <f t="shared" si="15"/>
        <v>62.394119719788534</v>
      </c>
      <c r="J106" s="45">
        <f t="shared" si="11"/>
        <v>0</v>
      </c>
    </row>
    <row r="107" spans="3:10" ht="26.25" customHeight="1" x14ac:dyDescent="0.15">
      <c r="C107" s="17">
        <v>8</v>
      </c>
      <c r="D107" s="17">
        <v>8</v>
      </c>
      <c r="E107" s="17">
        <v>8</v>
      </c>
      <c r="F107" s="9">
        <f t="shared" si="12"/>
        <v>1.2589956496488022</v>
      </c>
      <c r="G107" s="9">
        <f t="shared" si="13"/>
        <v>0.79428392010643623</v>
      </c>
      <c r="H107" s="34">
        <f t="shared" si="14"/>
        <v>75.890745747901747</v>
      </c>
      <c r="I107" s="34">
        <f t="shared" si="15"/>
        <v>151.78149149580349</v>
      </c>
      <c r="J107" s="45">
        <f t="shared" si="11"/>
        <v>0</v>
      </c>
    </row>
    <row r="108" spans="3:10" ht="26.25" customHeight="1" x14ac:dyDescent="0.15">
      <c r="C108" s="17">
        <v>11</v>
      </c>
      <c r="D108" s="17">
        <v>7</v>
      </c>
      <c r="E108" s="17">
        <v>5</v>
      </c>
      <c r="F108" s="9">
        <f t="shared" si="12"/>
        <v>1.0932554047147418</v>
      </c>
      <c r="G108" s="9">
        <f t="shared" si="13"/>
        <v>0.91469934261237473</v>
      </c>
      <c r="H108" s="34">
        <f t="shared" si="14"/>
        <v>57.368834984543511</v>
      </c>
      <c r="I108" s="34">
        <f t="shared" si="15"/>
        <v>114.73766996908702</v>
      </c>
      <c r="J108" s="45">
        <f t="shared" si="11"/>
        <v>0</v>
      </c>
    </row>
    <row r="109" spans="3:10" ht="26.25" customHeight="1" x14ac:dyDescent="0.15">
      <c r="C109" s="17">
        <v>13</v>
      </c>
      <c r="D109" s="17">
        <v>5</v>
      </c>
      <c r="E109" s="17">
        <v>1</v>
      </c>
      <c r="F109" s="9">
        <f t="shared" si="12"/>
        <v>0.83309742480071347</v>
      </c>
      <c r="G109" s="9">
        <f t="shared" si="13"/>
        <v>1.2003398044823048</v>
      </c>
      <c r="H109" s="34">
        <f t="shared" si="14"/>
        <v>39.922711391505892</v>
      </c>
      <c r="I109" s="34">
        <f t="shared" si="15"/>
        <v>79.845422783011784</v>
      </c>
      <c r="J109" s="45">
        <f t="shared" si="11"/>
        <v>0</v>
      </c>
    </row>
    <row r="110" spans="3:10" ht="26.25" customHeight="1" x14ac:dyDescent="0.15">
      <c r="C110" s="17">
        <v>12</v>
      </c>
      <c r="D110" s="17">
        <v>6</v>
      </c>
      <c r="E110" s="17">
        <v>4</v>
      </c>
      <c r="F110" s="9">
        <f t="shared" si="12"/>
        <v>0.97182639236272217</v>
      </c>
      <c r="G110" s="9">
        <f t="shared" si="13"/>
        <v>1.0289903709743689</v>
      </c>
      <c r="H110" s="34">
        <f t="shared" si="14"/>
        <v>48.470954773174228</v>
      </c>
      <c r="I110" s="34">
        <f t="shared" si="15"/>
        <v>96.941909546348455</v>
      </c>
      <c r="J110" s="45">
        <f t="shared" si="11"/>
        <v>0</v>
      </c>
    </row>
    <row r="111" spans="3:10" ht="26.25" customHeight="1" x14ac:dyDescent="0.15">
      <c r="C111" s="17">
        <v>10</v>
      </c>
      <c r="D111" s="17">
        <v>8</v>
      </c>
      <c r="E111" s="17">
        <v>6</v>
      </c>
      <c r="F111" s="9">
        <f t="shared" si="12"/>
        <v>1.2223919749817935</v>
      </c>
      <c r="G111" s="9">
        <f t="shared" si="13"/>
        <v>0.81806819781755691</v>
      </c>
      <c r="H111" s="34">
        <f t="shared" si="14"/>
        <v>70.328145160968745</v>
      </c>
      <c r="I111" s="34">
        <f t="shared" si="15"/>
        <v>140.65629032193749</v>
      </c>
      <c r="J111" s="45">
        <f t="shared" si="11"/>
        <v>0</v>
      </c>
    </row>
    <row r="112" spans="3:10" ht="26.25" customHeight="1" x14ac:dyDescent="0.15">
      <c r="C112" s="17">
        <v>10</v>
      </c>
      <c r="D112" s="17">
        <v>10</v>
      </c>
      <c r="E112" s="17">
        <v>0</v>
      </c>
      <c r="F112" s="9">
        <f t="shared" si="12"/>
        <v>1.3959464081106068</v>
      </c>
      <c r="G112" s="9">
        <f t="shared" si="13"/>
        <v>0.7163598789967055</v>
      </c>
      <c r="H112" s="34" t="e">
        <f t="shared" si="14"/>
        <v>#NUM!</v>
      </c>
      <c r="I112" s="34" t="e">
        <f t="shared" si="15"/>
        <v>#NUM!</v>
      </c>
      <c r="J112" s="45" t="e">
        <f t="shared" si="11"/>
        <v>#NUM!</v>
      </c>
    </row>
    <row r="113" spans="3:10" ht="26.25" customHeight="1" x14ac:dyDescent="0.15">
      <c r="C113" s="17">
        <v>14</v>
      </c>
      <c r="D113" s="17">
        <v>2</v>
      </c>
      <c r="E113" s="17">
        <v>0</v>
      </c>
      <c r="F113" s="9">
        <f t="shared" si="12"/>
        <v>0.58456376542946731</v>
      </c>
      <c r="G113" s="9">
        <f t="shared" si="13"/>
        <v>1.7106773617165956</v>
      </c>
      <c r="H113" s="34">
        <f t="shared" si="14"/>
        <v>26.763100822083686</v>
      </c>
      <c r="I113" s="34">
        <f t="shared" si="15"/>
        <v>53.526201644167372</v>
      </c>
      <c r="J113" s="45">
        <f t="shared" si="11"/>
        <v>0</v>
      </c>
    </row>
    <row r="114" spans="3:10" ht="26.25" customHeight="1" x14ac:dyDescent="0.15">
      <c r="C114" s="17">
        <v>13</v>
      </c>
      <c r="D114" s="17">
        <v>5</v>
      </c>
      <c r="E114" s="17">
        <v>3</v>
      </c>
      <c r="F114" s="9">
        <f t="shared" si="12"/>
        <v>0.86137077461691225</v>
      </c>
      <c r="G114" s="9">
        <f t="shared" si="13"/>
        <v>1.1609402471830346</v>
      </c>
      <c r="H114" s="34">
        <f t="shared" si="14"/>
        <v>41.569900302430256</v>
      </c>
      <c r="I114" s="34">
        <f t="shared" si="15"/>
        <v>83.139800604860511</v>
      </c>
      <c r="J114" s="45">
        <f t="shared" si="11"/>
        <v>0</v>
      </c>
    </row>
    <row r="115" spans="3:10" ht="26.25" customHeight="1" x14ac:dyDescent="0.15">
      <c r="C115" s="17">
        <v>11</v>
      </c>
      <c r="D115" s="17">
        <v>9</v>
      </c>
      <c r="E115" s="17">
        <v>1</v>
      </c>
      <c r="F115" s="9">
        <f t="shared" si="12"/>
        <v>1.281327560959981</v>
      </c>
      <c r="G115" s="9">
        <f t="shared" si="13"/>
        <v>0.78044056060949152</v>
      </c>
      <c r="H115" s="34">
        <f t="shared" si="14"/>
        <v>80.763933630280789</v>
      </c>
      <c r="I115" s="34">
        <f t="shared" si="15"/>
        <v>161.52786726056158</v>
      </c>
      <c r="J115" s="45">
        <f t="shared" si="11"/>
        <v>0</v>
      </c>
    </row>
    <row r="116" spans="3:10" ht="26.25" customHeight="1" x14ac:dyDescent="0.15">
      <c r="C116" s="17">
        <v>10</v>
      </c>
      <c r="D116" s="17">
        <v>10</v>
      </c>
      <c r="E116" s="17">
        <v>2</v>
      </c>
      <c r="F116" s="9">
        <f t="shared" si="12"/>
        <v>1.4052845558361602</v>
      </c>
      <c r="G116" s="9">
        <f t="shared" si="13"/>
        <v>0.71159965136383974</v>
      </c>
      <c r="H116" s="34" t="e">
        <f t="shared" si="14"/>
        <v>#NUM!</v>
      </c>
      <c r="I116" s="34" t="e">
        <f t="shared" si="15"/>
        <v>#NUM!</v>
      </c>
      <c r="J116" s="45" t="e">
        <f t="shared" si="11"/>
        <v>#NUM!</v>
      </c>
    </row>
    <row r="117" spans="3:10" ht="26.25" customHeight="1" x14ac:dyDescent="0.15">
      <c r="C117" s="17">
        <v>14</v>
      </c>
      <c r="D117" s="17">
        <v>2</v>
      </c>
      <c r="E117" s="17">
        <v>2</v>
      </c>
      <c r="F117" s="9">
        <f t="shared" si="12"/>
        <v>0.60859851071061433</v>
      </c>
      <c r="G117" s="9">
        <f t="shared" si="13"/>
        <v>1.6431193675324243</v>
      </c>
      <c r="H117" s="34">
        <f>DEGREES(ASIN(F117*$D$9/2))</f>
        <v>27.957540323762867</v>
      </c>
      <c r="I117" s="34">
        <f t="shared" si="15"/>
        <v>55.915080647525734</v>
      </c>
      <c r="J117" s="45">
        <f t="shared" si="11"/>
        <v>0</v>
      </c>
    </row>
    <row r="118" spans="3:10" ht="26.25" customHeight="1" x14ac:dyDescent="0.15">
      <c r="C118" s="17">
        <v>12</v>
      </c>
      <c r="D118" s="17">
        <v>8</v>
      </c>
      <c r="E118" s="17">
        <v>0</v>
      </c>
      <c r="F118" s="9">
        <f t="shared" si="12"/>
        <v>1.1649248351702006</v>
      </c>
      <c r="G118" s="9">
        <f t="shared" si="13"/>
        <v>0.85842448354523715</v>
      </c>
      <c r="H118" s="34">
        <f t="shared" si="14"/>
        <v>63.814203605343181</v>
      </c>
      <c r="I118" s="34">
        <f t="shared" si="15"/>
        <v>127.62840721068636</v>
      </c>
      <c r="J118" s="45">
        <f t="shared" si="11"/>
        <v>0</v>
      </c>
    </row>
    <row r="119" spans="3:10" ht="26.25" customHeight="1" x14ac:dyDescent="0.15">
      <c r="C119" s="17">
        <v>9</v>
      </c>
      <c r="D119" s="17">
        <v>9</v>
      </c>
      <c r="E119" s="17">
        <v>7</v>
      </c>
      <c r="F119" s="9">
        <f t="shared" si="12"/>
        <v>1.3570375155383259</v>
      </c>
      <c r="G119" s="9">
        <f t="shared" si="13"/>
        <v>0.73689930348263666</v>
      </c>
      <c r="H119" s="34" t="e">
        <f t="shared" si="14"/>
        <v>#NUM!</v>
      </c>
      <c r="I119" s="34" t="e">
        <f t="shared" si="15"/>
        <v>#NUM!</v>
      </c>
      <c r="J119" s="45" t="e">
        <f t="shared" si="11"/>
        <v>#NUM!</v>
      </c>
    </row>
    <row r="120" spans="3:10" ht="26.25" customHeight="1" x14ac:dyDescent="0.15">
      <c r="C120" s="17">
        <v>11</v>
      </c>
      <c r="D120" s="17">
        <v>9</v>
      </c>
      <c r="E120" s="17">
        <v>3</v>
      </c>
      <c r="F120" s="9">
        <f t="shared" si="12"/>
        <v>1.2994033589361416</v>
      </c>
      <c r="G120" s="9">
        <f t="shared" si="13"/>
        <v>0.76958397338508377</v>
      </c>
      <c r="H120" s="34" t="e">
        <f t="shared" si="14"/>
        <v>#NUM!</v>
      </c>
      <c r="I120" s="34" t="e">
        <f t="shared" si="15"/>
        <v>#NUM!</v>
      </c>
      <c r="J120" s="45" t="e">
        <f t="shared" si="11"/>
        <v>#NUM!</v>
      </c>
    </row>
    <row r="121" spans="3:10" ht="26.25" customHeight="1" x14ac:dyDescent="0.15">
      <c r="C121" s="17">
        <v>12</v>
      </c>
      <c r="D121" s="17">
        <v>8</v>
      </c>
      <c r="E121" s="17">
        <v>2</v>
      </c>
      <c r="F121" s="9">
        <f t="shared" si="12"/>
        <v>1.1766340559267923</v>
      </c>
      <c r="G121" s="9">
        <f t="shared" si="13"/>
        <v>0.84988191100106825</v>
      </c>
      <c r="H121" s="34">
        <f t="shared" si="14"/>
        <v>65.010831827301587</v>
      </c>
      <c r="I121" s="34">
        <f t="shared" si="15"/>
        <v>130.02166365460317</v>
      </c>
      <c r="J121" s="45">
        <f t="shared" si="11"/>
        <v>0</v>
      </c>
    </row>
    <row r="122" spans="3:10" ht="26.25" customHeight="1" x14ac:dyDescent="0.15">
      <c r="C122" s="17">
        <v>12</v>
      </c>
      <c r="D122" s="17">
        <v>6</v>
      </c>
      <c r="E122" s="17">
        <v>6</v>
      </c>
      <c r="F122" s="9">
        <f t="shared" si="12"/>
        <v>1.0253327132050181</v>
      </c>
      <c r="G122" s="9">
        <f t="shared" si="13"/>
        <v>0.97529317764003431</v>
      </c>
      <c r="H122" s="34">
        <f t="shared" si="14"/>
        <v>52.170266674632444</v>
      </c>
      <c r="I122" s="34">
        <f t="shared" si="15"/>
        <v>104.34053334926489</v>
      </c>
      <c r="J122" s="45">
        <f t="shared" si="11"/>
        <v>0</v>
      </c>
    </row>
    <row r="123" spans="3:10" ht="26.25" customHeight="1" x14ac:dyDescent="0.15">
      <c r="C123" s="17">
        <v>10</v>
      </c>
      <c r="D123" s="17">
        <v>10</v>
      </c>
      <c r="E123" s="17">
        <v>4</v>
      </c>
      <c r="F123" s="9">
        <f t="shared" si="12"/>
        <v>1.4285322517811649</v>
      </c>
      <c r="G123" s="9">
        <f t="shared" si="13"/>
        <v>0.70001919715368721</v>
      </c>
      <c r="H123" s="34" t="e">
        <f t="shared" si="14"/>
        <v>#NUM!</v>
      </c>
      <c r="I123" s="34" t="e">
        <f t="shared" si="15"/>
        <v>#NUM!</v>
      </c>
      <c r="J123" s="45" t="e">
        <f t="shared" si="11"/>
        <v>#NUM!</v>
      </c>
    </row>
    <row r="124" spans="3:10" ht="26.25" customHeight="1" x14ac:dyDescent="0.15">
      <c r="C124" s="17">
        <v>14</v>
      </c>
      <c r="D124" s="17">
        <v>4</v>
      </c>
      <c r="E124" s="17">
        <v>2</v>
      </c>
      <c r="F124" s="9">
        <f t="shared" si="12"/>
        <v>0.76664633524995152</v>
      </c>
      <c r="G124" s="9">
        <f t="shared" si="13"/>
        <v>1.3043824173162815</v>
      </c>
      <c r="H124" s="34">
        <f t="shared" si="14"/>
        <v>36.197106066200028</v>
      </c>
      <c r="I124" s="34">
        <f t="shared" si="15"/>
        <v>72.394212132400057</v>
      </c>
      <c r="J124" s="45">
        <f t="shared" si="11"/>
        <v>0</v>
      </c>
    </row>
    <row r="125" spans="3:10" ht="26.25" customHeight="1" x14ac:dyDescent="0.15">
      <c r="C125" s="17">
        <v>11</v>
      </c>
      <c r="D125" s="17">
        <v>7</v>
      </c>
      <c r="E125" s="17">
        <v>7</v>
      </c>
      <c r="F125" s="9">
        <f t="shared" si="12"/>
        <v>1.1494776885969002</v>
      </c>
      <c r="G125" s="9">
        <f t="shared" si="13"/>
        <v>0.86996033930910055</v>
      </c>
      <c r="H125" s="34">
        <f t="shared" si="14"/>
        <v>62.309231169254751</v>
      </c>
      <c r="I125" s="34">
        <f t="shared" si="15"/>
        <v>124.6184623385095</v>
      </c>
      <c r="J125" s="45">
        <f t="shared" si="11"/>
        <v>0</v>
      </c>
    </row>
    <row r="126" spans="3:10" ht="26.25" customHeight="1" x14ac:dyDescent="0.15">
      <c r="C126" s="17">
        <v>13</v>
      </c>
      <c r="D126" s="17">
        <v>5</v>
      </c>
      <c r="E126" s="17">
        <v>5</v>
      </c>
      <c r="F126" s="9">
        <f t="shared" si="12"/>
        <v>0.91081793266892863</v>
      </c>
      <c r="G126" s="9">
        <f t="shared" si="13"/>
        <v>1.097914263797755</v>
      </c>
      <c r="H126" s="34">
        <f t="shared" si="14"/>
        <v>44.557405704681486</v>
      </c>
      <c r="I126" s="34">
        <f t="shared" si="15"/>
        <v>89.114811409362972</v>
      </c>
      <c r="J126" s="45">
        <f t="shared" si="11"/>
        <v>0</v>
      </c>
    </row>
    <row r="127" spans="3:10" ht="26.25" customHeight="1" x14ac:dyDescent="0.15">
      <c r="C127" s="17">
        <v>13</v>
      </c>
      <c r="D127" s="17">
        <v>7</v>
      </c>
      <c r="E127" s="17">
        <v>1</v>
      </c>
      <c r="F127" s="9">
        <f t="shared" si="12"/>
        <v>1.0624312831593332</v>
      </c>
      <c r="G127" s="9">
        <f t="shared" si="13"/>
        <v>0.94123734480626131</v>
      </c>
      <c r="H127" s="34">
        <f t="shared" si="14"/>
        <v>54.926412946543735</v>
      </c>
      <c r="I127" s="34">
        <f t="shared" si="15"/>
        <v>109.85282589308747</v>
      </c>
      <c r="J127" s="45">
        <f t="shared" si="11"/>
        <v>0</v>
      </c>
    </row>
    <row r="128" spans="3:10" ht="26.25" customHeight="1" x14ac:dyDescent="0.15">
      <c r="C128" s="17">
        <v>12</v>
      </c>
      <c r="D128" s="17">
        <v>8</v>
      </c>
      <c r="E128" s="17">
        <v>4</v>
      </c>
      <c r="F128" s="9">
        <f t="shared" si="12"/>
        <v>1.204826516345715</v>
      </c>
      <c r="G128" s="9">
        <f t="shared" si="13"/>
        <v>0.82999501291940214</v>
      </c>
      <c r="H128" s="34">
        <f t="shared" si="14"/>
        <v>68.141312791360789</v>
      </c>
      <c r="I128" s="34">
        <f t="shared" si="15"/>
        <v>136.28262558272158</v>
      </c>
      <c r="J128" s="45">
        <f t="shared" si="11"/>
        <v>0</v>
      </c>
    </row>
    <row r="129" spans="3:10" ht="26.25" customHeight="1" x14ac:dyDescent="0.15">
      <c r="C129" s="17">
        <v>13</v>
      </c>
      <c r="D129" s="17">
        <v>7</v>
      </c>
      <c r="E129" s="17">
        <v>3</v>
      </c>
      <c r="F129" s="9">
        <f t="shared" si="12"/>
        <v>1.0847435289459653</v>
      </c>
      <c r="G129" s="9">
        <f t="shared" si="13"/>
        <v>0.9218768983777117</v>
      </c>
      <c r="H129" s="34">
        <f t="shared" si="14"/>
        <v>56.67860892610841</v>
      </c>
      <c r="I129" s="34">
        <f t="shared" si="15"/>
        <v>113.35721785221682</v>
      </c>
      <c r="J129" s="45">
        <f t="shared" si="11"/>
        <v>0</v>
      </c>
    </row>
    <row r="130" spans="3:10" ht="26.25" customHeight="1" x14ac:dyDescent="0.15">
      <c r="C130" s="17">
        <v>11</v>
      </c>
      <c r="D130" s="17">
        <v>9</v>
      </c>
      <c r="E130" s="17">
        <v>5</v>
      </c>
      <c r="F130" s="9">
        <f t="shared" si="12"/>
        <v>1.3322234282979726</v>
      </c>
      <c r="G130" s="9">
        <f t="shared" si="13"/>
        <v>0.75062484171861776</v>
      </c>
      <c r="H130" s="34" t="e">
        <f t="shared" si="14"/>
        <v>#NUM!</v>
      </c>
      <c r="I130" s="34" t="e">
        <f t="shared" si="15"/>
        <v>#NUM!</v>
      </c>
      <c r="J130" s="45" t="e">
        <f t="shared" si="11"/>
        <v>#NUM!</v>
      </c>
    </row>
    <row r="131" spans="3:10" ht="26.25" customHeight="1" x14ac:dyDescent="0.15">
      <c r="C131" s="17">
        <v>15</v>
      </c>
      <c r="D131" s="17">
        <v>1</v>
      </c>
      <c r="E131" s="17">
        <v>1</v>
      </c>
      <c r="F131" s="9">
        <f t="shared" si="12"/>
        <v>0.58043478713363361</v>
      </c>
      <c r="G131" s="9">
        <f t="shared" si="13"/>
        <v>1.7228464285166454</v>
      </c>
      <c r="H131" s="34">
        <f t="shared" si="14"/>
        <v>26.559181686956823</v>
      </c>
      <c r="I131" s="34">
        <f t="shared" si="15"/>
        <v>53.118363373913645</v>
      </c>
      <c r="J131" s="45">
        <f t="shared" si="11"/>
        <v>0</v>
      </c>
    </row>
    <row r="132" spans="3:10" ht="26.25" customHeight="1" x14ac:dyDescent="0.15">
      <c r="C132" s="17">
        <v>10</v>
      </c>
      <c r="D132" s="17">
        <v>8</v>
      </c>
      <c r="E132" s="17">
        <v>8</v>
      </c>
      <c r="F132" s="9">
        <f t="shared" si="12"/>
        <v>1.2804548636763529</v>
      </c>
      <c r="G132" s="9">
        <f t="shared" si="13"/>
        <v>0.78097247186743435</v>
      </c>
      <c r="H132" s="34">
        <f t="shared" si="14"/>
        <v>80.526965458484042</v>
      </c>
      <c r="I132" s="34">
        <f t="shared" si="15"/>
        <v>161.05393091696808</v>
      </c>
      <c r="J132" s="45">
        <f t="shared" si="11"/>
        <v>0</v>
      </c>
    </row>
    <row r="133" spans="3:10" ht="26.25" customHeight="1" x14ac:dyDescent="0.15">
      <c r="C133" s="17">
        <v>14</v>
      </c>
      <c r="D133" s="17">
        <v>4</v>
      </c>
      <c r="E133" s="17">
        <v>4</v>
      </c>
      <c r="F133" s="9">
        <f t="shared" si="12"/>
        <v>0.81002799809073522</v>
      </c>
      <c r="G133" s="9">
        <f t="shared" si="13"/>
        <v>1.2345252291982938</v>
      </c>
      <c r="H133" s="34">
        <f t="shared" si="14"/>
        <v>38.607564994823434</v>
      </c>
      <c r="I133" s="34">
        <f t="shared" si="15"/>
        <v>77.215129989646869</v>
      </c>
      <c r="J133" s="45">
        <f t="shared" si="11"/>
        <v>0</v>
      </c>
    </row>
    <row r="134" spans="3:10" ht="26.25" customHeight="1" x14ac:dyDescent="0.15">
      <c r="C134" s="17">
        <v>14</v>
      </c>
      <c r="D134" s="17">
        <v>6</v>
      </c>
      <c r="E134" s="17">
        <v>0</v>
      </c>
      <c r="F134" s="9">
        <f t="shared" si="12"/>
        <v>0.95985763466312368</v>
      </c>
      <c r="G134" s="9">
        <f t="shared" si="13"/>
        <v>1.0418211658554604</v>
      </c>
      <c r="H134" s="34">
        <f t="shared" si="14"/>
        <v>47.680322702452095</v>
      </c>
      <c r="I134" s="34">
        <f t="shared" si="15"/>
        <v>95.36064540490419</v>
      </c>
      <c r="J134" s="45">
        <f t="shared" si="11"/>
        <v>0</v>
      </c>
    </row>
    <row r="135" spans="3:10" ht="26.25" customHeight="1" x14ac:dyDescent="0.15">
      <c r="C135" s="17">
        <v>15</v>
      </c>
      <c r="D135" s="17">
        <v>3</v>
      </c>
      <c r="E135" s="17">
        <v>1</v>
      </c>
      <c r="F135" s="9">
        <f t="shared" si="12"/>
        <v>0.69412355734182429</v>
      </c>
      <c r="G135" s="9">
        <f t="shared" si="13"/>
        <v>1.4406656991005211</v>
      </c>
      <c r="H135" s="34">
        <f t="shared" si="14"/>
        <v>32.323499420606105</v>
      </c>
      <c r="I135" s="34">
        <f t="shared" si="15"/>
        <v>64.646998841212209</v>
      </c>
      <c r="J135" s="45">
        <f t="shared" si="11"/>
        <v>0</v>
      </c>
    </row>
    <row r="136" spans="3:10" ht="26.25" customHeight="1" x14ac:dyDescent="0.15">
      <c r="C136" s="17">
        <v>10</v>
      </c>
      <c r="D136" s="17">
        <v>10</v>
      </c>
      <c r="E136" s="17">
        <v>6</v>
      </c>
      <c r="F136" s="9">
        <f t="shared" si="12"/>
        <v>1.4650274771617429</v>
      </c>
      <c r="G136" s="9">
        <f t="shared" si="13"/>
        <v>0.68258105434127458</v>
      </c>
      <c r="H136" s="34" t="e">
        <f t="shared" si="14"/>
        <v>#NUM!</v>
      </c>
      <c r="I136" s="34" t="e">
        <f t="shared" si="15"/>
        <v>#NUM!</v>
      </c>
      <c r="J136" s="45" t="e">
        <f t="shared" si="11"/>
        <v>#NUM!</v>
      </c>
    </row>
    <row r="137" spans="3:10" ht="26.25" customHeight="1" x14ac:dyDescent="0.15">
      <c r="C137" s="17">
        <v>14</v>
      </c>
      <c r="D137" s="17">
        <v>6</v>
      </c>
      <c r="E137" s="17">
        <v>2</v>
      </c>
      <c r="F137" s="9">
        <f t="shared" si="12"/>
        <v>0.97468150193136782</v>
      </c>
      <c r="G137" s="9">
        <f t="shared" si="13"/>
        <v>1.0259761758261161</v>
      </c>
      <c r="H137" s="34">
        <f t="shared" si="14"/>
        <v>48.661378541560168</v>
      </c>
      <c r="I137" s="34">
        <f t="shared" si="15"/>
        <v>97.322757083120337</v>
      </c>
      <c r="J137" s="45">
        <f t="shared" si="11"/>
        <v>0</v>
      </c>
    </row>
    <row r="138" spans="3:10" ht="26.25" customHeight="1" x14ac:dyDescent="0.15">
      <c r="C138" s="17">
        <v>11</v>
      </c>
      <c r="D138" s="17">
        <v>11</v>
      </c>
      <c r="E138" s="17">
        <v>1</v>
      </c>
      <c r="F138" s="9">
        <f t="shared" si="12"/>
        <v>1.5382831898534368</v>
      </c>
      <c r="G138" s="9">
        <f t="shared" si="13"/>
        <v>0.65007536102326979</v>
      </c>
      <c r="H138" s="34" t="e">
        <f t="shared" si="14"/>
        <v>#NUM!</v>
      </c>
      <c r="I138" s="34" t="e">
        <f t="shared" si="15"/>
        <v>#NUM!</v>
      </c>
      <c r="J138" s="45" t="e">
        <f t="shared" si="11"/>
        <v>#NUM!</v>
      </c>
    </row>
    <row r="139" spans="3:10" ht="26.25" customHeight="1" x14ac:dyDescent="0.15">
      <c r="C139" s="17">
        <v>13</v>
      </c>
      <c r="D139" s="17">
        <v>7</v>
      </c>
      <c r="E139" s="17">
        <v>5</v>
      </c>
      <c r="F139" s="9">
        <f t="shared" si="12"/>
        <v>1.1244101647963289</v>
      </c>
      <c r="G139" s="9">
        <f t="shared" si="13"/>
        <v>0.8893551759923265</v>
      </c>
      <c r="H139" s="34">
        <f t="shared" si="14"/>
        <v>60.015247171584988</v>
      </c>
      <c r="I139" s="34">
        <f t="shared" si="15"/>
        <v>120.03049434316998</v>
      </c>
      <c r="J139" s="45">
        <f t="shared" si="11"/>
        <v>0</v>
      </c>
    </row>
    <row r="140" spans="3:10" ht="26.25" customHeight="1" x14ac:dyDescent="0.15">
      <c r="C140" s="17">
        <v>9</v>
      </c>
      <c r="D140" s="17">
        <v>9</v>
      </c>
      <c r="E140" s="17">
        <v>9</v>
      </c>
      <c r="F140" s="9">
        <f t="shared" si="12"/>
        <v>1.4163701058549025</v>
      </c>
      <c r="G140" s="9">
        <f t="shared" si="13"/>
        <v>0.7060301512057211</v>
      </c>
      <c r="H140" s="34" t="e">
        <f t="shared" si="14"/>
        <v>#NUM!</v>
      </c>
      <c r="I140" s="34" t="e">
        <f t="shared" si="15"/>
        <v>#NUM!</v>
      </c>
      <c r="J140" s="45" t="e">
        <f t="shared" si="11"/>
        <v>#NUM!</v>
      </c>
    </row>
    <row r="141" spans="3:10" ht="26.25" customHeight="1" x14ac:dyDescent="0.15">
      <c r="C141" s="17">
        <v>15</v>
      </c>
      <c r="D141" s="17">
        <v>3</v>
      </c>
      <c r="E141" s="17">
        <v>3</v>
      </c>
      <c r="F141" s="9">
        <f t="shared" si="12"/>
        <v>0.72868053797745524</v>
      </c>
      <c r="G141" s="9">
        <f t="shared" si="13"/>
        <v>1.3723435001785915</v>
      </c>
      <c r="H141" s="34">
        <f t="shared" si="14"/>
        <v>34.147064625460395</v>
      </c>
      <c r="I141" s="34">
        <f t="shared" si="15"/>
        <v>68.29412925092079</v>
      </c>
      <c r="J141" s="45">
        <f t="shared" si="11"/>
        <v>0</v>
      </c>
    </row>
    <row r="142" spans="3:10" ht="26.25" customHeight="1" x14ac:dyDescent="0.15">
      <c r="C142" s="17">
        <v>12</v>
      </c>
      <c r="D142" s="17">
        <v>8</v>
      </c>
      <c r="E142" s="17">
        <v>6</v>
      </c>
      <c r="F142" s="9">
        <f t="shared" si="12"/>
        <v>1.2483859861298394</v>
      </c>
      <c r="G142" s="9">
        <f t="shared" si="13"/>
        <v>0.8010343043821978</v>
      </c>
      <c r="H142" s="34">
        <f t="shared" si="14"/>
        <v>74.082960389033431</v>
      </c>
      <c r="I142" s="34">
        <f t="shared" si="15"/>
        <v>148.16592077806686</v>
      </c>
      <c r="J142" s="45">
        <f t="shared" si="11"/>
        <v>0</v>
      </c>
    </row>
    <row r="143" spans="3:10" ht="26.25" customHeight="1" x14ac:dyDescent="0.15">
      <c r="C143" s="17">
        <v>14</v>
      </c>
      <c r="D143" s="17">
        <v>6</v>
      </c>
      <c r="E143" s="17">
        <v>4</v>
      </c>
      <c r="F143" s="9">
        <f t="shared" si="12"/>
        <v>1.0091594445606156</v>
      </c>
      <c r="G143" s="9">
        <f t="shared" si="13"/>
        <v>0.9909236894031116</v>
      </c>
      <c r="H143" s="34">
        <f t="shared" si="14"/>
        <v>51.021149527073618</v>
      </c>
      <c r="I143" s="34">
        <f t="shared" si="15"/>
        <v>102.04229905414724</v>
      </c>
      <c r="J143" s="45">
        <f t="shared" ref="J143:J188" si="16">DEGREES(2*$F$9*F143/(2*COS(RADIANS(H143))))</f>
        <v>0</v>
      </c>
    </row>
    <row r="144" spans="3:10" ht="26.25" customHeight="1" x14ac:dyDescent="0.15">
      <c r="C144" s="17">
        <v>12</v>
      </c>
      <c r="D144" s="17">
        <v>10</v>
      </c>
      <c r="E144" s="17">
        <v>2</v>
      </c>
      <c r="F144" s="9">
        <f t="shared" si="12"/>
        <v>1.4270708005932098</v>
      </c>
      <c r="G144" s="9">
        <f t="shared" si="13"/>
        <v>0.70073608091786088</v>
      </c>
      <c r="H144" s="34" t="e">
        <f t="shared" si="14"/>
        <v>#NUM!</v>
      </c>
      <c r="I144" s="34" t="e">
        <f t="shared" si="15"/>
        <v>#NUM!</v>
      </c>
      <c r="J144" s="45" t="e">
        <f t="shared" si="16"/>
        <v>#NUM!</v>
      </c>
    </row>
    <row r="145" spans="3:10" ht="26.25" customHeight="1" x14ac:dyDescent="0.15">
      <c r="C145" s="17">
        <v>11</v>
      </c>
      <c r="D145" s="17">
        <v>11</v>
      </c>
      <c r="E145" s="17">
        <v>3</v>
      </c>
      <c r="F145" s="9">
        <f t="shared" si="12"/>
        <v>1.5533717980330848</v>
      </c>
      <c r="G145" s="9">
        <f t="shared" si="13"/>
        <v>0.64376088278815358</v>
      </c>
      <c r="H145" s="34" t="e">
        <f t="shared" si="14"/>
        <v>#NUM!</v>
      </c>
      <c r="I145" s="34" t="e">
        <f t="shared" si="15"/>
        <v>#NUM!</v>
      </c>
      <c r="J145" s="45" t="e">
        <f t="shared" si="16"/>
        <v>#NUM!</v>
      </c>
    </row>
    <row r="146" spans="3:10" ht="26.25" customHeight="1" x14ac:dyDescent="0.15">
      <c r="C146" s="17">
        <v>11</v>
      </c>
      <c r="D146" s="17">
        <v>9</v>
      </c>
      <c r="E146" s="17">
        <v>7</v>
      </c>
      <c r="F146" s="9">
        <f t="shared" si="12"/>
        <v>1.3787352318520338</v>
      </c>
      <c r="G146" s="9">
        <f t="shared" si="13"/>
        <v>0.72530241985382171</v>
      </c>
      <c r="H146" s="34" t="e">
        <f t="shared" si="14"/>
        <v>#NUM!</v>
      </c>
      <c r="I146" s="34" t="e">
        <f t="shared" si="15"/>
        <v>#NUM!</v>
      </c>
      <c r="J146" s="45" t="e">
        <f t="shared" si="16"/>
        <v>#NUM!</v>
      </c>
    </row>
    <row r="147" spans="3:10" ht="26.25" customHeight="1" x14ac:dyDescent="0.15">
      <c r="C147" s="17">
        <v>13</v>
      </c>
      <c r="D147" s="17">
        <v>9</v>
      </c>
      <c r="E147" s="17">
        <v>1</v>
      </c>
      <c r="F147" s="9">
        <f t="shared" si="12"/>
        <v>1.3070470972400332</v>
      </c>
      <c r="G147" s="9">
        <f t="shared" si="13"/>
        <v>0.76508337160275608</v>
      </c>
      <c r="H147" s="34" t="e">
        <f t="shared" si="14"/>
        <v>#NUM!</v>
      </c>
      <c r="I147" s="34" t="e">
        <f t="shared" si="15"/>
        <v>#NUM!</v>
      </c>
      <c r="J147" s="45" t="e">
        <f t="shared" si="16"/>
        <v>#NUM!</v>
      </c>
    </row>
    <row r="148" spans="3:10" ht="26.25" customHeight="1" x14ac:dyDescent="0.15">
      <c r="C148" s="17">
        <v>15</v>
      </c>
      <c r="D148" s="17">
        <v>5</v>
      </c>
      <c r="E148" s="17">
        <v>1</v>
      </c>
      <c r="F148" s="9">
        <f t="shared" si="12"/>
        <v>0.87841530857611627</v>
      </c>
      <c r="G148" s="9">
        <f t="shared" si="13"/>
        <v>1.1384136754412542</v>
      </c>
      <c r="H148" s="34">
        <f t="shared" si="14"/>
        <v>42.583430005965525</v>
      </c>
      <c r="I148" s="34">
        <f t="shared" si="15"/>
        <v>85.16686001193105</v>
      </c>
      <c r="J148" s="45">
        <f t="shared" si="16"/>
        <v>0</v>
      </c>
    </row>
    <row r="149" spans="3:10" ht="26.25" customHeight="1" x14ac:dyDescent="0.15">
      <c r="C149" s="17">
        <v>16</v>
      </c>
      <c r="D149" s="17">
        <v>0</v>
      </c>
      <c r="E149" s="17">
        <v>0</v>
      </c>
      <c r="F149" s="9">
        <f t="shared" ref="F149:F188" si="17">SQRT(C149^2*$C$6^2+D149^2*$D$6^2+E149^2*$E$6^2+2*$C$6*$D$6*C149*D149*COS(RADIANS($H$6))+2*$C$6*$E$6*C149*E149*COS(RADIANS($G$6))+2*$D$6*$E$6*D149*E149*COS(RADIANS($F$6)))</f>
        <v>0.5930352894282106</v>
      </c>
      <c r="G149" s="9">
        <f t="shared" ref="G149:G188" si="18">1/F149</f>
        <v>1.686240292654716</v>
      </c>
      <c r="H149" s="34">
        <f t="shared" ref="H149:H188" si="19">DEGREES(ASIN(F149*$D$9/2))</f>
        <v>27.182639610705031</v>
      </c>
      <c r="I149" s="34">
        <f t="shared" ref="I149:I188" si="20">H149*2</f>
        <v>54.365279221410063</v>
      </c>
      <c r="J149" s="45">
        <f t="shared" si="16"/>
        <v>0</v>
      </c>
    </row>
    <row r="150" spans="3:10" ht="26.25" customHeight="1" x14ac:dyDescent="0.15">
      <c r="C150" s="17">
        <v>13</v>
      </c>
      <c r="D150" s="17">
        <v>9</v>
      </c>
      <c r="E150" s="17">
        <v>3</v>
      </c>
      <c r="F150" s="9">
        <f t="shared" si="17"/>
        <v>1.3252473001512419</v>
      </c>
      <c r="G150" s="9">
        <f t="shared" si="18"/>
        <v>0.75457614581510668</v>
      </c>
      <c r="H150" s="34" t="e">
        <f t="shared" si="19"/>
        <v>#NUM!</v>
      </c>
      <c r="I150" s="34" t="e">
        <f t="shared" si="20"/>
        <v>#NUM!</v>
      </c>
      <c r="J150" s="45" t="e">
        <f t="shared" si="16"/>
        <v>#NUM!</v>
      </c>
    </row>
    <row r="151" spans="3:10" ht="26.25" customHeight="1" x14ac:dyDescent="0.15">
      <c r="C151" s="17">
        <v>15</v>
      </c>
      <c r="D151" s="17">
        <v>5</v>
      </c>
      <c r="E151" s="17">
        <v>3</v>
      </c>
      <c r="F151" s="9">
        <f t="shared" si="17"/>
        <v>0.90596979414940648</v>
      </c>
      <c r="G151" s="9">
        <f t="shared" si="18"/>
        <v>1.103789559495056</v>
      </c>
      <c r="H151" s="34">
        <f t="shared" si="19"/>
        <v>44.257874679837599</v>
      </c>
      <c r="I151" s="34">
        <f t="shared" si="20"/>
        <v>88.515749359675198</v>
      </c>
      <c r="J151" s="45">
        <f t="shared" si="16"/>
        <v>0</v>
      </c>
    </row>
    <row r="152" spans="3:10" ht="26.25" customHeight="1" x14ac:dyDescent="0.15">
      <c r="C152" s="17">
        <v>12</v>
      </c>
      <c r="D152" s="17">
        <v>10</v>
      </c>
      <c r="E152" s="17">
        <v>4</v>
      </c>
      <c r="F152" s="9">
        <f t="shared" si="17"/>
        <v>1.4504034965583756</v>
      </c>
      <c r="G152" s="9">
        <f t="shared" si="18"/>
        <v>0.68946331305245312</v>
      </c>
      <c r="H152" s="34" t="e">
        <f t="shared" si="19"/>
        <v>#NUM!</v>
      </c>
      <c r="I152" s="34" t="e">
        <f t="shared" si="20"/>
        <v>#NUM!</v>
      </c>
      <c r="J152" s="45" t="e">
        <f t="shared" si="16"/>
        <v>#NUM!</v>
      </c>
    </row>
    <row r="153" spans="3:10" ht="26.25" customHeight="1" x14ac:dyDescent="0.15">
      <c r="C153" s="17">
        <v>10</v>
      </c>
      <c r="D153" s="17">
        <v>10</v>
      </c>
      <c r="E153" s="17">
        <v>8</v>
      </c>
      <c r="F153" s="9">
        <f t="shared" si="17"/>
        <v>1.5138124144858363</v>
      </c>
      <c r="G153" s="9">
        <f t="shared" si="18"/>
        <v>0.66058382824112871</v>
      </c>
      <c r="H153" s="34" t="e">
        <f t="shared" si="19"/>
        <v>#NUM!</v>
      </c>
      <c r="I153" s="34" t="e">
        <f t="shared" si="20"/>
        <v>#NUM!</v>
      </c>
      <c r="J153" s="45" t="e">
        <f t="shared" si="16"/>
        <v>#NUM!</v>
      </c>
    </row>
    <row r="154" spans="3:10" ht="26.25" customHeight="1" x14ac:dyDescent="0.15">
      <c r="C154" s="17">
        <v>14</v>
      </c>
      <c r="D154" s="17">
        <v>8</v>
      </c>
      <c r="E154" s="17">
        <v>2</v>
      </c>
      <c r="F154" s="9">
        <f t="shared" si="17"/>
        <v>1.2071306589612389</v>
      </c>
      <c r="G154" s="9">
        <f t="shared" si="18"/>
        <v>0.82841073795650322</v>
      </c>
      <c r="H154" s="34">
        <f t="shared" si="19"/>
        <v>68.416099187912465</v>
      </c>
      <c r="I154" s="34">
        <f t="shared" si="20"/>
        <v>136.83219837582493</v>
      </c>
      <c r="J154" s="45">
        <f t="shared" si="16"/>
        <v>0</v>
      </c>
    </row>
    <row r="155" spans="3:10" ht="26.25" customHeight="1" x14ac:dyDescent="0.15">
      <c r="C155" s="17">
        <v>16</v>
      </c>
      <c r="D155" s="17">
        <v>2</v>
      </c>
      <c r="E155" s="17">
        <v>2</v>
      </c>
      <c r="F155" s="9">
        <f t="shared" si="17"/>
        <v>0.67385399952807923</v>
      </c>
      <c r="G155" s="9">
        <f t="shared" si="18"/>
        <v>1.484000986415946</v>
      </c>
      <c r="H155" s="34">
        <f t="shared" si="19"/>
        <v>31.270887453455671</v>
      </c>
      <c r="I155" s="34">
        <f t="shared" si="20"/>
        <v>62.541774906911343</v>
      </c>
      <c r="J155" s="45">
        <f t="shared" si="16"/>
        <v>0</v>
      </c>
    </row>
    <row r="156" spans="3:10" ht="26.25" customHeight="1" x14ac:dyDescent="0.15">
      <c r="C156" s="17">
        <v>13</v>
      </c>
      <c r="D156" s="17">
        <v>7</v>
      </c>
      <c r="E156" s="17">
        <v>7</v>
      </c>
      <c r="F156" s="9">
        <f t="shared" si="17"/>
        <v>1.1796818709961903</v>
      </c>
      <c r="G156" s="9">
        <f t="shared" si="18"/>
        <v>0.84768616402958141</v>
      </c>
      <c r="H156" s="34">
        <f t="shared" si="19"/>
        <v>65.33118331327691</v>
      </c>
      <c r="I156" s="34">
        <f t="shared" si="20"/>
        <v>130.66236662655382</v>
      </c>
      <c r="J156" s="45">
        <f t="shared" si="16"/>
        <v>0</v>
      </c>
    </row>
    <row r="157" spans="3:10" ht="26.25" customHeight="1" x14ac:dyDescent="0.15">
      <c r="C157" s="17">
        <v>11</v>
      </c>
      <c r="D157" s="17">
        <v>11</v>
      </c>
      <c r="E157" s="17">
        <v>5</v>
      </c>
      <c r="F157" s="9">
        <f t="shared" si="17"/>
        <v>1.580928245245816</v>
      </c>
      <c r="G157" s="9">
        <f t="shared" si="18"/>
        <v>0.63253977718926235</v>
      </c>
      <c r="H157" s="34" t="e">
        <f t="shared" si="19"/>
        <v>#NUM!</v>
      </c>
      <c r="I157" s="34" t="e">
        <f t="shared" si="20"/>
        <v>#NUM!</v>
      </c>
      <c r="J157" s="45" t="e">
        <f t="shared" si="16"/>
        <v>#NUM!</v>
      </c>
    </row>
    <row r="158" spans="3:10" ht="26.25" customHeight="1" x14ac:dyDescent="0.15">
      <c r="C158" s="17">
        <v>14</v>
      </c>
      <c r="D158" s="17">
        <v>6</v>
      </c>
      <c r="E158" s="17">
        <v>6</v>
      </c>
      <c r="F158" s="9">
        <f t="shared" si="17"/>
        <v>1.0613778506437732</v>
      </c>
      <c r="G158" s="9">
        <f t="shared" si="18"/>
        <v>0.94217153617201943</v>
      </c>
      <c r="H158" s="34">
        <f t="shared" si="19"/>
        <v>54.845581719937002</v>
      </c>
      <c r="I158" s="34">
        <f t="shared" si="20"/>
        <v>109.691163439874</v>
      </c>
      <c r="J158" s="45">
        <f t="shared" si="16"/>
        <v>0</v>
      </c>
    </row>
    <row r="159" spans="3:10" ht="26.25" customHeight="1" x14ac:dyDescent="0.15">
      <c r="C159" s="17">
        <v>12</v>
      </c>
      <c r="D159" s="17">
        <v>8</v>
      </c>
      <c r="E159" s="17">
        <v>8</v>
      </c>
      <c r="F159" s="9">
        <f t="shared" si="17"/>
        <v>1.3057754819239005</v>
      </c>
      <c r="G159" s="9">
        <f t="shared" si="18"/>
        <v>0.76582843976103943</v>
      </c>
      <c r="H159" s="34" t="e">
        <f t="shared" si="19"/>
        <v>#NUM!</v>
      </c>
      <c r="I159" s="34" t="e">
        <f t="shared" si="20"/>
        <v>#NUM!</v>
      </c>
      <c r="J159" s="45" t="e">
        <f t="shared" si="16"/>
        <v>#NUM!</v>
      </c>
    </row>
    <row r="160" spans="3:10" ht="26.25" customHeight="1" x14ac:dyDescent="0.15">
      <c r="C160" s="17">
        <v>16</v>
      </c>
      <c r="D160" s="17">
        <v>4</v>
      </c>
      <c r="E160" s="17">
        <v>0</v>
      </c>
      <c r="F160" s="9">
        <f t="shared" si="17"/>
        <v>0.80093495116095792</v>
      </c>
      <c r="G160" s="9">
        <f t="shared" si="18"/>
        <v>1.2485408441103696</v>
      </c>
      <c r="H160" s="34">
        <f t="shared" si="19"/>
        <v>38.095800872055186</v>
      </c>
      <c r="I160" s="34">
        <f t="shared" si="20"/>
        <v>76.191601744110372</v>
      </c>
      <c r="J160" s="45">
        <f t="shared" si="16"/>
        <v>0</v>
      </c>
    </row>
    <row r="161" spans="3:10" ht="26.25" customHeight="1" x14ac:dyDescent="0.15">
      <c r="C161" s="17">
        <v>13</v>
      </c>
      <c r="D161" s="17">
        <v>9</v>
      </c>
      <c r="E161" s="17">
        <v>5</v>
      </c>
      <c r="F161" s="9">
        <f t="shared" si="17"/>
        <v>1.3579065143320128</v>
      </c>
      <c r="G161" s="9">
        <f t="shared" si="18"/>
        <v>0.73642772123523115</v>
      </c>
      <c r="H161" s="34" t="e">
        <f t="shared" si="19"/>
        <v>#NUM!</v>
      </c>
      <c r="I161" s="34" t="e">
        <f t="shared" si="20"/>
        <v>#NUM!</v>
      </c>
      <c r="J161" s="45" t="e">
        <f t="shared" si="16"/>
        <v>#NUM!</v>
      </c>
    </row>
    <row r="162" spans="3:10" ht="26.25" customHeight="1" x14ac:dyDescent="0.15">
      <c r="C162" s="17">
        <v>15</v>
      </c>
      <c r="D162" s="17">
        <v>7</v>
      </c>
      <c r="E162" s="17">
        <v>1</v>
      </c>
      <c r="F162" s="9">
        <f t="shared" si="17"/>
        <v>1.0983270763151023</v>
      </c>
      <c r="G162" s="9">
        <f t="shared" si="18"/>
        <v>0.91047559653633359</v>
      </c>
      <c r="H162" s="34">
        <f t="shared" si="19"/>
        <v>57.786333800534315</v>
      </c>
      <c r="I162" s="34">
        <f t="shared" si="20"/>
        <v>115.57266760106863</v>
      </c>
      <c r="J162" s="45">
        <f t="shared" si="16"/>
        <v>0</v>
      </c>
    </row>
    <row r="163" spans="3:10" ht="26.25" customHeight="1" x14ac:dyDescent="0.15">
      <c r="C163" s="17">
        <v>15</v>
      </c>
      <c r="D163" s="17">
        <v>5</v>
      </c>
      <c r="E163" s="17">
        <v>5</v>
      </c>
      <c r="F163" s="9">
        <f t="shared" si="17"/>
        <v>0.95376647269337644</v>
      </c>
      <c r="G163" s="9">
        <f t="shared" si="18"/>
        <v>1.0484746828812959</v>
      </c>
      <c r="H163" s="34">
        <f t="shared" si="19"/>
        <v>47.282527739219574</v>
      </c>
      <c r="I163" s="34">
        <f t="shared" si="20"/>
        <v>94.565055478439149</v>
      </c>
      <c r="J163" s="45">
        <f t="shared" si="16"/>
        <v>0</v>
      </c>
    </row>
    <row r="164" spans="3:10" ht="26.25" customHeight="1" x14ac:dyDescent="0.15">
      <c r="C164" s="17">
        <v>14</v>
      </c>
      <c r="D164" s="17">
        <v>8</v>
      </c>
      <c r="E164" s="17">
        <v>4</v>
      </c>
      <c r="F164" s="9">
        <f t="shared" si="17"/>
        <v>1.2351369082587154</v>
      </c>
      <c r="G164" s="9">
        <f t="shared" si="18"/>
        <v>0.80962684647630745</v>
      </c>
      <c r="H164" s="34">
        <f t="shared" si="19"/>
        <v>72.073794827841709</v>
      </c>
      <c r="I164" s="34">
        <f t="shared" si="20"/>
        <v>144.14758965568342</v>
      </c>
      <c r="J164" s="45">
        <f t="shared" si="16"/>
        <v>0</v>
      </c>
    </row>
    <row r="165" spans="3:10" ht="26.25" customHeight="1" x14ac:dyDescent="0.15">
      <c r="C165" s="17">
        <v>16</v>
      </c>
      <c r="D165" s="17">
        <v>4</v>
      </c>
      <c r="E165" s="17">
        <v>2</v>
      </c>
      <c r="F165" s="9">
        <f t="shared" si="17"/>
        <v>0.81941056180219707</v>
      </c>
      <c r="G165" s="9">
        <f t="shared" si="18"/>
        <v>1.2203894440909058</v>
      </c>
      <c r="H165" s="34">
        <f t="shared" si="19"/>
        <v>39.139478617076676</v>
      </c>
      <c r="I165" s="34">
        <f t="shared" si="20"/>
        <v>78.278957234153353</v>
      </c>
      <c r="J165" s="45">
        <f t="shared" si="16"/>
        <v>0</v>
      </c>
    </row>
    <row r="166" spans="3:10" ht="26.25" customHeight="1" x14ac:dyDescent="0.15">
      <c r="C166" s="17">
        <v>12</v>
      </c>
      <c r="D166" s="17">
        <v>10</v>
      </c>
      <c r="E166" s="17">
        <v>6</v>
      </c>
      <c r="F166" s="9">
        <f t="shared" si="17"/>
        <v>1.4867854380186747</v>
      </c>
      <c r="G166" s="9">
        <f t="shared" si="18"/>
        <v>0.67259200583281442</v>
      </c>
      <c r="H166" s="34" t="e">
        <f t="shared" si="19"/>
        <v>#NUM!</v>
      </c>
      <c r="I166" s="34" t="e">
        <f t="shared" si="20"/>
        <v>#NUM!</v>
      </c>
      <c r="J166" s="45" t="e">
        <f t="shared" si="16"/>
        <v>#NUM!</v>
      </c>
    </row>
    <row r="167" spans="3:10" ht="26.25" customHeight="1" x14ac:dyDescent="0.15">
      <c r="C167" s="17">
        <v>11</v>
      </c>
      <c r="D167" s="17">
        <v>9</v>
      </c>
      <c r="E167" s="17">
        <v>9</v>
      </c>
      <c r="F167" s="9">
        <f t="shared" si="17"/>
        <v>1.4376104545901032</v>
      </c>
      <c r="G167" s="9">
        <f t="shared" si="18"/>
        <v>0.69559872551505875</v>
      </c>
      <c r="H167" s="34" t="e">
        <f t="shared" si="19"/>
        <v>#NUM!</v>
      </c>
      <c r="I167" s="34" t="e">
        <f t="shared" si="20"/>
        <v>#NUM!</v>
      </c>
      <c r="J167" s="45" t="e">
        <f t="shared" si="16"/>
        <v>#NUM!</v>
      </c>
    </row>
    <row r="168" spans="3:10" ht="26.25" customHeight="1" x14ac:dyDescent="0.15">
      <c r="C168" s="17">
        <v>15</v>
      </c>
      <c r="D168" s="17">
        <v>7</v>
      </c>
      <c r="E168" s="17">
        <v>3</v>
      </c>
      <c r="F168" s="9">
        <f t="shared" si="17"/>
        <v>1.1204865818639351</v>
      </c>
      <c r="G168" s="9">
        <f t="shared" si="18"/>
        <v>0.89246941122355516</v>
      </c>
      <c r="H168" s="34">
        <f t="shared" si="19"/>
        <v>59.670538200775397</v>
      </c>
      <c r="I168" s="34">
        <f t="shared" si="20"/>
        <v>119.34107640155079</v>
      </c>
      <c r="J168" s="45">
        <f t="shared" si="16"/>
        <v>0</v>
      </c>
    </row>
    <row r="169" spans="3:10" ht="26.25" customHeight="1" x14ac:dyDescent="0.15">
      <c r="C169" s="17">
        <v>16</v>
      </c>
      <c r="D169" s="17">
        <v>4</v>
      </c>
      <c r="E169" s="17">
        <v>4</v>
      </c>
      <c r="F169" s="9">
        <f t="shared" si="17"/>
        <v>0.86086697261968459</v>
      </c>
      <c r="G169" s="9">
        <f t="shared" si="18"/>
        <v>1.1616196599538753</v>
      </c>
      <c r="H169" s="34">
        <f t="shared" si="19"/>
        <v>41.54018580188071</v>
      </c>
      <c r="I169" s="34">
        <f t="shared" si="20"/>
        <v>83.080371603761421</v>
      </c>
      <c r="J169" s="45">
        <f t="shared" si="16"/>
        <v>0</v>
      </c>
    </row>
    <row r="170" spans="3:10" ht="26.25" customHeight="1" x14ac:dyDescent="0.15">
      <c r="C170" s="17">
        <v>12</v>
      </c>
      <c r="D170" s="17">
        <v>12</v>
      </c>
      <c r="E170" s="17">
        <v>0</v>
      </c>
      <c r="F170" s="9">
        <f t="shared" si="17"/>
        <v>1.6751356897327281</v>
      </c>
      <c r="G170" s="9">
        <f t="shared" si="18"/>
        <v>0.59696656583058794</v>
      </c>
      <c r="H170" s="34" t="e">
        <f t="shared" si="19"/>
        <v>#NUM!</v>
      </c>
      <c r="I170" s="34" t="e">
        <f t="shared" si="20"/>
        <v>#NUM!</v>
      </c>
      <c r="J170" s="45" t="e">
        <f t="shared" si="16"/>
        <v>#NUM!</v>
      </c>
    </row>
    <row r="171" spans="3:10" ht="26.25" customHeight="1" x14ac:dyDescent="0.15">
      <c r="C171" s="17">
        <v>11</v>
      </c>
      <c r="D171" s="17">
        <v>11</v>
      </c>
      <c r="E171" s="17">
        <v>7</v>
      </c>
      <c r="F171" s="9">
        <f t="shared" si="17"/>
        <v>1.6203165410684708</v>
      </c>
      <c r="G171" s="9">
        <f t="shared" si="18"/>
        <v>0.61716335953750057</v>
      </c>
      <c r="H171" s="34" t="e">
        <f t="shared" si="19"/>
        <v>#NUM!</v>
      </c>
      <c r="I171" s="34" t="e">
        <f t="shared" si="20"/>
        <v>#NUM!</v>
      </c>
      <c r="J171" s="45" t="e">
        <f t="shared" si="16"/>
        <v>#NUM!</v>
      </c>
    </row>
    <row r="172" spans="3:10" ht="26.25" customHeight="1" x14ac:dyDescent="0.15">
      <c r="C172" s="17">
        <v>13</v>
      </c>
      <c r="D172" s="17">
        <v>11</v>
      </c>
      <c r="E172" s="17">
        <v>1</v>
      </c>
      <c r="F172" s="9">
        <f t="shared" si="17"/>
        <v>1.5597714473965754</v>
      </c>
      <c r="G172" s="9">
        <f t="shared" si="18"/>
        <v>0.64111957022235944</v>
      </c>
      <c r="H172" s="34" t="e">
        <f t="shared" si="19"/>
        <v>#NUM!</v>
      </c>
      <c r="I172" s="34" t="e">
        <f t="shared" si="20"/>
        <v>#NUM!</v>
      </c>
      <c r="J172" s="45" t="e">
        <f t="shared" si="16"/>
        <v>#NUM!</v>
      </c>
    </row>
    <row r="173" spans="3:10" ht="26.25" customHeight="1" x14ac:dyDescent="0.15">
      <c r="C173" s="17">
        <v>17</v>
      </c>
      <c r="D173" s="17">
        <v>1</v>
      </c>
      <c r="E173" s="17">
        <v>1</v>
      </c>
      <c r="F173" s="9">
        <f t="shared" si="17"/>
        <v>0.65227066195675987</v>
      </c>
      <c r="G173" s="9">
        <f t="shared" si="18"/>
        <v>1.5331058996277402</v>
      </c>
      <c r="H173" s="34">
        <f t="shared" si="19"/>
        <v>30.16280373144409</v>
      </c>
      <c r="I173" s="34">
        <f t="shared" si="20"/>
        <v>60.325607462888179</v>
      </c>
      <c r="J173" s="45">
        <f t="shared" si="16"/>
        <v>0</v>
      </c>
    </row>
    <row r="174" spans="3:10" ht="26.25" customHeight="1" x14ac:dyDescent="0.15">
      <c r="C174" s="17">
        <v>12</v>
      </c>
      <c r="D174" s="17">
        <v>12</v>
      </c>
      <c r="E174" s="17">
        <v>2</v>
      </c>
      <c r="F174" s="9">
        <f t="shared" si="17"/>
        <v>1.6832995600863079</v>
      </c>
      <c r="G174" s="9">
        <f t="shared" si="18"/>
        <v>0.59407132498075799</v>
      </c>
      <c r="H174" s="34" t="e">
        <f t="shared" si="19"/>
        <v>#NUM!</v>
      </c>
      <c r="I174" s="34" t="e">
        <f t="shared" si="20"/>
        <v>#NUM!</v>
      </c>
      <c r="J174" s="45" t="e">
        <f t="shared" si="16"/>
        <v>#NUM!</v>
      </c>
    </row>
    <row r="175" spans="3:10" ht="26.25" customHeight="1" x14ac:dyDescent="0.15">
      <c r="C175" s="17">
        <v>16</v>
      </c>
      <c r="D175" s="17">
        <v>6</v>
      </c>
      <c r="E175" s="17">
        <v>2</v>
      </c>
      <c r="F175" s="9">
        <f t="shared" si="17"/>
        <v>1.0167060025631784</v>
      </c>
      <c r="G175" s="9">
        <f t="shared" si="18"/>
        <v>0.98356850208313751</v>
      </c>
      <c r="H175" s="34">
        <f t="shared" si="19"/>
        <v>51.55372141105164</v>
      </c>
      <c r="I175" s="34">
        <f t="shared" si="20"/>
        <v>103.10744282210328</v>
      </c>
      <c r="J175" s="45">
        <f t="shared" si="16"/>
        <v>0</v>
      </c>
    </row>
    <row r="176" spans="3:10" ht="26.25" customHeight="1" x14ac:dyDescent="0.15">
      <c r="C176" s="17">
        <v>14</v>
      </c>
      <c r="D176" s="17">
        <v>8</v>
      </c>
      <c r="E176" s="17">
        <v>6</v>
      </c>
      <c r="F176" s="9">
        <f t="shared" si="17"/>
        <v>1.27815622653657</v>
      </c>
      <c r="G176" s="9">
        <f t="shared" si="18"/>
        <v>0.78237697336084489</v>
      </c>
      <c r="H176" s="34">
        <f t="shared" si="19"/>
        <v>79.92921718438464</v>
      </c>
      <c r="I176" s="34">
        <f t="shared" si="20"/>
        <v>159.85843436876928</v>
      </c>
      <c r="J176" s="45">
        <f t="shared" si="16"/>
        <v>0</v>
      </c>
    </row>
    <row r="177" spans="3:10" ht="26.25" customHeight="1" x14ac:dyDescent="0.15">
      <c r="C177" s="17">
        <v>14</v>
      </c>
      <c r="D177" s="17">
        <v>10</v>
      </c>
      <c r="E177" s="17">
        <v>0</v>
      </c>
      <c r="F177" s="9">
        <f t="shared" si="17"/>
        <v>1.4424113299461792</v>
      </c>
      <c r="G177" s="9">
        <f t="shared" si="18"/>
        <v>0.69328351714854675</v>
      </c>
      <c r="H177" s="34" t="e">
        <f t="shared" si="19"/>
        <v>#NUM!</v>
      </c>
      <c r="I177" s="34" t="e">
        <f t="shared" si="20"/>
        <v>#NUM!</v>
      </c>
      <c r="J177" s="45" t="e">
        <f t="shared" si="16"/>
        <v>#NUM!</v>
      </c>
    </row>
    <row r="178" spans="3:10" ht="26.25" customHeight="1" x14ac:dyDescent="0.15">
      <c r="C178" s="17">
        <v>13</v>
      </c>
      <c r="D178" s="17">
        <v>11</v>
      </c>
      <c r="E178" s="17">
        <v>3</v>
      </c>
      <c r="F178" s="9">
        <f t="shared" si="17"/>
        <v>1.5750540499513555</v>
      </c>
      <c r="G178" s="9">
        <f t="shared" si="18"/>
        <v>0.63489884682426256</v>
      </c>
      <c r="H178" s="34" t="e">
        <f t="shared" si="19"/>
        <v>#NUM!</v>
      </c>
      <c r="I178" s="34" t="e">
        <f t="shared" si="20"/>
        <v>#NUM!</v>
      </c>
      <c r="J178" s="45" t="e">
        <f t="shared" si="16"/>
        <v>#NUM!</v>
      </c>
    </row>
    <row r="179" spans="3:10" ht="26.25" customHeight="1" x14ac:dyDescent="0.15">
      <c r="C179" s="17">
        <v>13</v>
      </c>
      <c r="D179" s="17">
        <v>9</v>
      </c>
      <c r="E179" s="17">
        <v>7</v>
      </c>
      <c r="F179" s="9">
        <f t="shared" si="17"/>
        <v>1.4040160966759183</v>
      </c>
      <c r="G179" s="9">
        <f t="shared" si="18"/>
        <v>0.71224254648330054</v>
      </c>
      <c r="H179" s="34" t="e">
        <f t="shared" si="19"/>
        <v>#NUM!</v>
      </c>
      <c r="I179" s="34" t="e">
        <f t="shared" si="20"/>
        <v>#NUM!</v>
      </c>
      <c r="J179" s="45" t="e">
        <f t="shared" si="16"/>
        <v>#NUM!</v>
      </c>
    </row>
    <row r="180" spans="3:10" ht="26.25" customHeight="1" x14ac:dyDescent="0.15">
      <c r="C180" s="17">
        <v>15</v>
      </c>
      <c r="D180" s="17">
        <v>7</v>
      </c>
      <c r="E180" s="17">
        <v>5</v>
      </c>
      <c r="F180" s="9">
        <f t="shared" si="17"/>
        <v>1.1594737585042501</v>
      </c>
      <c r="G180" s="9">
        <f t="shared" si="18"/>
        <v>0.86246022617193585</v>
      </c>
      <c r="H180" s="34">
        <f t="shared" si="19"/>
        <v>63.274165940591139</v>
      </c>
      <c r="I180" s="34">
        <f t="shared" si="20"/>
        <v>126.54833188118228</v>
      </c>
      <c r="J180" s="45">
        <f t="shared" si="16"/>
        <v>0</v>
      </c>
    </row>
    <row r="181" spans="3:10" ht="26.25" customHeight="1" x14ac:dyDescent="0.15">
      <c r="C181" s="17">
        <v>17</v>
      </c>
      <c r="D181" s="17">
        <v>3</v>
      </c>
      <c r="E181" s="17">
        <v>1</v>
      </c>
      <c r="F181" s="9">
        <f t="shared" si="17"/>
        <v>0.75522181323867499</v>
      </c>
      <c r="G181" s="9">
        <f t="shared" si="18"/>
        <v>1.3241142965821182</v>
      </c>
      <c r="H181" s="34">
        <f t="shared" si="19"/>
        <v>35.574732989845401</v>
      </c>
      <c r="I181" s="34">
        <f t="shared" si="20"/>
        <v>71.149465979690802</v>
      </c>
      <c r="J181" s="45">
        <f t="shared" si="16"/>
        <v>0</v>
      </c>
    </row>
    <row r="182" spans="3:10" ht="26.25" customHeight="1" x14ac:dyDescent="0.15">
      <c r="C182" s="17">
        <v>14</v>
      </c>
      <c r="D182" s="17">
        <v>10</v>
      </c>
      <c r="E182" s="17">
        <v>2</v>
      </c>
      <c r="F182" s="9">
        <f t="shared" si="17"/>
        <v>1.4523180767804296</v>
      </c>
      <c r="G182" s="9">
        <f t="shared" si="18"/>
        <v>0.68855439864581824</v>
      </c>
      <c r="H182" s="34" t="e">
        <f t="shared" si="19"/>
        <v>#NUM!</v>
      </c>
      <c r="I182" s="34" t="e">
        <f t="shared" si="20"/>
        <v>#NUM!</v>
      </c>
      <c r="J182" s="45" t="e">
        <f t="shared" si="16"/>
        <v>#NUM!</v>
      </c>
    </row>
    <row r="183" spans="3:10" ht="26.25" customHeight="1" x14ac:dyDescent="0.15">
      <c r="C183" s="17">
        <v>10</v>
      </c>
      <c r="D183" s="17">
        <v>10</v>
      </c>
      <c r="E183" s="17">
        <v>10</v>
      </c>
      <c r="F183" s="9">
        <f t="shared" si="17"/>
        <v>1.5737445620610029</v>
      </c>
      <c r="G183" s="9">
        <f t="shared" si="18"/>
        <v>0.63542713608514889</v>
      </c>
      <c r="H183" s="34" t="e">
        <f t="shared" si="19"/>
        <v>#NUM!</v>
      </c>
      <c r="I183" s="34" t="e">
        <f t="shared" si="20"/>
        <v>#NUM!</v>
      </c>
      <c r="J183" s="45" t="e">
        <f t="shared" si="16"/>
        <v>#NUM!</v>
      </c>
    </row>
    <row r="184" spans="3:10" ht="26.25" customHeight="1" x14ac:dyDescent="0.15">
      <c r="C184" s="17">
        <v>12</v>
      </c>
      <c r="D184" s="17">
        <v>12</v>
      </c>
      <c r="E184" s="17">
        <v>4</v>
      </c>
      <c r="F184" s="9">
        <f t="shared" si="17"/>
        <v>1.7031255508358083</v>
      </c>
      <c r="G184" s="9">
        <f t="shared" si="18"/>
        <v>0.58715577340099812</v>
      </c>
      <c r="H184" s="34" t="e">
        <f t="shared" si="19"/>
        <v>#NUM!</v>
      </c>
      <c r="I184" s="34" t="e">
        <f t="shared" si="20"/>
        <v>#NUM!</v>
      </c>
      <c r="J184" s="45" t="e">
        <f t="shared" si="16"/>
        <v>#NUM!</v>
      </c>
    </row>
    <row r="185" spans="3:10" ht="26.25" customHeight="1" x14ac:dyDescent="0.15">
      <c r="C185" s="17">
        <v>17</v>
      </c>
      <c r="D185" s="17">
        <v>3</v>
      </c>
      <c r="E185" s="17">
        <v>3</v>
      </c>
      <c r="F185" s="9">
        <f t="shared" si="17"/>
        <v>0.78790057886604081</v>
      </c>
      <c r="G185" s="9">
        <f t="shared" si="18"/>
        <v>1.269195666081647</v>
      </c>
      <c r="H185" s="34">
        <f t="shared" si="19"/>
        <v>37.368394339073994</v>
      </c>
      <c r="I185" s="34">
        <f t="shared" si="20"/>
        <v>74.736788678147988</v>
      </c>
      <c r="J185" s="45">
        <f t="shared" si="16"/>
        <v>0</v>
      </c>
    </row>
    <row r="186" spans="3:10" ht="26.25" customHeight="1" x14ac:dyDescent="0.15">
      <c r="C186" s="17">
        <v>15</v>
      </c>
      <c r="D186" s="17">
        <v>9</v>
      </c>
      <c r="E186" s="17">
        <v>1</v>
      </c>
      <c r="F186" s="9">
        <f t="shared" si="17"/>
        <v>1.3363885099531834</v>
      </c>
      <c r="G186" s="9">
        <f t="shared" si="18"/>
        <v>0.74828539197409905</v>
      </c>
      <c r="H186" s="34" t="e">
        <f t="shared" si="19"/>
        <v>#NUM!</v>
      </c>
      <c r="I186" s="34" t="e">
        <f t="shared" si="20"/>
        <v>#NUM!</v>
      </c>
      <c r="J186" s="45" t="e">
        <f t="shared" si="16"/>
        <v>#NUM!</v>
      </c>
    </row>
    <row r="187" spans="3:10" ht="26.25" customHeight="1" x14ac:dyDescent="0.15">
      <c r="C187" s="17">
        <v>16</v>
      </c>
      <c r="D187" s="17">
        <v>6</v>
      </c>
      <c r="E187" s="17">
        <v>4</v>
      </c>
      <c r="F187" s="9">
        <f t="shared" si="17"/>
        <v>1.050404384702571</v>
      </c>
      <c r="G187" s="9">
        <f t="shared" si="18"/>
        <v>0.95201430474146076</v>
      </c>
      <c r="H187" s="34">
        <f t="shared" si="19"/>
        <v>54.012978132677162</v>
      </c>
      <c r="I187" s="34">
        <f t="shared" si="20"/>
        <v>108.02595626535432</v>
      </c>
      <c r="J187" s="45">
        <f t="shared" si="16"/>
        <v>0</v>
      </c>
    </row>
    <row r="188" spans="3:10" ht="15.75" x14ac:dyDescent="0.15">
      <c r="C188" s="17">
        <v>12</v>
      </c>
      <c r="D188" s="17">
        <v>10</v>
      </c>
      <c r="E188" s="17">
        <v>8</v>
      </c>
      <c r="F188" s="9">
        <f t="shared" si="17"/>
        <v>1.5352892162496958</v>
      </c>
      <c r="G188" s="9">
        <f t="shared" si="18"/>
        <v>0.65134307556900228</v>
      </c>
      <c r="H188" s="34" t="e">
        <f t="shared" si="19"/>
        <v>#NUM!</v>
      </c>
      <c r="I188" s="34" t="e">
        <f t="shared" si="20"/>
        <v>#NUM!</v>
      </c>
      <c r="J188" s="45" t="e">
        <f t="shared" si="16"/>
        <v>#NUM!</v>
      </c>
    </row>
  </sheetData>
  <mergeCells count="2">
    <mergeCell ref="C11:E11"/>
    <mergeCell ref="H11:I1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87"/>
  <sheetViews>
    <sheetView zoomScale="70" zoomScaleNormal="70" workbookViewId="0">
      <selection activeCell="L6" sqref="L6"/>
    </sheetView>
  </sheetViews>
  <sheetFormatPr defaultColWidth="9" defaultRowHeight="14.25" x14ac:dyDescent="0.15"/>
  <cols>
    <col min="1" max="1" width="2.375" style="4" customWidth="1"/>
    <col min="2" max="2" width="18.5" style="4" bestFit="1" customWidth="1"/>
    <col min="3" max="10" width="10.5" style="4" customWidth="1"/>
    <col min="11" max="11" width="13.375" style="4" bestFit="1" customWidth="1"/>
    <col min="12" max="12" width="10.875" style="4" bestFit="1" customWidth="1"/>
    <col min="13" max="16384" width="9" style="4"/>
  </cols>
  <sheetData>
    <row r="2" spans="2:12" ht="24" customHeight="1" x14ac:dyDescent="0.15">
      <c r="B2" s="1"/>
      <c r="C2" s="2" t="s">
        <v>7</v>
      </c>
      <c r="D2" s="2" t="s">
        <v>8</v>
      </c>
      <c r="E2" s="2" t="s">
        <v>9</v>
      </c>
      <c r="F2" s="3" t="s">
        <v>10</v>
      </c>
      <c r="G2" s="3" t="s">
        <v>11</v>
      </c>
      <c r="H2" s="3" t="s">
        <v>12</v>
      </c>
      <c r="I2" s="2" t="s">
        <v>13</v>
      </c>
      <c r="J2" s="40"/>
    </row>
    <row r="3" spans="2:12" ht="30" customHeight="1" x14ac:dyDescent="0.15">
      <c r="B3" s="5" t="s">
        <v>0</v>
      </c>
      <c r="C3" s="38">
        <v>5.43119</v>
      </c>
      <c r="D3" s="38">
        <v>5.43119</v>
      </c>
      <c r="E3" s="38">
        <v>5.43119</v>
      </c>
      <c r="F3" s="7">
        <v>90</v>
      </c>
      <c r="G3" s="7">
        <v>90</v>
      </c>
      <c r="H3" s="7">
        <v>90</v>
      </c>
      <c r="I3" s="8">
        <f>C3*D3*E3*SQRT(1-COS(RADIANS(F3))^2-COS(RADIANS(G3))^2-COS(RADIANS(H3))^2+2*COS(RADIANS(F3))*COS(RADIANS(G3))*COS(RADIANS(H3)))</f>
        <v>160.20829116295417</v>
      </c>
      <c r="J3" s="41"/>
    </row>
    <row r="4" spans="2:12" ht="12.75" customHeight="1" x14ac:dyDescent="0.15"/>
    <row r="5" spans="2:12" ht="24" customHeight="1" x14ac:dyDescent="0.15">
      <c r="B5" s="1"/>
      <c r="C5" s="2" t="s">
        <v>14</v>
      </c>
      <c r="D5" s="2" t="s">
        <v>15</v>
      </c>
      <c r="E5" s="2" t="s">
        <v>16</v>
      </c>
      <c r="F5" s="3" t="s">
        <v>17</v>
      </c>
      <c r="G5" s="3" t="s">
        <v>18</v>
      </c>
      <c r="H5" s="3" t="s">
        <v>19</v>
      </c>
      <c r="I5" s="2" t="s">
        <v>20</v>
      </c>
      <c r="J5" s="40"/>
      <c r="L5" s="2" t="s">
        <v>42</v>
      </c>
    </row>
    <row r="6" spans="2:12" ht="36" customHeight="1" x14ac:dyDescent="0.15">
      <c r="B6" s="5" t="s">
        <v>1</v>
      </c>
      <c r="C6" s="9">
        <f>D3*E3*SIN(RADIANS(F3))/$I$3</f>
        <v>0.1841217118163791</v>
      </c>
      <c r="D6" s="9">
        <f>E3*C3*SIN(RADIANS(G3))/$I$3</f>
        <v>0.1841217118163791</v>
      </c>
      <c r="E6" s="9">
        <f>D3*C3*SIN(RADIANS(H3))/$I$3</f>
        <v>0.1841217118163791</v>
      </c>
      <c r="F6" s="8">
        <f>DEGREES(ACOS((COS(RADIANS(G3))*COS(RADIANS(H3))-COS(RADIANS(F3)))/(SIN(RADIANS(G3))*SIN(RADIANS(H3)))))</f>
        <v>90</v>
      </c>
      <c r="G6" s="8">
        <f>DEGREES(ACOS((COS(RADIANS(F3))*COS(RADIANS(H3))-COS(RADIANS(G3)))/(SIN(RADIANS(F3))*SIN(RADIANS(H3)))))</f>
        <v>90</v>
      </c>
      <c r="H6" s="8">
        <f>DEGREES(ACOS((COS(RADIANS(F3))*COS(RADIANS(G3))-COS(RADIANS(H3)))/(SIN(RADIANS(F3))*SIN(RADIANS(G3)))))</f>
        <v>90</v>
      </c>
      <c r="I6" s="10">
        <f>C6*D6*E6*SQRT(1-COS(RADIANS(F6))^2-COS(RADIANS(G6))^2-COS(RADIANS(H6))^2+2*COS(RADIANS(F6))*COS(RADIANS(G6))*COS(RADIANS(H6)))</f>
        <v>6.2418742047679705E-3</v>
      </c>
      <c r="J6" s="42"/>
      <c r="L6" s="39">
        <v>5000</v>
      </c>
    </row>
    <row r="8" spans="2:12" ht="24" customHeight="1" x14ac:dyDescent="0.15">
      <c r="B8" s="1"/>
      <c r="C8" s="2" t="s">
        <v>21</v>
      </c>
      <c r="D8" s="3" t="s">
        <v>22</v>
      </c>
      <c r="E8" s="46" t="s">
        <v>45</v>
      </c>
      <c r="F8" s="3" t="s">
        <v>43</v>
      </c>
      <c r="G8" s="3" t="s">
        <v>46</v>
      </c>
      <c r="I8" s="46" t="s">
        <v>48</v>
      </c>
    </row>
    <row r="9" spans="2:12" ht="23.25" customHeight="1" x14ac:dyDescent="0.15">
      <c r="B9" s="11" t="s">
        <v>23</v>
      </c>
      <c r="C9" s="6">
        <v>8</v>
      </c>
      <c r="D9" s="9">
        <f>12.398419/C9</f>
        <v>1.5498023750000001</v>
      </c>
      <c r="E9" s="47">
        <f>I9*C9*1000</f>
        <v>0.8</v>
      </c>
      <c r="F9" s="9">
        <f>I9*D9</f>
        <v>1.5498023750000001E-4</v>
      </c>
      <c r="G9" s="12">
        <v>5.0000000000000001E-3</v>
      </c>
      <c r="I9" s="48">
        <v>1E-4</v>
      </c>
    </row>
    <row r="11" spans="2:12" ht="25.5" customHeight="1" x14ac:dyDescent="0.15">
      <c r="B11" s="13"/>
      <c r="C11" s="68" t="s">
        <v>31</v>
      </c>
      <c r="D11" s="69"/>
      <c r="E11" s="69"/>
      <c r="F11" s="1"/>
      <c r="G11" s="1"/>
      <c r="H11" s="66" t="s">
        <v>2</v>
      </c>
      <c r="I11" s="67"/>
      <c r="J11" s="43"/>
    </row>
    <row r="12" spans="2:12" ht="26.25" customHeight="1" x14ac:dyDescent="0.15">
      <c r="C12" s="14" t="s">
        <v>3</v>
      </c>
      <c r="D12" s="14" t="s">
        <v>4</v>
      </c>
      <c r="E12" s="14" t="s">
        <v>5</v>
      </c>
      <c r="F12" s="14" t="s">
        <v>24</v>
      </c>
      <c r="G12" s="14" t="s">
        <v>25</v>
      </c>
      <c r="H12" s="15" t="s">
        <v>26</v>
      </c>
      <c r="I12" s="16" t="s">
        <v>27</v>
      </c>
      <c r="J12" s="44" t="s">
        <v>44</v>
      </c>
      <c r="K12" s="44" t="s">
        <v>47</v>
      </c>
    </row>
    <row r="13" spans="2:12" ht="26.25" customHeight="1" x14ac:dyDescent="0.15">
      <c r="C13" s="17">
        <v>0</v>
      </c>
      <c r="D13" s="17">
        <v>0</v>
      </c>
      <c r="E13" s="17">
        <v>1</v>
      </c>
      <c r="F13" s="9">
        <f t="shared" ref="F13:F18" si="0">SQRT(C13^2*$C$6^2+D13^2*$D$6^2+E13^2*$E$6^2+2*$C$6*$D$6*C13*D13*COS(RADIANS($H$6))+2*$C$6*$E$6*C13*E13*COS(RADIANS($G$6))+2*$D$6*$E$6*D13*E13*COS(RADIANS($F$6)))</f>
        <v>0.1841217118163791</v>
      </c>
      <c r="G13" s="9">
        <f t="shared" ref="G13:G18" si="1">1/F13</f>
        <v>5.43119</v>
      </c>
      <c r="H13" s="34">
        <f t="shared" ref="H13:H18" si="2">DEGREES(ASIN(F13*$D$9/2))</f>
        <v>8.2027322712820698</v>
      </c>
      <c r="I13" s="34">
        <f t="shared" ref="I13:I18" si="3">H13*2</f>
        <v>16.40546454256414</v>
      </c>
      <c r="J13" s="45">
        <f>DEGREES(2*$F$9*F13/(2*COS(RADIANS(H13))))</f>
        <v>1.651847396494027E-3</v>
      </c>
      <c r="K13" s="12">
        <f>DEGREES((0.94*$D$9)/($L$6*10*COS(RADIANS(H13))))+J13+$G$9</f>
        <v>8.3384888440305345E-3</v>
      </c>
    </row>
    <row r="14" spans="2:12" ht="26.25" customHeight="1" x14ac:dyDescent="0.15">
      <c r="C14" s="17">
        <v>0</v>
      </c>
      <c r="D14" s="17">
        <v>1</v>
      </c>
      <c r="E14" s="17">
        <v>0</v>
      </c>
      <c r="F14" s="9">
        <f t="shared" si="0"/>
        <v>0.1841217118163791</v>
      </c>
      <c r="G14" s="9">
        <f t="shared" si="1"/>
        <v>5.43119</v>
      </c>
      <c r="H14" s="34">
        <f t="shared" si="2"/>
        <v>8.2027322712820698</v>
      </c>
      <c r="I14" s="34">
        <f t="shared" si="3"/>
        <v>16.40546454256414</v>
      </c>
      <c r="J14" s="45">
        <f t="shared" ref="J14:J77" si="4">DEGREES(2*$F$9*F14/(2*COS(RADIANS(H14))))</f>
        <v>1.651847396494027E-3</v>
      </c>
      <c r="K14" s="12">
        <f t="shared" ref="K14:K77" si="5">DEGREES((0.94*$D$9)/($L$6*10*COS(RADIANS(H14))))+J14+$G$9</f>
        <v>8.3384888440305345E-3</v>
      </c>
    </row>
    <row r="15" spans="2:12" ht="26.25" customHeight="1" x14ac:dyDescent="0.15">
      <c r="C15" s="17">
        <v>1</v>
      </c>
      <c r="D15" s="17">
        <v>0</v>
      </c>
      <c r="E15" s="17">
        <v>0</v>
      </c>
      <c r="F15" s="9">
        <f t="shared" si="0"/>
        <v>0.1841217118163791</v>
      </c>
      <c r="G15" s="9">
        <f t="shared" si="1"/>
        <v>5.43119</v>
      </c>
      <c r="H15" s="34">
        <f t="shared" si="2"/>
        <v>8.2027322712820698</v>
      </c>
      <c r="I15" s="34">
        <f t="shared" si="3"/>
        <v>16.40546454256414</v>
      </c>
      <c r="J15" s="45">
        <f t="shared" si="4"/>
        <v>1.651847396494027E-3</v>
      </c>
      <c r="K15" s="12">
        <f t="shared" si="5"/>
        <v>8.3384888440305345E-3</v>
      </c>
    </row>
    <row r="16" spans="2:12" ht="26.25" customHeight="1" x14ac:dyDescent="0.15">
      <c r="C16" s="17">
        <v>1</v>
      </c>
      <c r="D16" s="17">
        <v>1</v>
      </c>
      <c r="E16" s="17">
        <v>0</v>
      </c>
      <c r="F16" s="9">
        <f t="shared" si="0"/>
        <v>0.26038742197807385</v>
      </c>
      <c r="G16" s="9">
        <f t="shared" si="1"/>
        <v>3.8404312789125652</v>
      </c>
      <c r="H16" s="34">
        <f t="shared" si="2"/>
        <v>11.640747491844206</v>
      </c>
      <c r="I16" s="34">
        <f t="shared" si="3"/>
        <v>23.281494983688411</v>
      </c>
      <c r="J16" s="45">
        <f t="shared" si="4"/>
        <v>2.3607210211446009E-3</v>
      </c>
      <c r="K16" s="12">
        <f t="shared" si="5"/>
        <v>9.0651641490179478E-3</v>
      </c>
    </row>
    <row r="17" spans="3:11" ht="26.25" customHeight="1" x14ac:dyDescent="0.15">
      <c r="C17" s="17">
        <v>1</v>
      </c>
      <c r="D17" s="17">
        <v>0</v>
      </c>
      <c r="E17" s="17">
        <v>1</v>
      </c>
      <c r="F17" s="9">
        <f t="shared" si="0"/>
        <v>0.26038742197807385</v>
      </c>
      <c r="G17" s="9">
        <f t="shared" si="1"/>
        <v>3.8404312789125652</v>
      </c>
      <c r="H17" s="34">
        <f t="shared" si="2"/>
        <v>11.640747491844206</v>
      </c>
      <c r="I17" s="34">
        <f t="shared" si="3"/>
        <v>23.281494983688411</v>
      </c>
      <c r="J17" s="45">
        <f t="shared" si="4"/>
        <v>2.3607210211446009E-3</v>
      </c>
      <c r="K17" s="12">
        <f t="shared" si="5"/>
        <v>9.0651641490179478E-3</v>
      </c>
    </row>
    <row r="18" spans="3:11" ht="26.25" customHeight="1" x14ac:dyDescent="0.15">
      <c r="C18" s="17">
        <v>0</v>
      </c>
      <c r="D18" s="17">
        <v>1</v>
      </c>
      <c r="E18" s="17">
        <v>1</v>
      </c>
      <c r="F18" s="9">
        <f t="shared" si="0"/>
        <v>0.26038742197807385</v>
      </c>
      <c r="G18" s="9">
        <f t="shared" si="1"/>
        <v>3.8404312789125652</v>
      </c>
      <c r="H18" s="34">
        <f t="shared" si="2"/>
        <v>11.640747491844206</v>
      </c>
      <c r="I18" s="34">
        <f t="shared" si="3"/>
        <v>23.281494983688411</v>
      </c>
      <c r="J18" s="45">
        <f t="shared" si="4"/>
        <v>2.3607210211446009E-3</v>
      </c>
      <c r="K18" s="12">
        <f t="shared" si="5"/>
        <v>9.0651641490179478E-3</v>
      </c>
    </row>
    <row r="19" spans="3:11" ht="26.25" customHeight="1" x14ac:dyDescent="0.15">
      <c r="C19" s="17">
        <v>1</v>
      </c>
      <c r="D19" s="17">
        <v>1</v>
      </c>
      <c r="E19" s="17">
        <v>1</v>
      </c>
      <c r="F19" s="9">
        <f>SQRT(C19^2*$C$6^2+D19^2*$D$6^2+E19^2*$E$6^2+2*$C$6*$D$6*C19*D19*COS(RADIANS($H$6))+2*$C$6*$E$6*C19*E19*COS(RADIANS($G$6))+2*$D$6*$E$6*D19*E19*COS(RADIANS($F$6)))</f>
        <v>0.3189081596425235</v>
      </c>
      <c r="G19" s="9">
        <f>1/F19</f>
        <v>3.1356990085200036</v>
      </c>
      <c r="H19" s="34">
        <f>DEGREES(ASIN(F19*$D$9/2))</f>
        <v>14.307290511639836</v>
      </c>
      <c r="I19" s="34">
        <f>H19*2</f>
        <v>28.614581023279673</v>
      </c>
      <c r="J19" s="45">
        <f t="shared" si="4"/>
        <v>2.9224551023752242E-3</v>
      </c>
      <c r="K19" s="12">
        <f t="shared" si="5"/>
        <v>9.6452757409641217E-3</v>
      </c>
    </row>
    <row r="20" spans="3:11" ht="26.25" customHeight="1" x14ac:dyDescent="0.15">
      <c r="C20" s="17">
        <v>2</v>
      </c>
      <c r="D20" s="17">
        <v>2</v>
      </c>
      <c r="E20" s="17">
        <v>0</v>
      </c>
      <c r="F20" s="9">
        <f t="shared" ref="F20:F83" si="6">SQRT(C20^2*$C$6^2+D20^2*$D$6^2+E20^2*$E$6^2+2*$C$6*$D$6*C20*D20*COS(RADIANS($H$6))+2*$C$6*$E$6*C20*E20*COS(RADIANS($G$6))+2*$D$6*$E$6*D20*E20*COS(RADIANS($F$6)))</f>
        <v>0.5207748439561477</v>
      </c>
      <c r="G20" s="9">
        <f t="shared" ref="G20:G83" si="7">1/F20</f>
        <v>1.9202156394562826</v>
      </c>
      <c r="H20" s="34">
        <f t="shared" ref="H20:H83" si="8">DEGREES(ASIN(F20*$D$9/2))</f>
        <v>23.800234744752778</v>
      </c>
      <c r="I20" s="34">
        <f t="shared" ref="I20:I83" si="9">H20*2</f>
        <v>47.600469489505556</v>
      </c>
      <c r="J20" s="45">
        <f t="shared" si="4"/>
        <v>5.0541460348956149E-3</v>
      </c>
      <c r="K20" s="12">
        <f t="shared" si="5"/>
        <v>1.187869548383249E-2</v>
      </c>
    </row>
    <row r="21" spans="3:11" ht="26.25" customHeight="1" x14ac:dyDescent="0.15">
      <c r="C21" s="17">
        <v>3</v>
      </c>
      <c r="D21" s="17">
        <v>1</v>
      </c>
      <c r="E21" s="17">
        <v>1</v>
      </c>
      <c r="F21" s="9">
        <f t="shared" si="6"/>
        <v>0.61066263385287567</v>
      </c>
      <c r="G21" s="9">
        <f t="shared" si="7"/>
        <v>1.6375653995573041</v>
      </c>
      <c r="H21" s="34">
        <f t="shared" si="8"/>
        <v>28.24242490225825</v>
      </c>
      <c r="I21" s="34">
        <f t="shared" si="9"/>
        <v>56.4848498045165</v>
      </c>
      <c r="J21" s="45">
        <f t="shared" si="4"/>
        <v>6.1552742840588386E-3</v>
      </c>
      <c r="K21" s="12">
        <f t="shared" si="5"/>
        <v>1.3050251152222445E-2</v>
      </c>
    </row>
    <row r="22" spans="3:11" ht="26.25" customHeight="1" x14ac:dyDescent="0.15">
      <c r="C22" s="17">
        <v>2</v>
      </c>
      <c r="D22" s="17">
        <v>2</v>
      </c>
      <c r="E22" s="17">
        <v>2</v>
      </c>
      <c r="F22" s="9">
        <f t="shared" si="6"/>
        <v>0.63781631928504701</v>
      </c>
      <c r="G22" s="9">
        <f t="shared" si="7"/>
        <v>1.5678495042600018</v>
      </c>
      <c r="H22" s="34">
        <f t="shared" si="8"/>
        <v>29.619952265645701</v>
      </c>
      <c r="I22" s="34">
        <f t="shared" si="9"/>
        <v>59.239904531291401</v>
      </c>
      <c r="J22" s="45">
        <f t="shared" si="4"/>
        <v>6.514985843058799E-3</v>
      </c>
      <c r="K22" s="12">
        <f t="shared" si="5"/>
        <v>1.3435315100027323E-2</v>
      </c>
    </row>
    <row r="23" spans="3:11" ht="26.25" customHeight="1" x14ac:dyDescent="0.15">
      <c r="C23" s="17">
        <v>4</v>
      </c>
      <c r="D23" s="17">
        <v>0</v>
      </c>
      <c r="E23" s="17">
        <v>0</v>
      </c>
      <c r="F23" s="9">
        <f t="shared" si="6"/>
        <v>0.73648684726551639</v>
      </c>
      <c r="G23" s="9">
        <f t="shared" si="7"/>
        <v>1.3577975</v>
      </c>
      <c r="H23" s="34">
        <f t="shared" si="8"/>
        <v>34.799369573075765</v>
      </c>
      <c r="I23" s="34">
        <f t="shared" si="9"/>
        <v>69.59873914615153</v>
      </c>
      <c r="J23" s="45">
        <f t="shared" si="4"/>
        <v>7.9641338368166819E-3</v>
      </c>
      <c r="K23" s="12">
        <f t="shared" si="5"/>
        <v>1.499710586731616E-2</v>
      </c>
    </row>
    <row r="24" spans="3:11" ht="26.25" customHeight="1" x14ac:dyDescent="0.15">
      <c r="C24" s="17">
        <v>3</v>
      </c>
      <c r="D24" s="17">
        <v>3</v>
      </c>
      <c r="E24" s="17">
        <v>1</v>
      </c>
      <c r="F24" s="9">
        <f t="shared" si="6"/>
        <v>0.80256793511931512</v>
      </c>
      <c r="G24" s="9">
        <f t="shared" si="7"/>
        <v>1.2460004396404565</v>
      </c>
      <c r="H24" s="34">
        <f t="shared" si="8"/>
        <v>38.455809237034792</v>
      </c>
      <c r="I24" s="34">
        <f t="shared" si="9"/>
        <v>76.911618474069584</v>
      </c>
      <c r="J24" s="45">
        <f t="shared" si="4"/>
        <v>9.1006028108222489E-3</v>
      </c>
      <c r="K24" s="12">
        <f t="shared" si="5"/>
        <v>1.6232401570238458E-2</v>
      </c>
    </row>
    <row r="25" spans="3:11" ht="26.25" customHeight="1" x14ac:dyDescent="0.15">
      <c r="C25" s="17">
        <v>4</v>
      </c>
      <c r="D25" s="17">
        <v>2</v>
      </c>
      <c r="E25" s="17">
        <v>2</v>
      </c>
      <c r="F25" s="9">
        <f t="shared" si="6"/>
        <v>0.90200848903580177</v>
      </c>
      <c r="G25" s="9">
        <f t="shared" si="7"/>
        <v>1.1086370163422141</v>
      </c>
      <c r="H25" s="34">
        <f t="shared" si="8"/>
        <v>44.344220904677947</v>
      </c>
      <c r="I25" s="34">
        <f t="shared" si="9"/>
        <v>88.688441809355893</v>
      </c>
      <c r="J25" s="45">
        <f t="shared" si="4"/>
        <v>1.119980138257339E-2</v>
      </c>
      <c r="K25" s="12">
        <f t="shared" si="5"/>
        <v>1.8534106087592886E-2</v>
      </c>
    </row>
    <row r="26" spans="3:11" ht="26.25" customHeight="1" x14ac:dyDescent="0.15">
      <c r="C26" s="17">
        <v>3</v>
      </c>
      <c r="D26" s="17">
        <v>3</v>
      </c>
      <c r="E26" s="17">
        <v>3</v>
      </c>
      <c r="F26" s="9">
        <f t="shared" si="6"/>
        <v>0.95672447892757051</v>
      </c>
      <c r="G26" s="9">
        <f t="shared" si="7"/>
        <v>1.0452330028400012</v>
      </c>
      <c r="H26" s="34">
        <f t="shared" si="8"/>
        <v>47.847987983163399</v>
      </c>
      <c r="I26" s="34">
        <f t="shared" si="9"/>
        <v>95.695975966326799</v>
      </c>
      <c r="J26" s="45">
        <f t="shared" si="4"/>
        <v>1.2658978732124211E-2</v>
      </c>
      <c r="K26" s="12">
        <f t="shared" si="5"/>
        <v>2.0146516214500601E-2</v>
      </c>
    </row>
    <row r="27" spans="3:11" ht="26.25" customHeight="1" x14ac:dyDescent="0.15">
      <c r="C27" s="17">
        <v>5</v>
      </c>
      <c r="D27" s="17">
        <v>1</v>
      </c>
      <c r="E27" s="17">
        <v>1</v>
      </c>
      <c r="F27" s="9">
        <f t="shared" si="6"/>
        <v>0.95672447892757051</v>
      </c>
      <c r="G27" s="9">
        <f t="shared" si="7"/>
        <v>1.0452330028400012</v>
      </c>
      <c r="H27" s="34">
        <f t="shared" si="8"/>
        <v>47.847987983163399</v>
      </c>
      <c r="I27" s="34">
        <f t="shared" si="9"/>
        <v>95.695975966326799</v>
      </c>
      <c r="J27" s="45">
        <f t="shared" si="4"/>
        <v>1.2658978732124211E-2</v>
      </c>
      <c r="K27" s="12">
        <f t="shared" si="5"/>
        <v>2.0146516214500601E-2</v>
      </c>
    </row>
    <row r="28" spans="3:11" ht="26.25" customHeight="1" x14ac:dyDescent="0.15">
      <c r="C28" s="17">
        <v>4</v>
      </c>
      <c r="D28" s="17">
        <v>4</v>
      </c>
      <c r="E28" s="17">
        <v>0</v>
      </c>
      <c r="F28" s="9">
        <f t="shared" si="6"/>
        <v>1.0415496879122954</v>
      </c>
      <c r="G28" s="9">
        <f t="shared" si="7"/>
        <v>0.9601078197281413</v>
      </c>
      <c r="H28" s="34">
        <f t="shared" si="8"/>
        <v>53.813368223261065</v>
      </c>
      <c r="I28" s="34">
        <f t="shared" si="9"/>
        <v>107.62673644652213</v>
      </c>
      <c r="J28" s="45">
        <f t="shared" si="4"/>
        <v>1.5664618422970664E-2</v>
      </c>
      <c r="K28" s="12">
        <f t="shared" si="5"/>
        <v>2.3492086279469571E-2</v>
      </c>
    </row>
    <row r="29" spans="3:11" ht="26.25" customHeight="1" x14ac:dyDescent="0.15">
      <c r="C29" s="17">
        <v>5</v>
      </c>
      <c r="D29" s="17">
        <v>3</v>
      </c>
      <c r="E29" s="17">
        <v>1</v>
      </c>
      <c r="F29" s="9">
        <f t="shared" si="6"/>
        <v>1.089278736906574</v>
      </c>
      <c r="G29" s="9">
        <f t="shared" si="7"/>
        <v>0.91803866734779449</v>
      </c>
      <c r="H29" s="34">
        <f t="shared" si="8"/>
        <v>57.573860947429303</v>
      </c>
      <c r="I29" s="34">
        <f t="shared" si="9"/>
        <v>115.14772189485861</v>
      </c>
      <c r="J29" s="45">
        <f t="shared" si="4"/>
        <v>1.8038545103130882E-2</v>
      </c>
      <c r="K29" s="12">
        <f t="shared" si="5"/>
        <v>2.6151840501716699E-2</v>
      </c>
    </row>
    <row r="30" spans="3:11" ht="26.25" customHeight="1" x14ac:dyDescent="0.15">
      <c r="C30" s="17">
        <v>4</v>
      </c>
      <c r="D30" s="17">
        <v>4</v>
      </c>
      <c r="E30" s="17">
        <v>2</v>
      </c>
      <c r="F30" s="9">
        <f t="shared" si="6"/>
        <v>1.1047302708982745</v>
      </c>
      <c r="G30" s="9">
        <f t="shared" si="7"/>
        <v>0.90519833333333344</v>
      </c>
      <c r="H30" s="34">
        <f t="shared" si="8"/>
        <v>58.876682187899448</v>
      </c>
      <c r="I30" s="34">
        <f t="shared" si="9"/>
        <v>117.7533643757989</v>
      </c>
      <c r="J30" s="45">
        <f t="shared" si="4"/>
        <v>1.8978592426623555E-2</v>
      </c>
      <c r="K30" s="12">
        <f t="shared" si="5"/>
        <v>2.7208317790538901E-2</v>
      </c>
    </row>
    <row r="31" spans="3:11" ht="26.25" customHeight="1" x14ac:dyDescent="0.15">
      <c r="C31" s="17">
        <v>6</v>
      </c>
      <c r="D31" s="17">
        <v>2</v>
      </c>
      <c r="E31" s="17">
        <v>0</v>
      </c>
      <c r="F31" s="9">
        <f t="shared" si="6"/>
        <v>1.1644879520577918</v>
      </c>
      <c r="G31" s="9">
        <f t="shared" si="7"/>
        <v>0.85874654025649511</v>
      </c>
      <c r="H31" s="34">
        <f t="shared" si="8"/>
        <v>64.470445535311072</v>
      </c>
      <c r="I31" s="34">
        <f t="shared" si="9"/>
        <v>128.94089107062214</v>
      </c>
      <c r="J31" s="45">
        <f t="shared" si="4"/>
        <v>2.3992762214487724E-2</v>
      </c>
      <c r="K31" s="12">
        <f t="shared" si="5"/>
        <v>3.2866258104550683E-2</v>
      </c>
    </row>
    <row r="32" spans="3:11" ht="26.25" customHeight="1" x14ac:dyDescent="0.15">
      <c r="C32" s="17">
        <v>5</v>
      </c>
      <c r="D32" s="17">
        <v>3</v>
      </c>
      <c r="E32" s="17">
        <v>3</v>
      </c>
      <c r="F32" s="9">
        <f t="shared" si="6"/>
        <v>1.2073668062251552</v>
      </c>
      <c r="G32" s="9">
        <f t="shared" si="7"/>
        <v>0.82824871020473911</v>
      </c>
      <c r="H32" s="34">
        <f t="shared" si="8"/>
        <v>69.32366895560989</v>
      </c>
      <c r="I32" s="34">
        <f t="shared" si="9"/>
        <v>138.64733791121978</v>
      </c>
      <c r="J32" s="45">
        <f t="shared" si="4"/>
        <v>3.0363704779680253E-2</v>
      </c>
      <c r="K32" s="12">
        <f t="shared" si="5"/>
        <v>4.0091660251992088E-2</v>
      </c>
    </row>
    <row r="33" spans="3:11" ht="26.25" customHeight="1" x14ac:dyDescent="0.15">
      <c r="C33" s="17">
        <v>6</v>
      </c>
      <c r="D33" s="17">
        <v>2</v>
      </c>
      <c r="E33" s="17">
        <v>2</v>
      </c>
      <c r="F33" s="9">
        <f t="shared" si="6"/>
        <v>1.2213252677057513</v>
      </c>
      <c r="G33" s="9">
        <f t="shared" si="7"/>
        <v>0.81878269977865203</v>
      </c>
      <c r="H33" s="34">
        <f t="shared" si="8"/>
        <v>71.156869508055024</v>
      </c>
      <c r="I33" s="34">
        <f t="shared" si="9"/>
        <v>142.31373901611005</v>
      </c>
      <c r="J33" s="45">
        <f t="shared" si="4"/>
        <v>3.3578173634040295E-2</v>
      </c>
      <c r="K33" s="12">
        <f t="shared" si="5"/>
        <v>4.3746900434442876E-2</v>
      </c>
    </row>
    <row r="34" spans="3:11" ht="26.25" customHeight="1" x14ac:dyDescent="0.15">
      <c r="C34" s="17">
        <v>4</v>
      </c>
      <c r="D34" s="17">
        <v>4</v>
      </c>
      <c r="E34" s="17">
        <v>4</v>
      </c>
      <c r="F34" s="9">
        <f t="shared" si="6"/>
        <v>1.275632638570094</v>
      </c>
      <c r="G34" s="9">
        <f t="shared" si="7"/>
        <v>0.7839247521300009</v>
      </c>
      <c r="H34" s="34">
        <f t="shared" si="8"/>
        <v>81.298242460963706</v>
      </c>
      <c r="I34" s="34">
        <f t="shared" si="9"/>
        <v>162.59648492192741</v>
      </c>
      <c r="J34" s="45">
        <f t="shared" si="4"/>
        <v>7.4870559029413614E-2</v>
      </c>
      <c r="K34" s="12">
        <f t="shared" si="5"/>
        <v>9.0904821302059541E-2</v>
      </c>
    </row>
    <row r="35" spans="3:11" ht="26.25" customHeight="1" x14ac:dyDescent="0.15">
      <c r="C35" s="17">
        <v>5</v>
      </c>
      <c r="D35" s="17">
        <v>5</v>
      </c>
      <c r="E35" s="17">
        <v>1</v>
      </c>
      <c r="F35" s="9">
        <f t="shared" si="6"/>
        <v>1.3148920270774636</v>
      </c>
      <c r="G35" s="9">
        <f t="shared" si="7"/>
        <v>0.76051871895720868</v>
      </c>
      <c r="H35" s="34" t="e">
        <f t="shared" si="8"/>
        <v>#NUM!</v>
      </c>
      <c r="I35" s="34" t="e">
        <f t="shared" si="9"/>
        <v>#NUM!</v>
      </c>
      <c r="J35" s="45" t="e">
        <f t="shared" si="4"/>
        <v>#NUM!</v>
      </c>
      <c r="K35" s="12" t="e">
        <f t="shared" si="5"/>
        <v>#NUM!</v>
      </c>
    </row>
    <row r="36" spans="3:11" ht="26.25" customHeight="1" x14ac:dyDescent="0.15">
      <c r="C36" s="17">
        <v>7</v>
      </c>
      <c r="D36" s="17">
        <v>1</v>
      </c>
      <c r="E36" s="17">
        <v>1</v>
      </c>
      <c r="F36" s="9">
        <f t="shared" si="6"/>
        <v>1.3148920270774636</v>
      </c>
      <c r="G36" s="9">
        <f t="shared" si="7"/>
        <v>0.76051871895720868</v>
      </c>
      <c r="H36" s="34" t="e">
        <f t="shared" si="8"/>
        <v>#NUM!</v>
      </c>
      <c r="I36" s="34" t="e">
        <f t="shared" si="9"/>
        <v>#NUM!</v>
      </c>
      <c r="J36" s="45" t="e">
        <f t="shared" si="4"/>
        <v>#NUM!</v>
      </c>
      <c r="K36" s="12" t="e">
        <f t="shared" si="5"/>
        <v>#NUM!</v>
      </c>
    </row>
    <row r="37" spans="3:11" ht="26.25" customHeight="1" x14ac:dyDescent="0.15">
      <c r="C37" s="17">
        <v>6</v>
      </c>
      <c r="D37" s="17">
        <v>4</v>
      </c>
      <c r="E37" s="17">
        <v>2</v>
      </c>
      <c r="F37" s="9">
        <f t="shared" si="6"/>
        <v>1.3778407261664356</v>
      </c>
      <c r="G37" s="9">
        <f t="shared" si="7"/>
        <v>0.72577329223117004</v>
      </c>
      <c r="H37" s="34" t="e">
        <f t="shared" si="8"/>
        <v>#NUM!</v>
      </c>
      <c r="I37" s="34" t="e">
        <f t="shared" si="9"/>
        <v>#NUM!</v>
      </c>
      <c r="J37" s="45" t="e">
        <f t="shared" si="4"/>
        <v>#NUM!</v>
      </c>
      <c r="K37" s="12" t="e">
        <f t="shared" si="5"/>
        <v>#NUM!</v>
      </c>
    </row>
    <row r="38" spans="3:11" ht="26.25" customHeight="1" x14ac:dyDescent="0.15">
      <c r="C38" s="17">
        <v>7</v>
      </c>
      <c r="D38" s="17">
        <v>3</v>
      </c>
      <c r="E38" s="17">
        <v>1</v>
      </c>
      <c r="F38" s="9">
        <f t="shared" si="6"/>
        <v>1.4142657038086697</v>
      </c>
      <c r="G38" s="9">
        <f t="shared" si="7"/>
        <v>0.70708071142994078</v>
      </c>
      <c r="H38" s="34" t="e">
        <f t="shared" si="8"/>
        <v>#NUM!</v>
      </c>
      <c r="I38" s="34" t="e">
        <f t="shared" si="9"/>
        <v>#NUM!</v>
      </c>
      <c r="J38" s="45" t="e">
        <f t="shared" si="4"/>
        <v>#NUM!</v>
      </c>
      <c r="K38" s="12" t="e">
        <f t="shared" si="5"/>
        <v>#NUM!</v>
      </c>
    </row>
    <row r="39" spans="3:11" ht="26.25" customHeight="1" x14ac:dyDescent="0.15">
      <c r="C39" s="17">
        <v>5</v>
      </c>
      <c r="D39" s="17">
        <v>5</v>
      </c>
      <c r="E39" s="17">
        <v>3</v>
      </c>
      <c r="F39" s="9">
        <f t="shared" si="6"/>
        <v>1.4142657038086697</v>
      </c>
      <c r="G39" s="9">
        <f t="shared" si="7"/>
        <v>0.70708071142994078</v>
      </c>
      <c r="H39" s="34" t="e">
        <f t="shared" si="8"/>
        <v>#NUM!</v>
      </c>
      <c r="I39" s="34" t="e">
        <f t="shared" si="9"/>
        <v>#NUM!</v>
      </c>
      <c r="J39" s="45" t="e">
        <f t="shared" si="4"/>
        <v>#NUM!</v>
      </c>
      <c r="K39" s="12" t="e">
        <f t="shared" si="5"/>
        <v>#NUM!</v>
      </c>
    </row>
    <row r="40" spans="3:11" ht="26.25" customHeight="1" x14ac:dyDescent="0.15">
      <c r="C40" s="17">
        <v>8</v>
      </c>
      <c r="D40" s="17">
        <v>0</v>
      </c>
      <c r="E40" s="17">
        <v>0</v>
      </c>
      <c r="F40" s="9">
        <f t="shared" si="6"/>
        <v>1.4729736945310328</v>
      </c>
      <c r="G40" s="9">
        <f t="shared" si="7"/>
        <v>0.67889875</v>
      </c>
      <c r="H40" s="34" t="e">
        <f t="shared" si="8"/>
        <v>#NUM!</v>
      </c>
      <c r="I40" s="34" t="e">
        <f t="shared" si="9"/>
        <v>#NUM!</v>
      </c>
      <c r="J40" s="45" t="e">
        <f t="shared" si="4"/>
        <v>#NUM!</v>
      </c>
      <c r="K40" s="12" t="e">
        <f t="shared" si="5"/>
        <v>#NUM!</v>
      </c>
    </row>
    <row r="41" spans="3:11" ht="26.25" customHeight="1" x14ac:dyDescent="0.15">
      <c r="C41" s="17">
        <v>7</v>
      </c>
      <c r="D41" s="17">
        <v>3</v>
      </c>
      <c r="E41" s="17">
        <v>3</v>
      </c>
      <c r="F41" s="9">
        <f t="shared" si="6"/>
        <v>1.5071011641780991</v>
      </c>
      <c r="G41" s="9">
        <f t="shared" si="7"/>
        <v>0.66352546449352134</v>
      </c>
      <c r="H41" s="34" t="e">
        <f t="shared" si="8"/>
        <v>#NUM!</v>
      </c>
      <c r="I41" s="34" t="e">
        <f t="shared" si="9"/>
        <v>#NUM!</v>
      </c>
      <c r="J41" s="45" t="e">
        <f t="shared" si="4"/>
        <v>#NUM!</v>
      </c>
      <c r="K41" s="12" t="e">
        <f t="shared" si="5"/>
        <v>#NUM!</v>
      </c>
    </row>
    <row r="42" spans="3:11" ht="26.25" customHeight="1" x14ac:dyDescent="0.15">
      <c r="C42" s="17">
        <v>6</v>
      </c>
      <c r="D42" s="17">
        <v>4</v>
      </c>
      <c r="E42" s="17">
        <v>4</v>
      </c>
      <c r="F42" s="9">
        <f t="shared" si="6"/>
        <v>1.5183065315769326</v>
      </c>
      <c r="G42" s="9">
        <f t="shared" si="7"/>
        <v>0.65862853067054072</v>
      </c>
      <c r="H42" s="34" t="e">
        <f t="shared" si="8"/>
        <v>#NUM!</v>
      </c>
      <c r="I42" s="34" t="e">
        <f t="shared" si="9"/>
        <v>#NUM!</v>
      </c>
      <c r="J42" s="45" t="e">
        <f t="shared" si="4"/>
        <v>#NUM!</v>
      </c>
      <c r="K42" s="12" t="e">
        <f t="shared" si="5"/>
        <v>#NUM!</v>
      </c>
    </row>
    <row r="43" spans="3:11" ht="26.25" customHeight="1" x14ac:dyDescent="0.15">
      <c r="C43" s="17">
        <v>6</v>
      </c>
      <c r="D43" s="17">
        <v>6</v>
      </c>
      <c r="E43" s="17">
        <v>0</v>
      </c>
      <c r="F43" s="9">
        <f t="shared" si="6"/>
        <v>1.5623245318684431</v>
      </c>
      <c r="G43" s="9">
        <f t="shared" si="7"/>
        <v>0.6400718798187609</v>
      </c>
      <c r="H43" s="34" t="e">
        <f t="shared" si="8"/>
        <v>#NUM!</v>
      </c>
      <c r="I43" s="34" t="e">
        <f t="shared" si="9"/>
        <v>#NUM!</v>
      </c>
      <c r="J43" s="45" t="e">
        <f t="shared" si="4"/>
        <v>#NUM!</v>
      </c>
      <c r="K43" s="12" t="e">
        <f t="shared" si="5"/>
        <v>#NUM!</v>
      </c>
    </row>
    <row r="44" spans="3:11" ht="26.25" customHeight="1" x14ac:dyDescent="0.15">
      <c r="C44" s="17">
        <v>8</v>
      </c>
      <c r="D44" s="17">
        <v>2</v>
      </c>
      <c r="E44" s="17">
        <v>2</v>
      </c>
      <c r="F44" s="9">
        <f t="shared" si="6"/>
        <v>1.5623245318684431</v>
      </c>
      <c r="G44" s="9">
        <f t="shared" si="7"/>
        <v>0.6400718798187609</v>
      </c>
      <c r="H44" s="34" t="e">
        <f t="shared" si="8"/>
        <v>#NUM!</v>
      </c>
      <c r="I44" s="34" t="e">
        <f t="shared" si="9"/>
        <v>#NUM!</v>
      </c>
      <c r="J44" s="45" t="e">
        <f t="shared" si="4"/>
        <v>#NUM!</v>
      </c>
      <c r="K44" s="12" t="e">
        <f t="shared" si="5"/>
        <v>#NUM!</v>
      </c>
    </row>
    <row r="45" spans="3:11" ht="26.25" customHeight="1" x14ac:dyDescent="0.15">
      <c r="C45" s="17">
        <v>5</v>
      </c>
      <c r="D45" s="17">
        <v>5</v>
      </c>
      <c r="E45" s="17">
        <v>5</v>
      </c>
      <c r="F45" s="9">
        <f t="shared" si="6"/>
        <v>1.5945407982126176</v>
      </c>
      <c r="G45" s="9">
        <f t="shared" si="7"/>
        <v>0.62713980170400074</v>
      </c>
      <c r="H45" s="34" t="e">
        <f t="shared" si="8"/>
        <v>#NUM!</v>
      </c>
      <c r="I45" s="34" t="e">
        <f t="shared" si="9"/>
        <v>#NUM!</v>
      </c>
      <c r="J45" s="45" t="e">
        <f t="shared" si="4"/>
        <v>#NUM!</v>
      </c>
      <c r="K45" s="12" t="e">
        <f t="shared" si="5"/>
        <v>#NUM!</v>
      </c>
    </row>
    <row r="46" spans="3:11" ht="26.25" customHeight="1" x14ac:dyDescent="0.15">
      <c r="C46" s="17">
        <v>7</v>
      </c>
      <c r="D46" s="17">
        <v>5</v>
      </c>
      <c r="E46" s="17">
        <v>1</v>
      </c>
      <c r="F46" s="9">
        <f t="shared" si="6"/>
        <v>1.5945407982126176</v>
      </c>
      <c r="G46" s="9">
        <f t="shared" si="7"/>
        <v>0.62713980170400074</v>
      </c>
      <c r="H46" s="34" t="e">
        <f t="shared" si="8"/>
        <v>#NUM!</v>
      </c>
      <c r="I46" s="34" t="e">
        <f t="shared" si="9"/>
        <v>#NUM!</v>
      </c>
      <c r="J46" s="45" t="e">
        <f t="shared" si="4"/>
        <v>#NUM!</v>
      </c>
      <c r="K46" s="12" t="e">
        <f t="shared" si="5"/>
        <v>#NUM!</v>
      </c>
    </row>
    <row r="47" spans="3:11" ht="26.25" customHeight="1" x14ac:dyDescent="0.15">
      <c r="C47" s="17">
        <v>6</v>
      </c>
      <c r="D47" s="17">
        <v>6</v>
      </c>
      <c r="E47" s="17">
        <v>2</v>
      </c>
      <c r="F47" s="9">
        <f t="shared" si="6"/>
        <v>1.6051358702386302</v>
      </c>
      <c r="G47" s="9">
        <f t="shared" si="7"/>
        <v>0.62300021982022824</v>
      </c>
      <c r="H47" s="34" t="e">
        <f t="shared" si="8"/>
        <v>#NUM!</v>
      </c>
      <c r="I47" s="34" t="e">
        <f t="shared" si="9"/>
        <v>#NUM!</v>
      </c>
      <c r="J47" s="45" t="e">
        <f t="shared" si="4"/>
        <v>#NUM!</v>
      </c>
      <c r="K47" s="12" t="e">
        <f t="shared" si="5"/>
        <v>#NUM!</v>
      </c>
    </row>
    <row r="48" spans="3:11" ht="26.25" customHeight="1" x14ac:dyDescent="0.15">
      <c r="C48" s="17">
        <v>8</v>
      </c>
      <c r="D48" s="17">
        <v>4</v>
      </c>
      <c r="E48" s="17">
        <v>0</v>
      </c>
      <c r="F48" s="9">
        <f t="shared" si="6"/>
        <v>1.6468346550201998</v>
      </c>
      <c r="G48" s="9">
        <f t="shared" si="7"/>
        <v>0.60722550193585412</v>
      </c>
      <c r="H48" s="34" t="e">
        <f t="shared" si="8"/>
        <v>#NUM!</v>
      </c>
      <c r="I48" s="34" t="e">
        <f t="shared" si="9"/>
        <v>#NUM!</v>
      </c>
      <c r="J48" s="45" t="e">
        <f t="shared" si="4"/>
        <v>#NUM!</v>
      </c>
      <c r="K48" s="12" t="e">
        <f t="shared" si="5"/>
        <v>#NUM!</v>
      </c>
    </row>
    <row r="49" spans="3:11" ht="26.25" customHeight="1" x14ac:dyDescent="0.15">
      <c r="C49" s="17">
        <v>7</v>
      </c>
      <c r="D49" s="17">
        <v>5</v>
      </c>
      <c r="E49" s="17">
        <v>3</v>
      </c>
      <c r="F49" s="9">
        <f t="shared" si="6"/>
        <v>1.6774286259814699</v>
      </c>
      <c r="G49" s="9">
        <f t="shared" si="7"/>
        <v>0.59615055121340632</v>
      </c>
      <c r="H49" s="34" t="e">
        <f t="shared" si="8"/>
        <v>#NUM!</v>
      </c>
      <c r="I49" s="34" t="e">
        <f t="shared" si="9"/>
        <v>#NUM!</v>
      </c>
      <c r="J49" s="45" t="e">
        <f t="shared" si="4"/>
        <v>#NUM!</v>
      </c>
      <c r="K49" s="12" t="e">
        <f t="shared" si="5"/>
        <v>#NUM!</v>
      </c>
    </row>
    <row r="50" spans="3:11" ht="26.25" customHeight="1" x14ac:dyDescent="0.15">
      <c r="C50" s="17">
        <v>9</v>
      </c>
      <c r="D50" s="17">
        <v>1</v>
      </c>
      <c r="E50" s="17">
        <v>1</v>
      </c>
      <c r="F50" s="9">
        <f t="shared" si="6"/>
        <v>1.6774286259814699</v>
      </c>
      <c r="G50" s="9">
        <f t="shared" si="7"/>
        <v>0.59615055121340632</v>
      </c>
      <c r="H50" s="34" t="e">
        <f t="shared" si="8"/>
        <v>#NUM!</v>
      </c>
      <c r="I50" s="34" t="e">
        <f t="shared" si="9"/>
        <v>#NUM!</v>
      </c>
      <c r="J50" s="45" t="e">
        <f t="shared" si="4"/>
        <v>#NUM!</v>
      </c>
      <c r="K50" s="12" t="e">
        <f t="shared" si="5"/>
        <v>#NUM!</v>
      </c>
    </row>
    <row r="51" spans="3:11" ht="26.25" customHeight="1" x14ac:dyDescent="0.15">
      <c r="C51" s="17">
        <v>8</v>
      </c>
      <c r="D51" s="17">
        <v>4</v>
      </c>
      <c r="E51" s="17">
        <v>2</v>
      </c>
      <c r="F51" s="9">
        <f t="shared" si="6"/>
        <v>1.6875033629668046</v>
      </c>
      <c r="G51" s="9">
        <f t="shared" si="7"/>
        <v>0.59259141163540974</v>
      </c>
      <c r="H51" s="34" t="e">
        <f t="shared" si="8"/>
        <v>#NUM!</v>
      </c>
      <c r="I51" s="34" t="e">
        <f t="shared" si="9"/>
        <v>#NUM!</v>
      </c>
      <c r="J51" s="45" t="e">
        <f t="shared" si="4"/>
        <v>#NUM!</v>
      </c>
      <c r="K51" s="12" t="e">
        <f t="shared" si="5"/>
        <v>#NUM!</v>
      </c>
    </row>
    <row r="52" spans="3:11" ht="26.25" customHeight="1" x14ac:dyDescent="0.15">
      <c r="C52" s="17">
        <v>6</v>
      </c>
      <c r="D52" s="17">
        <v>6</v>
      </c>
      <c r="E52" s="17">
        <v>4</v>
      </c>
      <c r="F52" s="9">
        <f t="shared" si="6"/>
        <v>1.7272147576584247</v>
      </c>
      <c r="G52" s="9">
        <f t="shared" si="7"/>
        <v>0.57896679933171391</v>
      </c>
      <c r="H52" s="34" t="e">
        <f t="shared" si="8"/>
        <v>#NUM!</v>
      </c>
      <c r="I52" s="34" t="e">
        <f t="shared" si="9"/>
        <v>#NUM!</v>
      </c>
      <c r="J52" s="45" t="e">
        <f t="shared" si="4"/>
        <v>#NUM!</v>
      </c>
      <c r="K52" s="12" t="e">
        <f t="shared" si="5"/>
        <v>#NUM!</v>
      </c>
    </row>
    <row r="53" spans="3:11" ht="26.25" customHeight="1" x14ac:dyDescent="0.15">
      <c r="C53" s="17">
        <v>9</v>
      </c>
      <c r="D53" s="17">
        <v>3</v>
      </c>
      <c r="E53" s="17">
        <v>1</v>
      </c>
      <c r="F53" s="9">
        <f t="shared" si="6"/>
        <v>1.756409187336377</v>
      </c>
      <c r="G53" s="9">
        <f t="shared" si="7"/>
        <v>0.5693434122355715</v>
      </c>
      <c r="H53" s="34" t="e">
        <f t="shared" si="8"/>
        <v>#NUM!</v>
      </c>
      <c r="I53" s="34" t="e">
        <f t="shared" si="9"/>
        <v>#NUM!</v>
      </c>
      <c r="J53" s="45" t="e">
        <f t="shared" si="4"/>
        <v>#NUM!</v>
      </c>
      <c r="K53" s="12" t="e">
        <f t="shared" si="5"/>
        <v>#NUM!</v>
      </c>
    </row>
    <row r="54" spans="3:11" ht="26.25" customHeight="1" x14ac:dyDescent="0.15">
      <c r="C54" s="17">
        <v>8</v>
      </c>
      <c r="D54" s="17">
        <v>4</v>
      </c>
      <c r="E54" s="17">
        <v>4</v>
      </c>
      <c r="F54" s="9">
        <f t="shared" si="6"/>
        <v>1.8040169780716035</v>
      </c>
      <c r="G54" s="9">
        <f t="shared" si="7"/>
        <v>0.55431850817110706</v>
      </c>
      <c r="H54" s="34" t="e">
        <f t="shared" si="8"/>
        <v>#NUM!</v>
      </c>
      <c r="I54" s="34" t="e">
        <f t="shared" si="9"/>
        <v>#NUM!</v>
      </c>
      <c r="J54" s="45" t="e">
        <f t="shared" si="4"/>
        <v>#NUM!</v>
      </c>
      <c r="K54" s="12" t="e">
        <f t="shared" si="5"/>
        <v>#NUM!</v>
      </c>
    </row>
    <row r="55" spans="3:11" ht="26.25" customHeight="1" x14ac:dyDescent="0.15">
      <c r="C55" s="17">
        <v>7</v>
      </c>
      <c r="D55" s="17">
        <v>5</v>
      </c>
      <c r="E55" s="17">
        <v>5</v>
      </c>
      <c r="F55" s="9">
        <f t="shared" si="6"/>
        <v>1.8319879015586269</v>
      </c>
      <c r="G55" s="9">
        <f t="shared" si="7"/>
        <v>0.54585513318576806</v>
      </c>
      <c r="H55" s="34" t="e">
        <f t="shared" si="8"/>
        <v>#NUM!</v>
      </c>
      <c r="I55" s="34" t="e">
        <f t="shared" si="9"/>
        <v>#NUM!</v>
      </c>
      <c r="J55" s="45" t="e">
        <f t="shared" si="4"/>
        <v>#NUM!</v>
      </c>
      <c r="K55" s="12" t="e">
        <f t="shared" si="5"/>
        <v>#NUM!</v>
      </c>
    </row>
    <row r="56" spans="3:11" ht="26.25" customHeight="1" x14ac:dyDescent="0.15">
      <c r="C56" s="17">
        <v>7</v>
      </c>
      <c r="D56" s="17">
        <v>7</v>
      </c>
      <c r="E56" s="17">
        <v>1</v>
      </c>
      <c r="F56" s="9">
        <f t="shared" si="6"/>
        <v>1.8319879015586269</v>
      </c>
      <c r="G56" s="9">
        <f t="shared" si="7"/>
        <v>0.54585513318576806</v>
      </c>
      <c r="H56" s="34" t="e">
        <f t="shared" si="8"/>
        <v>#NUM!</v>
      </c>
      <c r="I56" s="34" t="e">
        <f t="shared" si="9"/>
        <v>#NUM!</v>
      </c>
      <c r="J56" s="45" t="e">
        <f t="shared" si="4"/>
        <v>#NUM!</v>
      </c>
      <c r="K56" s="12" t="e">
        <f t="shared" si="5"/>
        <v>#NUM!</v>
      </c>
    </row>
    <row r="57" spans="3:11" ht="26.25" customHeight="1" x14ac:dyDescent="0.15">
      <c r="C57" s="17">
        <v>9</v>
      </c>
      <c r="D57" s="17">
        <v>3</v>
      </c>
      <c r="E57" s="17">
        <v>3</v>
      </c>
      <c r="F57" s="9">
        <f t="shared" si="6"/>
        <v>1.8319879015586271</v>
      </c>
      <c r="G57" s="9">
        <f t="shared" si="7"/>
        <v>0.54585513318576795</v>
      </c>
      <c r="H57" s="34" t="e">
        <f t="shared" si="8"/>
        <v>#NUM!</v>
      </c>
      <c r="I57" s="34" t="e">
        <f t="shared" si="9"/>
        <v>#NUM!</v>
      </c>
      <c r="J57" s="45" t="e">
        <f t="shared" si="4"/>
        <v>#NUM!</v>
      </c>
      <c r="K57" s="12" t="e">
        <f t="shared" si="5"/>
        <v>#NUM!</v>
      </c>
    </row>
    <row r="58" spans="3:11" ht="26.25" customHeight="1" x14ac:dyDescent="0.15">
      <c r="C58" s="17">
        <v>8</v>
      </c>
      <c r="D58" s="17">
        <v>6</v>
      </c>
      <c r="E58" s="17">
        <v>2</v>
      </c>
      <c r="F58" s="9">
        <f t="shared" si="6"/>
        <v>1.8776804028556484</v>
      </c>
      <c r="G58" s="9">
        <f t="shared" si="7"/>
        <v>0.53257199600057692</v>
      </c>
      <c r="H58" s="34" t="e">
        <f t="shared" si="8"/>
        <v>#NUM!</v>
      </c>
      <c r="I58" s="34" t="e">
        <f t="shared" si="9"/>
        <v>#NUM!</v>
      </c>
      <c r="J58" s="45" t="e">
        <f t="shared" si="4"/>
        <v>#NUM!</v>
      </c>
      <c r="K58" s="12" t="e">
        <f t="shared" si="5"/>
        <v>#NUM!</v>
      </c>
    </row>
    <row r="59" spans="3:11" ht="26.25" customHeight="1" x14ac:dyDescent="0.15">
      <c r="C59" s="17">
        <v>10</v>
      </c>
      <c r="D59" s="17">
        <v>2</v>
      </c>
      <c r="E59" s="17">
        <v>0</v>
      </c>
      <c r="F59" s="9">
        <f t="shared" si="6"/>
        <v>1.8776804028556484</v>
      </c>
      <c r="G59" s="9">
        <f t="shared" si="7"/>
        <v>0.53257199600057692</v>
      </c>
      <c r="H59" s="34" t="e">
        <f t="shared" si="8"/>
        <v>#NUM!</v>
      </c>
      <c r="I59" s="34" t="e">
        <f t="shared" si="9"/>
        <v>#NUM!</v>
      </c>
      <c r="J59" s="45" t="e">
        <f t="shared" si="4"/>
        <v>#NUM!</v>
      </c>
      <c r="K59" s="12" t="e">
        <f t="shared" si="5"/>
        <v>#NUM!</v>
      </c>
    </row>
    <row r="60" spans="3:11" ht="26.25" customHeight="1" x14ac:dyDescent="0.15">
      <c r="C60" s="17">
        <v>7</v>
      </c>
      <c r="D60" s="17">
        <v>7</v>
      </c>
      <c r="E60" s="17">
        <v>3</v>
      </c>
      <c r="F60" s="9">
        <f t="shared" si="6"/>
        <v>1.9045697964513486</v>
      </c>
      <c r="G60" s="9">
        <f t="shared" si="7"/>
        <v>0.52505295519399175</v>
      </c>
      <c r="H60" s="34" t="e">
        <f t="shared" si="8"/>
        <v>#NUM!</v>
      </c>
      <c r="I60" s="34" t="e">
        <f t="shared" si="9"/>
        <v>#NUM!</v>
      </c>
      <c r="J60" s="45" t="e">
        <f t="shared" si="4"/>
        <v>#NUM!</v>
      </c>
      <c r="K60" s="12" t="e">
        <f t="shared" si="5"/>
        <v>#NUM!</v>
      </c>
    </row>
    <row r="61" spans="3:11" ht="26.25" customHeight="1" x14ac:dyDescent="0.15">
      <c r="C61" s="17">
        <v>9</v>
      </c>
      <c r="D61" s="17">
        <v>5</v>
      </c>
      <c r="E61" s="17">
        <v>1</v>
      </c>
      <c r="F61" s="9">
        <f t="shared" si="6"/>
        <v>1.9045697964513488</v>
      </c>
      <c r="G61" s="9">
        <f t="shared" si="7"/>
        <v>0.52505295519399175</v>
      </c>
      <c r="H61" s="34" t="e">
        <f t="shared" si="8"/>
        <v>#NUM!</v>
      </c>
      <c r="I61" s="34" t="e">
        <f t="shared" si="9"/>
        <v>#NUM!</v>
      </c>
      <c r="J61" s="45" t="e">
        <f t="shared" si="4"/>
        <v>#NUM!</v>
      </c>
      <c r="K61" s="12" t="e">
        <f t="shared" si="5"/>
        <v>#NUM!</v>
      </c>
    </row>
    <row r="62" spans="3:11" ht="26.25" customHeight="1" x14ac:dyDescent="0.15">
      <c r="C62" s="17">
        <v>6</v>
      </c>
      <c r="D62" s="17">
        <v>6</v>
      </c>
      <c r="E62" s="17">
        <v>6</v>
      </c>
      <c r="F62" s="9">
        <f t="shared" si="6"/>
        <v>1.913448957855141</v>
      </c>
      <c r="G62" s="9">
        <f t="shared" si="7"/>
        <v>0.5226165014200006</v>
      </c>
      <c r="H62" s="34" t="e">
        <f t="shared" si="8"/>
        <v>#NUM!</v>
      </c>
      <c r="I62" s="34" t="e">
        <f t="shared" si="9"/>
        <v>#NUM!</v>
      </c>
      <c r="J62" s="45" t="e">
        <f t="shared" si="4"/>
        <v>#NUM!</v>
      </c>
      <c r="K62" s="12" t="e">
        <f t="shared" si="5"/>
        <v>#NUM!</v>
      </c>
    </row>
    <row r="63" spans="3:11" ht="26.25" customHeight="1" x14ac:dyDescent="0.15">
      <c r="C63" s="17">
        <v>10</v>
      </c>
      <c r="D63" s="17">
        <v>2</v>
      </c>
      <c r="E63" s="17">
        <v>2</v>
      </c>
      <c r="F63" s="9">
        <f t="shared" si="6"/>
        <v>1.913448957855141</v>
      </c>
      <c r="G63" s="9">
        <f t="shared" si="7"/>
        <v>0.5226165014200006</v>
      </c>
      <c r="H63" s="34" t="e">
        <f t="shared" si="8"/>
        <v>#NUM!</v>
      </c>
      <c r="I63" s="34" t="e">
        <f t="shared" si="9"/>
        <v>#NUM!</v>
      </c>
      <c r="J63" s="45" t="e">
        <f t="shared" si="4"/>
        <v>#NUM!</v>
      </c>
      <c r="K63" s="12" t="e">
        <f t="shared" si="5"/>
        <v>#NUM!</v>
      </c>
    </row>
    <row r="64" spans="3:11" ht="26.25" customHeight="1" x14ac:dyDescent="0.15">
      <c r="C64" s="17">
        <v>9</v>
      </c>
      <c r="D64" s="17">
        <v>5</v>
      </c>
      <c r="E64" s="17">
        <v>3</v>
      </c>
      <c r="F64" s="9">
        <f t="shared" si="6"/>
        <v>1.9744853880574256</v>
      </c>
      <c r="G64" s="9">
        <f t="shared" si="7"/>
        <v>0.50646107894667092</v>
      </c>
      <c r="H64" s="34" t="e">
        <f t="shared" si="8"/>
        <v>#NUM!</v>
      </c>
      <c r="I64" s="34" t="e">
        <f t="shared" si="9"/>
        <v>#NUM!</v>
      </c>
      <c r="J64" s="45" t="e">
        <f t="shared" si="4"/>
        <v>#NUM!</v>
      </c>
      <c r="K64" s="12" t="e">
        <f t="shared" si="5"/>
        <v>#NUM!</v>
      </c>
    </row>
    <row r="65" spans="3:11" ht="26.25" customHeight="1" x14ac:dyDescent="0.15">
      <c r="C65" s="17">
        <v>8</v>
      </c>
      <c r="D65" s="17">
        <v>6</v>
      </c>
      <c r="E65" s="17">
        <v>4</v>
      </c>
      <c r="F65" s="9">
        <f t="shared" si="6"/>
        <v>1.9830515254058518</v>
      </c>
      <c r="G65" s="9">
        <f t="shared" si="7"/>
        <v>0.50427333187691115</v>
      </c>
      <c r="H65" s="34" t="e">
        <f t="shared" si="8"/>
        <v>#NUM!</v>
      </c>
      <c r="I65" s="34" t="e">
        <f t="shared" si="9"/>
        <v>#NUM!</v>
      </c>
      <c r="J65" s="45" t="e">
        <f t="shared" si="4"/>
        <v>#NUM!</v>
      </c>
      <c r="K65" s="12" t="e">
        <f t="shared" si="5"/>
        <v>#NUM!</v>
      </c>
    </row>
    <row r="66" spans="3:11" ht="26.25" customHeight="1" x14ac:dyDescent="0.15">
      <c r="C66" s="17">
        <v>10</v>
      </c>
      <c r="D66" s="17">
        <v>4</v>
      </c>
      <c r="E66" s="17">
        <v>2</v>
      </c>
      <c r="F66" s="9">
        <f t="shared" si="6"/>
        <v>2.0169522977659264</v>
      </c>
      <c r="G66" s="9">
        <f t="shared" si="7"/>
        <v>0.49579754618274718</v>
      </c>
      <c r="H66" s="34" t="e">
        <f t="shared" si="8"/>
        <v>#NUM!</v>
      </c>
      <c r="I66" s="34" t="e">
        <f t="shared" si="9"/>
        <v>#NUM!</v>
      </c>
      <c r="J66" s="45" t="e">
        <f t="shared" si="4"/>
        <v>#NUM!</v>
      </c>
      <c r="K66" s="12" t="e">
        <f t="shared" si="5"/>
        <v>#NUM!</v>
      </c>
    </row>
    <row r="67" spans="3:11" ht="26.25" customHeight="1" x14ac:dyDescent="0.15">
      <c r="C67" s="17">
        <v>7</v>
      </c>
      <c r="D67" s="17">
        <v>7</v>
      </c>
      <c r="E67" s="17">
        <v>5</v>
      </c>
      <c r="F67" s="9">
        <f t="shared" si="6"/>
        <v>2.0420085665221466</v>
      </c>
      <c r="G67" s="9">
        <f t="shared" si="7"/>
        <v>0.48971391031094114</v>
      </c>
      <c r="H67" s="34" t="e">
        <f t="shared" si="8"/>
        <v>#NUM!</v>
      </c>
      <c r="I67" s="34" t="e">
        <f t="shared" si="9"/>
        <v>#NUM!</v>
      </c>
      <c r="J67" s="45" t="e">
        <f t="shared" si="4"/>
        <v>#NUM!</v>
      </c>
      <c r="K67" s="12" t="e">
        <f t="shared" si="5"/>
        <v>#NUM!</v>
      </c>
    </row>
    <row r="68" spans="3:11" ht="26.25" customHeight="1" x14ac:dyDescent="0.15">
      <c r="C68" s="17">
        <v>11</v>
      </c>
      <c r="D68" s="17">
        <v>1</v>
      </c>
      <c r="E68" s="17">
        <v>1</v>
      </c>
      <c r="F68" s="9">
        <f t="shared" si="6"/>
        <v>2.0420085665221466</v>
      </c>
      <c r="G68" s="9">
        <f t="shared" si="7"/>
        <v>0.48971391031094114</v>
      </c>
      <c r="H68" s="34" t="e">
        <f t="shared" si="8"/>
        <v>#NUM!</v>
      </c>
      <c r="I68" s="34" t="e">
        <f t="shared" si="9"/>
        <v>#NUM!</v>
      </c>
      <c r="J68" s="45" t="e">
        <f t="shared" si="4"/>
        <v>#NUM!</v>
      </c>
      <c r="K68" s="12" t="e">
        <f t="shared" si="5"/>
        <v>#NUM!</v>
      </c>
    </row>
    <row r="69" spans="3:11" ht="26.25" customHeight="1" x14ac:dyDescent="0.15">
      <c r="C69" s="17">
        <v>8</v>
      </c>
      <c r="D69" s="17">
        <v>8</v>
      </c>
      <c r="E69" s="17">
        <v>0</v>
      </c>
      <c r="F69" s="9">
        <f t="shared" si="6"/>
        <v>2.0830993758245908</v>
      </c>
      <c r="G69" s="9">
        <f t="shared" si="7"/>
        <v>0.48005390986407065</v>
      </c>
      <c r="H69" s="34" t="e">
        <f t="shared" si="8"/>
        <v>#NUM!</v>
      </c>
      <c r="I69" s="34" t="e">
        <f t="shared" si="9"/>
        <v>#NUM!</v>
      </c>
      <c r="J69" s="45" t="e">
        <f t="shared" si="4"/>
        <v>#NUM!</v>
      </c>
      <c r="K69" s="12" t="e">
        <f t="shared" si="5"/>
        <v>#NUM!</v>
      </c>
    </row>
    <row r="70" spans="3:11" ht="26.25" customHeight="1" x14ac:dyDescent="0.15">
      <c r="C70" s="17">
        <v>9</v>
      </c>
      <c r="D70" s="17">
        <v>7</v>
      </c>
      <c r="E70" s="17">
        <v>1</v>
      </c>
      <c r="F70" s="9">
        <f t="shared" si="6"/>
        <v>2.1073693135868194</v>
      </c>
      <c r="G70" s="9">
        <f t="shared" si="7"/>
        <v>0.47452527354968621</v>
      </c>
      <c r="H70" s="34" t="e">
        <f t="shared" si="8"/>
        <v>#NUM!</v>
      </c>
      <c r="I70" s="34" t="e">
        <f t="shared" si="9"/>
        <v>#NUM!</v>
      </c>
      <c r="J70" s="45" t="e">
        <f t="shared" si="4"/>
        <v>#NUM!</v>
      </c>
      <c r="K70" s="12" t="e">
        <f t="shared" si="5"/>
        <v>#NUM!</v>
      </c>
    </row>
    <row r="71" spans="3:11" ht="26.25" customHeight="1" x14ac:dyDescent="0.15">
      <c r="C71" s="17">
        <v>9</v>
      </c>
      <c r="D71" s="17">
        <v>5</v>
      </c>
      <c r="E71" s="17">
        <v>5</v>
      </c>
      <c r="F71" s="9">
        <f t="shared" si="6"/>
        <v>2.1073693135868194</v>
      </c>
      <c r="G71" s="9">
        <f t="shared" si="7"/>
        <v>0.47452527354968621</v>
      </c>
      <c r="H71" s="34" t="e">
        <f t="shared" si="8"/>
        <v>#NUM!</v>
      </c>
      <c r="I71" s="34" t="e">
        <f t="shared" si="9"/>
        <v>#NUM!</v>
      </c>
      <c r="J71" s="45" t="e">
        <f t="shared" si="4"/>
        <v>#NUM!</v>
      </c>
      <c r="K71" s="12" t="e">
        <f t="shared" si="5"/>
        <v>#NUM!</v>
      </c>
    </row>
    <row r="72" spans="3:11" ht="26.25" customHeight="1" x14ac:dyDescent="0.15">
      <c r="C72" s="17">
        <v>11</v>
      </c>
      <c r="D72" s="17">
        <v>3</v>
      </c>
      <c r="E72" s="17">
        <v>1</v>
      </c>
      <c r="F72" s="9">
        <f t="shared" si="6"/>
        <v>2.107369313586819</v>
      </c>
      <c r="G72" s="9">
        <f t="shared" si="7"/>
        <v>0.47452527354968632</v>
      </c>
      <c r="H72" s="34" t="e">
        <f t="shared" si="8"/>
        <v>#NUM!</v>
      </c>
      <c r="I72" s="34" t="e">
        <f t="shared" si="9"/>
        <v>#NUM!</v>
      </c>
      <c r="J72" s="45" t="e">
        <f t="shared" si="4"/>
        <v>#NUM!</v>
      </c>
      <c r="K72" s="12" t="e">
        <f t="shared" si="5"/>
        <v>#NUM!</v>
      </c>
    </row>
    <row r="73" spans="3:11" ht="26.25" customHeight="1" x14ac:dyDescent="0.15">
      <c r="C73" s="17">
        <v>8</v>
      </c>
      <c r="D73" s="17">
        <v>8</v>
      </c>
      <c r="E73" s="17">
        <v>2</v>
      </c>
      <c r="F73" s="9">
        <f t="shared" si="6"/>
        <v>2.1153974162340217</v>
      </c>
      <c r="G73" s="9">
        <f t="shared" si="7"/>
        <v>0.47272441212501332</v>
      </c>
      <c r="H73" s="34" t="e">
        <f t="shared" si="8"/>
        <v>#NUM!</v>
      </c>
      <c r="I73" s="34" t="e">
        <f t="shared" si="9"/>
        <v>#NUM!</v>
      </c>
      <c r="J73" s="45" t="e">
        <f t="shared" si="4"/>
        <v>#NUM!</v>
      </c>
      <c r="K73" s="12" t="e">
        <f t="shared" si="5"/>
        <v>#NUM!</v>
      </c>
    </row>
    <row r="74" spans="3:11" ht="26.25" customHeight="1" x14ac:dyDescent="0.15">
      <c r="C74" s="17">
        <v>10</v>
      </c>
      <c r="D74" s="17">
        <v>4</v>
      </c>
      <c r="E74" s="17">
        <v>4</v>
      </c>
      <c r="F74" s="9">
        <f t="shared" si="6"/>
        <v>2.1153974162340217</v>
      </c>
      <c r="G74" s="9">
        <f t="shared" si="7"/>
        <v>0.47272441212501332</v>
      </c>
      <c r="H74" s="34" t="e">
        <f t="shared" si="8"/>
        <v>#NUM!</v>
      </c>
      <c r="I74" s="34" t="e">
        <f t="shared" si="9"/>
        <v>#NUM!</v>
      </c>
      <c r="J74" s="45" t="e">
        <f t="shared" si="4"/>
        <v>#NUM!</v>
      </c>
      <c r="K74" s="12" t="e">
        <f t="shared" si="5"/>
        <v>#NUM!</v>
      </c>
    </row>
    <row r="75" spans="3:11" ht="26.25" customHeight="1" x14ac:dyDescent="0.15">
      <c r="C75" s="17">
        <v>8</v>
      </c>
      <c r="D75" s="17">
        <v>6</v>
      </c>
      <c r="E75" s="17">
        <v>6</v>
      </c>
      <c r="F75" s="9">
        <f t="shared" si="6"/>
        <v>2.1472096887957521</v>
      </c>
      <c r="G75" s="9">
        <f t="shared" si="7"/>
        <v>0.46572070032007129</v>
      </c>
      <c r="H75" s="34" t="e">
        <f t="shared" si="8"/>
        <v>#NUM!</v>
      </c>
      <c r="I75" s="34" t="e">
        <f t="shared" si="9"/>
        <v>#NUM!</v>
      </c>
      <c r="J75" s="45" t="e">
        <f t="shared" si="4"/>
        <v>#NUM!</v>
      </c>
      <c r="K75" s="12" t="e">
        <f t="shared" si="5"/>
        <v>#NUM!</v>
      </c>
    </row>
    <row r="76" spans="3:11" ht="26.25" customHeight="1" x14ac:dyDescent="0.15">
      <c r="C76" s="17">
        <v>10</v>
      </c>
      <c r="D76" s="17">
        <v>6</v>
      </c>
      <c r="E76" s="17">
        <v>0</v>
      </c>
      <c r="F76" s="9">
        <f t="shared" si="6"/>
        <v>2.1472096887957521</v>
      </c>
      <c r="G76" s="9">
        <f t="shared" si="7"/>
        <v>0.46572070032007129</v>
      </c>
      <c r="H76" s="34" t="e">
        <f t="shared" si="8"/>
        <v>#NUM!</v>
      </c>
      <c r="I76" s="34" t="e">
        <f t="shared" si="9"/>
        <v>#NUM!</v>
      </c>
      <c r="J76" s="45" t="e">
        <f t="shared" si="4"/>
        <v>#NUM!</v>
      </c>
      <c r="K76" s="12" t="e">
        <f t="shared" si="5"/>
        <v>#NUM!</v>
      </c>
    </row>
    <row r="77" spans="3:11" ht="26.25" customHeight="1" x14ac:dyDescent="0.15">
      <c r="C77" s="17">
        <v>9</v>
      </c>
      <c r="D77" s="17">
        <v>7</v>
      </c>
      <c r="E77" s="17">
        <v>3</v>
      </c>
      <c r="F77" s="9">
        <f t="shared" si="6"/>
        <v>2.1707629677016631</v>
      </c>
      <c r="G77" s="9">
        <f t="shared" si="7"/>
        <v>0.46066752329885613</v>
      </c>
      <c r="H77" s="34" t="e">
        <f t="shared" si="8"/>
        <v>#NUM!</v>
      </c>
      <c r="I77" s="34" t="e">
        <f t="shared" si="9"/>
        <v>#NUM!</v>
      </c>
      <c r="J77" s="45" t="e">
        <f t="shared" si="4"/>
        <v>#NUM!</v>
      </c>
      <c r="K77" s="12" t="e">
        <f t="shared" si="5"/>
        <v>#NUM!</v>
      </c>
    </row>
    <row r="78" spans="3:11" ht="26.25" customHeight="1" x14ac:dyDescent="0.15">
      <c r="C78" s="17">
        <v>11</v>
      </c>
      <c r="D78" s="17">
        <v>3</v>
      </c>
      <c r="E78" s="17">
        <v>3</v>
      </c>
      <c r="F78" s="9">
        <f t="shared" si="6"/>
        <v>2.1707629677016627</v>
      </c>
      <c r="G78" s="9">
        <f t="shared" si="7"/>
        <v>0.46066752329885624</v>
      </c>
      <c r="H78" s="34" t="e">
        <f t="shared" si="8"/>
        <v>#NUM!</v>
      </c>
      <c r="I78" s="34" t="e">
        <f t="shared" si="9"/>
        <v>#NUM!</v>
      </c>
      <c r="J78" s="45" t="e">
        <f t="shared" ref="J78:J141" si="10">DEGREES(2*$F$9*F78/(2*COS(RADIANS(H78))))</f>
        <v>#NUM!</v>
      </c>
      <c r="K78" s="12" t="e">
        <f t="shared" ref="K78:K141" si="11">DEGREES((0.94*$D$9)/($L$6*10*COS(RADIANS(H78))))+J78+$G$9</f>
        <v>#NUM!</v>
      </c>
    </row>
    <row r="79" spans="3:11" ht="26.25" customHeight="1" x14ac:dyDescent="0.15">
      <c r="C79" s="17">
        <v>10</v>
      </c>
      <c r="D79" s="17">
        <v>6</v>
      </c>
      <c r="E79" s="17">
        <v>2</v>
      </c>
      <c r="F79" s="9">
        <f t="shared" si="6"/>
        <v>2.1785574738131479</v>
      </c>
      <c r="G79" s="9">
        <f t="shared" si="7"/>
        <v>0.45901933367389725</v>
      </c>
      <c r="H79" s="34" t="e">
        <f t="shared" si="8"/>
        <v>#NUM!</v>
      </c>
      <c r="I79" s="34" t="e">
        <f t="shared" si="9"/>
        <v>#NUM!</v>
      </c>
      <c r="J79" s="45" t="e">
        <f t="shared" si="10"/>
        <v>#NUM!</v>
      </c>
      <c r="K79" s="12" t="e">
        <f t="shared" si="11"/>
        <v>#NUM!</v>
      </c>
    </row>
    <row r="80" spans="3:11" ht="26.25" customHeight="1" x14ac:dyDescent="0.15">
      <c r="C80" s="17">
        <v>8</v>
      </c>
      <c r="D80" s="17">
        <v>8</v>
      </c>
      <c r="E80" s="17">
        <v>4</v>
      </c>
      <c r="F80" s="9">
        <f t="shared" si="6"/>
        <v>2.2094605417965489</v>
      </c>
      <c r="G80" s="9">
        <f t="shared" si="7"/>
        <v>0.45259916666666672</v>
      </c>
      <c r="H80" s="34" t="e">
        <f t="shared" si="8"/>
        <v>#NUM!</v>
      </c>
      <c r="I80" s="34" t="e">
        <f t="shared" si="9"/>
        <v>#NUM!</v>
      </c>
      <c r="J80" s="45" t="e">
        <f t="shared" si="10"/>
        <v>#NUM!</v>
      </c>
      <c r="K80" s="12" t="e">
        <f t="shared" si="11"/>
        <v>#NUM!</v>
      </c>
    </row>
    <row r="81" spans="3:11" ht="26.25" customHeight="1" x14ac:dyDescent="0.15">
      <c r="C81" s="17">
        <v>12</v>
      </c>
      <c r="D81" s="17">
        <v>0</v>
      </c>
      <c r="E81" s="17">
        <v>0</v>
      </c>
      <c r="F81" s="9">
        <f t="shared" si="6"/>
        <v>2.2094605417965489</v>
      </c>
      <c r="G81" s="9">
        <f t="shared" si="7"/>
        <v>0.45259916666666672</v>
      </c>
      <c r="H81" s="34" t="e">
        <f t="shared" si="8"/>
        <v>#NUM!</v>
      </c>
      <c r="I81" s="34" t="e">
        <f t="shared" si="9"/>
        <v>#NUM!</v>
      </c>
      <c r="J81" s="45" t="e">
        <f t="shared" si="10"/>
        <v>#NUM!</v>
      </c>
      <c r="K81" s="12" t="e">
        <f t="shared" si="11"/>
        <v>#NUM!</v>
      </c>
    </row>
    <row r="82" spans="3:11" ht="26.25" customHeight="1" x14ac:dyDescent="0.15">
      <c r="C82" s="17">
        <v>11</v>
      </c>
      <c r="D82" s="17">
        <v>5</v>
      </c>
      <c r="E82" s="17">
        <v>1</v>
      </c>
      <c r="F82" s="9">
        <f t="shared" si="6"/>
        <v>2.2323571174976644</v>
      </c>
      <c r="G82" s="9">
        <f t="shared" si="7"/>
        <v>0.44795700121714338</v>
      </c>
      <c r="H82" s="34" t="e">
        <f t="shared" si="8"/>
        <v>#NUM!</v>
      </c>
      <c r="I82" s="34" t="e">
        <f t="shared" si="9"/>
        <v>#NUM!</v>
      </c>
      <c r="J82" s="45" t="e">
        <f t="shared" si="10"/>
        <v>#NUM!</v>
      </c>
      <c r="K82" s="12" t="e">
        <f t="shared" si="11"/>
        <v>#NUM!</v>
      </c>
    </row>
    <row r="83" spans="3:11" ht="26.25" customHeight="1" x14ac:dyDescent="0.15">
      <c r="C83" s="17">
        <v>7</v>
      </c>
      <c r="D83" s="17">
        <v>7</v>
      </c>
      <c r="E83" s="17">
        <v>7</v>
      </c>
      <c r="F83" s="9">
        <f t="shared" si="6"/>
        <v>2.2323571174976644</v>
      </c>
      <c r="G83" s="9">
        <f t="shared" si="7"/>
        <v>0.44795700121714338</v>
      </c>
      <c r="H83" s="34" t="e">
        <f t="shared" si="8"/>
        <v>#NUM!</v>
      </c>
      <c r="I83" s="34" t="e">
        <f t="shared" si="9"/>
        <v>#NUM!</v>
      </c>
      <c r="J83" s="45" t="e">
        <f t="shared" si="10"/>
        <v>#NUM!</v>
      </c>
      <c r="K83" s="12" t="e">
        <f t="shared" si="11"/>
        <v>#NUM!</v>
      </c>
    </row>
    <row r="84" spans="3:11" ht="26.25" customHeight="1" x14ac:dyDescent="0.15">
      <c r="C84" s="17">
        <v>10</v>
      </c>
      <c r="D84" s="17">
        <v>6</v>
      </c>
      <c r="E84" s="17">
        <v>4</v>
      </c>
      <c r="F84" s="9">
        <f t="shared" ref="F84:F147" si="12">SQRT(C84^2*$C$6^2+D84^2*$D$6^2+E84^2*$E$6^2+2*$C$6*$D$6*C84*D84*COS(RADIANS($H$6))+2*$C$6*$E$6*C84*E84*COS(RADIANS($G$6))+2*$D$6*$E$6*D84*E84*COS(RADIANS($F$6)))</f>
        <v>2.2700049171430114</v>
      </c>
      <c r="G84" s="9">
        <f t="shared" ref="G84:G147" si="13">1/F84</f>
        <v>0.44052768011559312</v>
      </c>
      <c r="H84" s="34" t="e">
        <f t="shared" ref="H84:H147" si="14">DEGREES(ASIN(F84*$D$9/2))</f>
        <v>#NUM!</v>
      </c>
      <c r="I84" s="34" t="e">
        <f t="shared" ref="I84:I147" si="15">H84*2</f>
        <v>#NUM!</v>
      </c>
      <c r="J84" s="45" t="e">
        <f t="shared" si="10"/>
        <v>#NUM!</v>
      </c>
      <c r="K84" s="12" t="e">
        <f t="shared" si="11"/>
        <v>#NUM!</v>
      </c>
    </row>
    <row r="85" spans="3:11" ht="26.25" customHeight="1" x14ac:dyDescent="0.15">
      <c r="C85" s="17">
        <v>12</v>
      </c>
      <c r="D85" s="17">
        <v>2</v>
      </c>
      <c r="E85" s="17">
        <v>2</v>
      </c>
      <c r="F85" s="9">
        <f t="shared" si="12"/>
        <v>2.2700049171430114</v>
      </c>
      <c r="G85" s="9">
        <f t="shared" si="13"/>
        <v>0.44052768011559312</v>
      </c>
      <c r="H85" s="34" t="e">
        <f t="shared" si="14"/>
        <v>#NUM!</v>
      </c>
      <c r="I85" s="34" t="e">
        <f t="shared" si="15"/>
        <v>#NUM!</v>
      </c>
      <c r="J85" s="45" t="e">
        <f t="shared" si="10"/>
        <v>#NUM!</v>
      </c>
      <c r="K85" s="12" t="e">
        <f t="shared" si="11"/>
        <v>#NUM!</v>
      </c>
    </row>
    <row r="86" spans="3:11" ht="26.25" customHeight="1" x14ac:dyDescent="0.15">
      <c r="C86" s="17">
        <v>9</v>
      </c>
      <c r="D86" s="17">
        <v>7</v>
      </c>
      <c r="E86" s="17">
        <v>5</v>
      </c>
      <c r="F86" s="9">
        <f t="shared" si="12"/>
        <v>2.2922968259237351</v>
      </c>
      <c r="G86" s="9">
        <f t="shared" si="13"/>
        <v>0.43624367869419634</v>
      </c>
      <c r="H86" s="34" t="e">
        <f t="shared" si="14"/>
        <v>#NUM!</v>
      </c>
      <c r="I86" s="34" t="e">
        <f t="shared" si="15"/>
        <v>#NUM!</v>
      </c>
      <c r="J86" s="45" t="e">
        <f t="shared" si="10"/>
        <v>#NUM!</v>
      </c>
      <c r="K86" s="12" t="e">
        <f t="shared" si="11"/>
        <v>#NUM!</v>
      </c>
    </row>
    <row r="87" spans="3:11" ht="26.25" customHeight="1" x14ac:dyDescent="0.15">
      <c r="C87" s="17">
        <v>11</v>
      </c>
      <c r="D87" s="17">
        <v>5</v>
      </c>
      <c r="E87" s="17">
        <v>3</v>
      </c>
      <c r="F87" s="9">
        <f t="shared" si="12"/>
        <v>2.2922968259237351</v>
      </c>
      <c r="G87" s="9">
        <f t="shared" si="13"/>
        <v>0.43624367869419634</v>
      </c>
      <c r="H87" s="34" t="e">
        <f t="shared" si="14"/>
        <v>#NUM!</v>
      </c>
      <c r="I87" s="34" t="e">
        <f t="shared" si="15"/>
        <v>#NUM!</v>
      </c>
      <c r="J87" s="45" t="e">
        <f t="shared" si="10"/>
        <v>#NUM!</v>
      </c>
      <c r="K87" s="12" t="e">
        <f t="shared" si="11"/>
        <v>#NUM!</v>
      </c>
    </row>
    <row r="88" spans="3:11" ht="26.25" customHeight="1" x14ac:dyDescent="0.15">
      <c r="C88" s="17">
        <v>12</v>
      </c>
      <c r="D88" s="17">
        <v>4</v>
      </c>
      <c r="E88" s="17">
        <v>0</v>
      </c>
      <c r="F88" s="9">
        <f t="shared" si="12"/>
        <v>2.3289759041155835</v>
      </c>
      <c r="G88" s="9">
        <f t="shared" si="13"/>
        <v>0.42937327012824755</v>
      </c>
      <c r="H88" s="34" t="e">
        <f t="shared" si="14"/>
        <v>#NUM!</v>
      </c>
      <c r="I88" s="34" t="e">
        <f t="shared" si="15"/>
        <v>#NUM!</v>
      </c>
      <c r="J88" s="45" t="e">
        <f t="shared" si="10"/>
        <v>#NUM!</v>
      </c>
      <c r="K88" s="12" t="e">
        <f t="shared" si="11"/>
        <v>#NUM!</v>
      </c>
    </row>
    <row r="89" spans="3:11" ht="26.25" customHeight="1" x14ac:dyDescent="0.15">
      <c r="C89" s="17">
        <v>9</v>
      </c>
      <c r="D89" s="17">
        <v>9</v>
      </c>
      <c r="E89" s="17">
        <v>1</v>
      </c>
      <c r="F89" s="9">
        <f t="shared" si="12"/>
        <v>2.3507086540525566</v>
      </c>
      <c r="G89" s="9">
        <f t="shared" si="13"/>
        <v>0.4254036323370094</v>
      </c>
      <c r="H89" s="34" t="e">
        <f t="shared" si="14"/>
        <v>#NUM!</v>
      </c>
      <c r="I89" s="34" t="e">
        <f t="shared" si="15"/>
        <v>#NUM!</v>
      </c>
      <c r="J89" s="45" t="e">
        <f t="shared" si="10"/>
        <v>#NUM!</v>
      </c>
      <c r="K89" s="12" t="e">
        <f t="shared" si="11"/>
        <v>#NUM!</v>
      </c>
    </row>
    <row r="90" spans="3:11" ht="26.25" customHeight="1" x14ac:dyDescent="0.15">
      <c r="C90" s="17">
        <v>8</v>
      </c>
      <c r="D90" s="17">
        <v>8</v>
      </c>
      <c r="E90" s="17">
        <v>6</v>
      </c>
      <c r="F90" s="9">
        <f t="shared" si="12"/>
        <v>2.357908391138166</v>
      </c>
      <c r="G90" s="9">
        <f t="shared" si="13"/>
        <v>0.42410468691588926</v>
      </c>
      <c r="H90" s="34" t="e">
        <f t="shared" si="14"/>
        <v>#NUM!</v>
      </c>
      <c r="I90" s="34" t="e">
        <f t="shared" si="15"/>
        <v>#NUM!</v>
      </c>
      <c r="J90" s="45" t="e">
        <f t="shared" si="10"/>
        <v>#NUM!</v>
      </c>
      <c r="K90" s="12" t="e">
        <f t="shared" si="11"/>
        <v>#NUM!</v>
      </c>
    </row>
    <row r="91" spans="3:11" ht="26.25" customHeight="1" x14ac:dyDescent="0.15">
      <c r="C91" s="17">
        <v>12</v>
      </c>
      <c r="D91" s="17">
        <v>4</v>
      </c>
      <c r="E91" s="17">
        <v>2</v>
      </c>
      <c r="F91" s="9">
        <f t="shared" si="12"/>
        <v>2.3579083911381664</v>
      </c>
      <c r="G91" s="9">
        <f t="shared" si="13"/>
        <v>0.42410468691588915</v>
      </c>
      <c r="H91" s="34" t="e">
        <f t="shared" si="14"/>
        <v>#NUM!</v>
      </c>
      <c r="I91" s="34" t="e">
        <f t="shared" si="15"/>
        <v>#NUM!</v>
      </c>
      <c r="J91" s="45" t="e">
        <f t="shared" si="10"/>
        <v>#NUM!</v>
      </c>
      <c r="K91" s="12" t="e">
        <f t="shared" si="11"/>
        <v>#NUM!</v>
      </c>
    </row>
    <row r="92" spans="3:11" ht="26.25" customHeight="1" x14ac:dyDescent="0.15">
      <c r="C92" s="17">
        <v>10</v>
      </c>
      <c r="D92" s="17">
        <v>8</v>
      </c>
      <c r="E92" s="17">
        <v>2</v>
      </c>
      <c r="F92" s="9">
        <f t="shared" si="12"/>
        <v>2.3864901424578626</v>
      </c>
      <c r="G92" s="9">
        <f t="shared" si="13"/>
        <v>0.41902540564030705</v>
      </c>
      <c r="H92" s="34" t="e">
        <f t="shared" si="14"/>
        <v>#NUM!</v>
      </c>
      <c r="I92" s="34" t="e">
        <f t="shared" si="15"/>
        <v>#NUM!</v>
      </c>
      <c r="J92" s="45" t="e">
        <f t="shared" si="10"/>
        <v>#NUM!</v>
      </c>
      <c r="K92" s="12" t="e">
        <f t="shared" si="11"/>
        <v>#NUM!</v>
      </c>
    </row>
    <row r="93" spans="3:11" ht="26.25" customHeight="1" x14ac:dyDescent="0.15">
      <c r="C93" s="17">
        <v>11</v>
      </c>
      <c r="D93" s="17">
        <v>5</v>
      </c>
      <c r="E93" s="17">
        <v>5</v>
      </c>
      <c r="F93" s="9">
        <f t="shared" si="12"/>
        <v>2.4077038053579454</v>
      </c>
      <c r="G93" s="9">
        <f t="shared" si="13"/>
        <v>0.41533347988015218</v>
      </c>
      <c r="H93" s="34" t="e">
        <f t="shared" si="14"/>
        <v>#NUM!</v>
      </c>
      <c r="I93" s="34" t="e">
        <f t="shared" si="15"/>
        <v>#NUM!</v>
      </c>
      <c r="J93" s="45" t="e">
        <f t="shared" si="10"/>
        <v>#NUM!</v>
      </c>
      <c r="K93" s="12" t="e">
        <f t="shared" si="11"/>
        <v>#NUM!</v>
      </c>
    </row>
    <row r="94" spans="3:11" ht="26.25" customHeight="1" x14ac:dyDescent="0.15">
      <c r="C94" s="17">
        <v>11</v>
      </c>
      <c r="D94" s="17">
        <v>7</v>
      </c>
      <c r="E94" s="17">
        <v>1</v>
      </c>
      <c r="F94" s="9">
        <f t="shared" si="12"/>
        <v>2.4077038053579454</v>
      </c>
      <c r="G94" s="9">
        <f t="shared" si="13"/>
        <v>0.41533347988015218</v>
      </c>
      <c r="H94" s="34" t="e">
        <f t="shared" si="14"/>
        <v>#NUM!</v>
      </c>
      <c r="I94" s="34" t="e">
        <f t="shared" si="15"/>
        <v>#NUM!</v>
      </c>
      <c r="J94" s="45" t="e">
        <f t="shared" si="10"/>
        <v>#NUM!</v>
      </c>
      <c r="K94" s="12" t="e">
        <f t="shared" si="11"/>
        <v>#NUM!</v>
      </c>
    </row>
    <row r="95" spans="3:11" ht="26.25" customHeight="1" x14ac:dyDescent="0.15">
      <c r="C95" s="17">
        <v>13</v>
      </c>
      <c r="D95" s="17">
        <v>1</v>
      </c>
      <c r="E95" s="17">
        <v>1</v>
      </c>
      <c r="F95" s="9">
        <f t="shared" si="12"/>
        <v>2.4077038053579454</v>
      </c>
      <c r="G95" s="9">
        <f t="shared" si="13"/>
        <v>0.41533347988015218</v>
      </c>
      <c r="H95" s="34" t="e">
        <f t="shared" si="14"/>
        <v>#NUM!</v>
      </c>
      <c r="I95" s="34" t="e">
        <f t="shared" si="15"/>
        <v>#NUM!</v>
      </c>
      <c r="J95" s="45" t="e">
        <f t="shared" si="10"/>
        <v>#NUM!</v>
      </c>
      <c r="K95" s="12" t="e">
        <f t="shared" si="11"/>
        <v>#NUM!</v>
      </c>
    </row>
    <row r="96" spans="3:11" ht="26.25" customHeight="1" x14ac:dyDescent="0.15">
      <c r="C96" s="17">
        <v>9</v>
      </c>
      <c r="D96" s="17">
        <v>9</v>
      </c>
      <c r="E96" s="17">
        <v>3</v>
      </c>
      <c r="F96" s="9">
        <f t="shared" si="12"/>
        <v>2.4077038053579454</v>
      </c>
      <c r="G96" s="9">
        <f t="shared" si="13"/>
        <v>0.41533347988015218</v>
      </c>
      <c r="H96" s="34" t="e">
        <f t="shared" si="14"/>
        <v>#NUM!</v>
      </c>
      <c r="I96" s="34" t="e">
        <f t="shared" si="15"/>
        <v>#NUM!</v>
      </c>
      <c r="J96" s="45" t="e">
        <f t="shared" si="10"/>
        <v>#NUM!</v>
      </c>
      <c r="K96" s="12" t="e">
        <f t="shared" si="11"/>
        <v>#NUM!</v>
      </c>
    </row>
    <row r="97" spans="3:11" ht="26.25" customHeight="1" x14ac:dyDescent="0.15">
      <c r="C97" s="17">
        <v>10</v>
      </c>
      <c r="D97" s="17">
        <v>6</v>
      </c>
      <c r="E97" s="17">
        <v>6</v>
      </c>
      <c r="F97" s="9">
        <f t="shared" si="12"/>
        <v>2.4147336124503105</v>
      </c>
      <c r="G97" s="9">
        <f t="shared" si="13"/>
        <v>0.41412435510236956</v>
      </c>
      <c r="H97" s="34" t="e">
        <f t="shared" si="14"/>
        <v>#NUM!</v>
      </c>
      <c r="I97" s="34" t="e">
        <f t="shared" si="15"/>
        <v>#NUM!</v>
      </c>
      <c r="J97" s="45" t="e">
        <f t="shared" si="10"/>
        <v>#NUM!</v>
      </c>
      <c r="K97" s="12" t="e">
        <f t="shared" si="11"/>
        <v>#NUM!</v>
      </c>
    </row>
    <row r="98" spans="3:11" ht="26.25" customHeight="1" x14ac:dyDescent="0.15">
      <c r="C98" s="17">
        <v>12</v>
      </c>
      <c r="D98" s="17">
        <v>4</v>
      </c>
      <c r="E98" s="17">
        <v>4</v>
      </c>
      <c r="F98" s="9">
        <f t="shared" si="12"/>
        <v>2.4426505354115027</v>
      </c>
      <c r="G98" s="9">
        <f t="shared" si="13"/>
        <v>0.40939134988932602</v>
      </c>
      <c r="H98" s="34" t="e">
        <f t="shared" si="14"/>
        <v>#NUM!</v>
      </c>
      <c r="I98" s="34" t="e">
        <f t="shared" si="15"/>
        <v>#NUM!</v>
      </c>
      <c r="J98" s="45" t="e">
        <f t="shared" si="10"/>
        <v>#NUM!</v>
      </c>
      <c r="K98" s="12" t="e">
        <f t="shared" si="11"/>
        <v>#NUM!</v>
      </c>
    </row>
    <row r="99" spans="3:11" ht="26.25" customHeight="1" x14ac:dyDescent="0.15">
      <c r="C99" s="17">
        <v>9</v>
      </c>
      <c r="D99" s="17">
        <v>7</v>
      </c>
      <c r="E99" s="17">
        <v>7</v>
      </c>
      <c r="F99" s="9">
        <f t="shared" si="12"/>
        <v>2.4633806146092572</v>
      </c>
      <c r="G99" s="9">
        <f t="shared" si="13"/>
        <v>0.40594620014033866</v>
      </c>
      <c r="H99" s="34" t="e">
        <f t="shared" si="14"/>
        <v>#NUM!</v>
      </c>
      <c r="I99" s="34" t="e">
        <f t="shared" si="15"/>
        <v>#NUM!</v>
      </c>
      <c r="J99" s="45" t="e">
        <f t="shared" si="10"/>
        <v>#NUM!</v>
      </c>
      <c r="K99" s="12" t="e">
        <f t="shared" si="11"/>
        <v>#NUM!</v>
      </c>
    </row>
    <row r="100" spans="3:11" ht="26.25" customHeight="1" x14ac:dyDescent="0.15">
      <c r="C100" s="17">
        <v>13</v>
      </c>
      <c r="D100" s="17">
        <v>3</v>
      </c>
      <c r="E100" s="17">
        <v>1</v>
      </c>
      <c r="F100" s="9">
        <f t="shared" si="12"/>
        <v>2.4633806146092572</v>
      </c>
      <c r="G100" s="9">
        <f t="shared" si="13"/>
        <v>0.40594620014033866</v>
      </c>
      <c r="H100" s="34" t="e">
        <f t="shared" si="14"/>
        <v>#NUM!</v>
      </c>
      <c r="I100" s="34" t="e">
        <f t="shared" si="15"/>
        <v>#NUM!</v>
      </c>
      <c r="J100" s="45" t="e">
        <f t="shared" si="10"/>
        <v>#NUM!</v>
      </c>
      <c r="K100" s="12" t="e">
        <f t="shared" si="11"/>
        <v>#NUM!</v>
      </c>
    </row>
    <row r="101" spans="3:11" ht="26.25" customHeight="1" x14ac:dyDescent="0.15">
      <c r="C101" s="17">
        <v>11</v>
      </c>
      <c r="D101" s="17">
        <v>7</v>
      </c>
      <c r="E101" s="17">
        <v>3</v>
      </c>
      <c r="F101" s="9">
        <f t="shared" si="12"/>
        <v>2.4633806146092572</v>
      </c>
      <c r="G101" s="9">
        <f t="shared" si="13"/>
        <v>0.40594620014033866</v>
      </c>
      <c r="H101" s="34" t="e">
        <f t="shared" si="14"/>
        <v>#NUM!</v>
      </c>
      <c r="I101" s="34" t="e">
        <f t="shared" si="15"/>
        <v>#NUM!</v>
      </c>
      <c r="J101" s="45" t="e">
        <f t="shared" si="10"/>
        <v>#NUM!</v>
      </c>
      <c r="K101" s="12" t="e">
        <f t="shared" si="11"/>
        <v>#NUM!</v>
      </c>
    </row>
    <row r="102" spans="3:11" ht="26.25" customHeight="1" x14ac:dyDescent="0.15">
      <c r="C102" s="17">
        <v>10</v>
      </c>
      <c r="D102" s="17">
        <v>8</v>
      </c>
      <c r="E102" s="17">
        <v>4</v>
      </c>
      <c r="F102" s="9">
        <f t="shared" si="12"/>
        <v>2.4702519825302995</v>
      </c>
      <c r="G102" s="9">
        <f t="shared" si="13"/>
        <v>0.40481700129056947</v>
      </c>
      <c r="H102" s="34" t="e">
        <f t="shared" si="14"/>
        <v>#NUM!</v>
      </c>
      <c r="I102" s="34" t="e">
        <f t="shared" si="15"/>
        <v>#NUM!</v>
      </c>
      <c r="J102" s="45" t="e">
        <f t="shared" si="10"/>
        <v>#NUM!</v>
      </c>
      <c r="K102" s="12" t="e">
        <f t="shared" si="11"/>
        <v>#NUM!</v>
      </c>
    </row>
    <row r="103" spans="3:11" ht="26.25" customHeight="1" x14ac:dyDescent="0.15">
      <c r="C103" s="17">
        <v>12</v>
      </c>
      <c r="D103" s="17">
        <v>6</v>
      </c>
      <c r="E103" s="17">
        <v>2</v>
      </c>
      <c r="F103" s="9">
        <f t="shared" si="12"/>
        <v>2.4975484131931558</v>
      </c>
      <c r="G103" s="9">
        <f t="shared" si="13"/>
        <v>0.40039263892445792</v>
      </c>
      <c r="H103" s="34" t="e">
        <f t="shared" si="14"/>
        <v>#NUM!</v>
      </c>
      <c r="I103" s="34" t="e">
        <f t="shared" si="15"/>
        <v>#NUM!</v>
      </c>
      <c r="J103" s="45" t="e">
        <f t="shared" si="10"/>
        <v>#NUM!</v>
      </c>
      <c r="K103" s="12" t="e">
        <f t="shared" si="11"/>
        <v>#NUM!</v>
      </c>
    </row>
    <row r="104" spans="3:11" ht="26.25" customHeight="1" x14ac:dyDescent="0.15">
      <c r="C104" s="17">
        <v>9</v>
      </c>
      <c r="D104" s="17">
        <v>9</v>
      </c>
      <c r="E104" s="17">
        <v>5</v>
      </c>
      <c r="F104" s="9">
        <f t="shared" si="12"/>
        <v>2.5178265409932892</v>
      </c>
      <c r="G104" s="9">
        <f t="shared" si="13"/>
        <v>0.39716794771950309</v>
      </c>
      <c r="H104" s="34" t="e">
        <f t="shared" si="14"/>
        <v>#NUM!</v>
      </c>
      <c r="I104" s="34" t="e">
        <f t="shared" si="15"/>
        <v>#NUM!</v>
      </c>
      <c r="J104" s="45" t="e">
        <f t="shared" si="10"/>
        <v>#NUM!</v>
      </c>
      <c r="K104" s="12" t="e">
        <f t="shared" si="11"/>
        <v>#NUM!</v>
      </c>
    </row>
    <row r="105" spans="3:11" ht="26.25" customHeight="1" x14ac:dyDescent="0.15">
      <c r="C105" s="17">
        <v>13</v>
      </c>
      <c r="D105" s="17">
        <v>3</v>
      </c>
      <c r="E105" s="17">
        <v>3</v>
      </c>
      <c r="F105" s="9">
        <f t="shared" si="12"/>
        <v>2.5178265409932892</v>
      </c>
      <c r="G105" s="9">
        <f t="shared" si="13"/>
        <v>0.39716794771950309</v>
      </c>
      <c r="H105" s="34" t="e">
        <f t="shared" si="14"/>
        <v>#NUM!</v>
      </c>
      <c r="I105" s="34" t="e">
        <f t="shared" si="15"/>
        <v>#NUM!</v>
      </c>
      <c r="J105" s="45" t="e">
        <f t="shared" si="10"/>
        <v>#NUM!</v>
      </c>
      <c r="K105" s="12" t="e">
        <f t="shared" si="11"/>
        <v>#NUM!</v>
      </c>
    </row>
    <row r="106" spans="3:11" ht="26.25" customHeight="1" x14ac:dyDescent="0.15">
      <c r="C106" s="17">
        <v>8</v>
      </c>
      <c r="D106" s="17">
        <v>8</v>
      </c>
      <c r="E106" s="17">
        <v>8</v>
      </c>
      <c r="F106" s="9">
        <f t="shared" si="12"/>
        <v>2.551265277140188</v>
      </c>
      <c r="G106" s="9">
        <f t="shared" si="13"/>
        <v>0.39196237606500045</v>
      </c>
      <c r="H106" s="34" t="e">
        <f t="shared" si="14"/>
        <v>#NUM!</v>
      </c>
      <c r="I106" s="34" t="e">
        <f t="shared" si="15"/>
        <v>#NUM!</v>
      </c>
      <c r="J106" s="45" t="e">
        <f t="shared" si="10"/>
        <v>#NUM!</v>
      </c>
      <c r="K106" s="12" t="e">
        <f t="shared" si="11"/>
        <v>#NUM!</v>
      </c>
    </row>
    <row r="107" spans="3:11" ht="26.25" customHeight="1" x14ac:dyDescent="0.15">
      <c r="C107" s="17">
        <v>11</v>
      </c>
      <c r="D107" s="17">
        <v>7</v>
      </c>
      <c r="E107" s="17">
        <v>5</v>
      </c>
      <c r="F107" s="9">
        <f t="shared" si="12"/>
        <v>2.5711197810735658</v>
      </c>
      <c r="G107" s="9">
        <f t="shared" si="13"/>
        <v>0.38893559427342278</v>
      </c>
      <c r="H107" s="34" t="e">
        <f t="shared" si="14"/>
        <v>#NUM!</v>
      </c>
      <c r="I107" s="34" t="e">
        <f t="shared" si="15"/>
        <v>#NUM!</v>
      </c>
      <c r="J107" s="45" t="e">
        <f t="shared" si="10"/>
        <v>#NUM!</v>
      </c>
      <c r="K107" s="12" t="e">
        <f t="shared" si="11"/>
        <v>#NUM!</v>
      </c>
    </row>
    <row r="108" spans="3:11" ht="26.25" customHeight="1" x14ac:dyDescent="0.15">
      <c r="C108" s="17">
        <v>13</v>
      </c>
      <c r="D108" s="17">
        <v>5</v>
      </c>
      <c r="E108" s="17">
        <v>1</v>
      </c>
      <c r="F108" s="9">
        <f t="shared" si="12"/>
        <v>2.5711197810735658</v>
      </c>
      <c r="G108" s="9">
        <f t="shared" si="13"/>
        <v>0.38893559427342278</v>
      </c>
      <c r="H108" s="34" t="e">
        <f t="shared" si="14"/>
        <v>#NUM!</v>
      </c>
      <c r="I108" s="34" t="e">
        <f t="shared" si="15"/>
        <v>#NUM!</v>
      </c>
      <c r="J108" s="45" t="e">
        <f t="shared" si="10"/>
        <v>#NUM!</v>
      </c>
      <c r="K108" s="12" t="e">
        <f t="shared" si="11"/>
        <v>#NUM!</v>
      </c>
    </row>
    <row r="109" spans="3:11" ht="26.25" customHeight="1" x14ac:dyDescent="0.15">
      <c r="C109" s="17">
        <v>12</v>
      </c>
      <c r="D109" s="17">
        <v>6</v>
      </c>
      <c r="E109" s="17">
        <v>4</v>
      </c>
      <c r="F109" s="9">
        <f t="shared" si="12"/>
        <v>2.5777039654293072</v>
      </c>
      <c r="G109" s="9">
        <f t="shared" si="13"/>
        <v>0.3879421428571429</v>
      </c>
      <c r="H109" s="34" t="e">
        <f t="shared" si="14"/>
        <v>#NUM!</v>
      </c>
      <c r="I109" s="34" t="e">
        <f t="shared" si="15"/>
        <v>#NUM!</v>
      </c>
      <c r="J109" s="45" t="e">
        <f t="shared" si="10"/>
        <v>#NUM!</v>
      </c>
      <c r="K109" s="12" t="e">
        <f t="shared" si="11"/>
        <v>#NUM!</v>
      </c>
    </row>
    <row r="110" spans="3:11" ht="26.25" customHeight="1" x14ac:dyDescent="0.15">
      <c r="C110" s="17">
        <v>10</v>
      </c>
      <c r="D110" s="17">
        <v>8</v>
      </c>
      <c r="E110" s="17">
        <v>6</v>
      </c>
      <c r="F110" s="9">
        <f t="shared" si="12"/>
        <v>2.6038742197807387</v>
      </c>
      <c r="G110" s="9">
        <f t="shared" si="13"/>
        <v>0.3840431278912565</v>
      </c>
      <c r="H110" s="34" t="e">
        <f t="shared" si="14"/>
        <v>#NUM!</v>
      </c>
      <c r="I110" s="34" t="e">
        <f t="shared" si="15"/>
        <v>#NUM!</v>
      </c>
      <c r="J110" s="45" t="e">
        <f t="shared" si="10"/>
        <v>#NUM!</v>
      </c>
      <c r="K110" s="12" t="e">
        <f t="shared" si="11"/>
        <v>#NUM!</v>
      </c>
    </row>
    <row r="111" spans="3:11" ht="26.25" customHeight="1" x14ac:dyDescent="0.15">
      <c r="C111" s="17">
        <v>10</v>
      </c>
      <c r="D111" s="17">
        <v>10</v>
      </c>
      <c r="E111" s="17">
        <v>0</v>
      </c>
      <c r="F111" s="9">
        <f t="shared" si="12"/>
        <v>2.6038742197807387</v>
      </c>
      <c r="G111" s="9">
        <f t="shared" si="13"/>
        <v>0.3840431278912565</v>
      </c>
      <c r="H111" s="34" t="e">
        <f t="shared" si="14"/>
        <v>#NUM!</v>
      </c>
      <c r="I111" s="34" t="e">
        <f t="shared" si="15"/>
        <v>#NUM!</v>
      </c>
      <c r="J111" s="45" t="e">
        <f t="shared" si="10"/>
        <v>#NUM!</v>
      </c>
      <c r="K111" s="12" t="e">
        <f t="shared" si="11"/>
        <v>#NUM!</v>
      </c>
    </row>
    <row r="112" spans="3:11" ht="26.25" customHeight="1" x14ac:dyDescent="0.15">
      <c r="C112" s="17">
        <v>14</v>
      </c>
      <c r="D112" s="17">
        <v>2</v>
      </c>
      <c r="E112" s="17">
        <v>0</v>
      </c>
      <c r="F112" s="9">
        <f t="shared" si="12"/>
        <v>2.6038742197807387</v>
      </c>
      <c r="G112" s="9">
        <f t="shared" si="13"/>
        <v>0.3840431278912565</v>
      </c>
      <c r="H112" s="34" t="e">
        <f t="shared" si="14"/>
        <v>#NUM!</v>
      </c>
      <c r="I112" s="34" t="e">
        <f t="shared" si="15"/>
        <v>#NUM!</v>
      </c>
      <c r="J112" s="45" t="e">
        <f t="shared" si="10"/>
        <v>#NUM!</v>
      </c>
      <c r="K112" s="12" t="e">
        <f t="shared" si="11"/>
        <v>#NUM!</v>
      </c>
    </row>
    <row r="113" spans="3:11" ht="26.25" customHeight="1" x14ac:dyDescent="0.15">
      <c r="C113" s="17">
        <v>13</v>
      </c>
      <c r="D113" s="17">
        <v>5</v>
      </c>
      <c r="E113" s="17">
        <v>3</v>
      </c>
      <c r="F113" s="9">
        <f t="shared" si="12"/>
        <v>2.6233305866255843</v>
      </c>
      <c r="G113" s="9">
        <f t="shared" si="13"/>
        <v>0.38119480827092772</v>
      </c>
      <c r="H113" s="34" t="e">
        <f t="shared" si="14"/>
        <v>#NUM!</v>
      </c>
      <c r="I113" s="34" t="e">
        <f t="shared" si="15"/>
        <v>#NUM!</v>
      </c>
      <c r="J113" s="45" t="e">
        <f t="shared" si="10"/>
        <v>#NUM!</v>
      </c>
      <c r="K113" s="12" t="e">
        <f t="shared" si="11"/>
        <v>#NUM!</v>
      </c>
    </row>
    <row r="114" spans="3:11" ht="26.25" customHeight="1" x14ac:dyDescent="0.15">
      <c r="C114" s="17">
        <v>11</v>
      </c>
      <c r="D114" s="17">
        <v>9</v>
      </c>
      <c r="E114" s="17">
        <v>1</v>
      </c>
      <c r="F114" s="9">
        <f t="shared" si="12"/>
        <v>2.6233305866255843</v>
      </c>
      <c r="G114" s="9">
        <f t="shared" si="13"/>
        <v>0.38119480827092772</v>
      </c>
      <c r="H114" s="34" t="e">
        <f t="shared" si="14"/>
        <v>#NUM!</v>
      </c>
      <c r="I114" s="34" t="e">
        <f t="shared" si="15"/>
        <v>#NUM!</v>
      </c>
      <c r="J114" s="45" t="e">
        <f t="shared" si="10"/>
        <v>#NUM!</v>
      </c>
      <c r="K114" s="12" t="e">
        <f t="shared" si="11"/>
        <v>#NUM!</v>
      </c>
    </row>
    <row r="115" spans="3:11" ht="26.25" customHeight="1" x14ac:dyDescent="0.15">
      <c r="C115" s="17">
        <v>10</v>
      </c>
      <c r="D115" s="17">
        <v>10</v>
      </c>
      <c r="E115" s="17">
        <v>2</v>
      </c>
      <c r="F115" s="9">
        <f t="shared" si="12"/>
        <v>2.6297840541549271</v>
      </c>
      <c r="G115" s="9">
        <f t="shared" si="13"/>
        <v>0.38025935947860434</v>
      </c>
      <c r="H115" s="34" t="e">
        <f t="shared" si="14"/>
        <v>#NUM!</v>
      </c>
      <c r="I115" s="34" t="e">
        <f t="shared" si="15"/>
        <v>#NUM!</v>
      </c>
      <c r="J115" s="45" t="e">
        <f t="shared" si="10"/>
        <v>#NUM!</v>
      </c>
      <c r="K115" s="12" t="e">
        <f t="shared" si="11"/>
        <v>#NUM!</v>
      </c>
    </row>
    <row r="116" spans="3:11" ht="26.25" customHeight="1" x14ac:dyDescent="0.15">
      <c r="C116" s="17">
        <v>14</v>
      </c>
      <c r="D116" s="17">
        <v>2</v>
      </c>
      <c r="E116" s="17">
        <v>2</v>
      </c>
      <c r="F116" s="9">
        <f t="shared" si="12"/>
        <v>2.6297840541549271</v>
      </c>
      <c r="G116" s="9">
        <f t="shared" si="13"/>
        <v>0.38025935947860434</v>
      </c>
      <c r="H116" s="34" t="e">
        <f>DEGREES(ASIN(F116*$D$9/2))</f>
        <v>#NUM!</v>
      </c>
      <c r="I116" s="34" t="e">
        <f t="shared" si="15"/>
        <v>#NUM!</v>
      </c>
      <c r="J116" s="45" t="e">
        <f t="shared" si="10"/>
        <v>#NUM!</v>
      </c>
      <c r="K116" s="12" t="e">
        <f t="shared" si="11"/>
        <v>#NUM!</v>
      </c>
    </row>
    <row r="117" spans="3:11" ht="26.25" customHeight="1" x14ac:dyDescent="0.15">
      <c r="C117" s="17">
        <v>12</v>
      </c>
      <c r="D117" s="17">
        <v>8</v>
      </c>
      <c r="E117" s="17">
        <v>0</v>
      </c>
      <c r="F117" s="9">
        <f t="shared" si="12"/>
        <v>2.6554410915206348</v>
      </c>
      <c r="G117" s="9">
        <f t="shared" si="13"/>
        <v>0.37658526984206281</v>
      </c>
      <c r="H117" s="34" t="e">
        <f t="shared" si="14"/>
        <v>#NUM!</v>
      </c>
      <c r="I117" s="34" t="e">
        <f t="shared" si="15"/>
        <v>#NUM!</v>
      </c>
      <c r="J117" s="45" t="e">
        <f t="shared" si="10"/>
        <v>#NUM!</v>
      </c>
      <c r="K117" s="12" t="e">
        <f t="shared" si="11"/>
        <v>#NUM!</v>
      </c>
    </row>
    <row r="118" spans="3:11" ht="26.25" customHeight="1" x14ac:dyDescent="0.15">
      <c r="C118" s="17">
        <v>9</v>
      </c>
      <c r="D118" s="17">
        <v>9</v>
      </c>
      <c r="E118" s="17">
        <v>7</v>
      </c>
      <c r="F118" s="9">
        <f t="shared" si="12"/>
        <v>2.6745223507802067</v>
      </c>
      <c r="G118" s="9">
        <f t="shared" si="13"/>
        <v>0.37389853919458998</v>
      </c>
      <c r="H118" s="34" t="e">
        <f t="shared" si="14"/>
        <v>#NUM!</v>
      </c>
      <c r="I118" s="34" t="e">
        <f t="shared" si="15"/>
        <v>#NUM!</v>
      </c>
      <c r="J118" s="45" t="e">
        <f t="shared" si="10"/>
        <v>#NUM!</v>
      </c>
      <c r="K118" s="12" t="e">
        <f t="shared" si="11"/>
        <v>#NUM!</v>
      </c>
    </row>
    <row r="119" spans="3:11" ht="26.25" customHeight="1" x14ac:dyDescent="0.15">
      <c r="C119" s="17">
        <v>11</v>
      </c>
      <c r="D119" s="17">
        <v>9</v>
      </c>
      <c r="E119" s="17">
        <v>3</v>
      </c>
      <c r="F119" s="9">
        <f t="shared" si="12"/>
        <v>2.6745223507802063</v>
      </c>
      <c r="G119" s="9">
        <f t="shared" si="13"/>
        <v>0.37389853919459004</v>
      </c>
      <c r="H119" s="34" t="e">
        <f t="shared" si="14"/>
        <v>#NUM!</v>
      </c>
      <c r="I119" s="34" t="e">
        <f t="shared" si="15"/>
        <v>#NUM!</v>
      </c>
      <c r="J119" s="45" t="e">
        <f t="shared" si="10"/>
        <v>#NUM!</v>
      </c>
      <c r="K119" s="12" t="e">
        <f t="shared" si="11"/>
        <v>#NUM!</v>
      </c>
    </row>
    <row r="120" spans="3:11" ht="26.25" customHeight="1" x14ac:dyDescent="0.15">
      <c r="C120" s="17">
        <v>12</v>
      </c>
      <c r="D120" s="17">
        <v>8</v>
      </c>
      <c r="E120" s="17">
        <v>2</v>
      </c>
      <c r="F120" s="9">
        <f t="shared" si="12"/>
        <v>2.6808525900513582</v>
      </c>
      <c r="G120" s="9">
        <f t="shared" si="13"/>
        <v>0.3730156606562402</v>
      </c>
      <c r="H120" s="34" t="e">
        <f t="shared" si="14"/>
        <v>#NUM!</v>
      </c>
      <c r="I120" s="34" t="e">
        <f t="shared" si="15"/>
        <v>#NUM!</v>
      </c>
      <c r="J120" s="45" t="e">
        <f t="shared" si="10"/>
        <v>#NUM!</v>
      </c>
      <c r="K120" s="12" t="e">
        <f t="shared" si="11"/>
        <v>#NUM!</v>
      </c>
    </row>
    <row r="121" spans="3:11" ht="26.25" customHeight="1" x14ac:dyDescent="0.15">
      <c r="C121" s="17">
        <v>12</v>
      </c>
      <c r="D121" s="17">
        <v>6</v>
      </c>
      <c r="E121" s="17">
        <v>6</v>
      </c>
      <c r="F121" s="9">
        <f t="shared" si="12"/>
        <v>2.7060254671074055</v>
      </c>
      <c r="G121" s="9">
        <f t="shared" si="13"/>
        <v>0.36954567211407136</v>
      </c>
      <c r="H121" s="34" t="e">
        <f t="shared" si="14"/>
        <v>#NUM!</v>
      </c>
      <c r="I121" s="34" t="e">
        <f t="shared" si="15"/>
        <v>#NUM!</v>
      </c>
      <c r="J121" s="45" t="e">
        <f t="shared" si="10"/>
        <v>#NUM!</v>
      </c>
      <c r="K121" s="12" t="e">
        <f t="shared" si="11"/>
        <v>#NUM!</v>
      </c>
    </row>
    <row r="122" spans="3:11" ht="26.25" customHeight="1" x14ac:dyDescent="0.15">
      <c r="C122" s="17">
        <v>10</v>
      </c>
      <c r="D122" s="17">
        <v>10</v>
      </c>
      <c r="E122" s="17">
        <v>4</v>
      </c>
      <c r="F122" s="9">
        <f t="shared" si="12"/>
        <v>2.7060254671074051</v>
      </c>
      <c r="G122" s="9">
        <f t="shared" si="13"/>
        <v>0.36954567211407141</v>
      </c>
      <c r="H122" s="34" t="e">
        <f t="shared" si="14"/>
        <v>#NUM!</v>
      </c>
      <c r="I122" s="34" t="e">
        <f t="shared" si="15"/>
        <v>#NUM!</v>
      </c>
      <c r="J122" s="45" t="e">
        <f t="shared" si="10"/>
        <v>#NUM!</v>
      </c>
      <c r="K122" s="12" t="e">
        <f t="shared" si="11"/>
        <v>#NUM!</v>
      </c>
    </row>
    <row r="123" spans="3:11" ht="26.25" customHeight="1" x14ac:dyDescent="0.15">
      <c r="C123" s="17">
        <v>14</v>
      </c>
      <c r="D123" s="17">
        <v>4</v>
      </c>
      <c r="E123" s="17">
        <v>2</v>
      </c>
      <c r="F123" s="9">
        <f t="shared" si="12"/>
        <v>2.7060254671074051</v>
      </c>
      <c r="G123" s="9">
        <f t="shared" si="13"/>
        <v>0.36954567211407141</v>
      </c>
      <c r="H123" s="34" t="e">
        <f t="shared" si="14"/>
        <v>#NUM!</v>
      </c>
      <c r="I123" s="34" t="e">
        <f t="shared" si="15"/>
        <v>#NUM!</v>
      </c>
      <c r="J123" s="45" t="e">
        <f t="shared" si="10"/>
        <v>#NUM!</v>
      </c>
      <c r="K123" s="12" t="e">
        <f t="shared" si="11"/>
        <v>#NUM!</v>
      </c>
    </row>
    <row r="124" spans="3:11" ht="26.25" customHeight="1" x14ac:dyDescent="0.15">
      <c r="C124" s="17">
        <v>11</v>
      </c>
      <c r="D124" s="17">
        <v>7</v>
      </c>
      <c r="E124" s="17">
        <v>7</v>
      </c>
      <c r="F124" s="9">
        <f t="shared" si="12"/>
        <v>2.7247525103980417</v>
      </c>
      <c r="G124" s="9">
        <f t="shared" si="13"/>
        <v>0.36700580921895043</v>
      </c>
      <c r="H124" s="34" t="e">
        <f t="shared" si="14"/>
        <v>#NUM!</v>
      </c>
      <c r="I124" s="34" t="e">
        <f t="shared" si="15"/>
        <v>#NUM!</v>
      </c>
      <c r="J124" s="45" t="e">
        <f t="shared" si="10"/>
        <v>#NUM!</v>
      </c>
      <c r="K124" s="12" t="e">
        <f t="shared" si="11"/>
        <v>#NUM!</v>
      </c>
    </row>
    <row r="125" spans="3:11" ht="26.25" customHeight="1" x14ac:dyDescent="0.15">
      <c r="C125" s="17">
        <v>13</v>
      </c>
      <c r="D125" s="17">
        <v>5</v>
      </c>
      <c r="E125" s="17">
        <v>5</v>
      </c>
      <c r="F125" s="9">
        <f t="shared" si="12"/>
        <v>2.7247525103980417</v>
      </c>
      <c r="G125" s="9">
        <f t="shared" si="13"/>
        <v>0.36700580921895043</v>
      </c>
      <c r="H125" s="34" t="e">
        <f t="shared" si="14"/>
        <v>#NUM!</v>
      </c>
      <c r="I125" s="34" t="e">
        <f t="shared" si="15"/>
        <v>#NUM!</v>
      </c>
      <c r="J125" s="45" t="e">
        <f t="shared" si="10"/>
        <v>#NUM!</v>
      </c>
      <c r="K125" s="12" t="e">
        <f t="shared" si="11"/>
        <v>#NUM!</v>
      </c>
    </row>
    <row r="126" spans="3:11" ht="26.25" customHeight="1" x14ac:dyDescent="0.15">
      <c r="C126" s="17">
        <v>13</v>
      </c>
      <c r="D126" s="17">
        <v>7</v>
      </c>
      <c r="E126" s="17">
        <v>1</v>
      </c>
      <c r="F126" s="9">
        <f t="shared" si="12"/>
        <v>2.7247525103980417</v>
      </c>
      <c r="G126" s="9">
        <f t="shared" si="13"/>
        <v>0.36700580921895043</v>
      </c>
      <c r="H126" s="34" t="e">
        <f t="shared" si="14"/>
        <v>#NUM!</v>
      </c>
      <c r="I126" s="34" t="e">
        <f t="shared" si="15"/>
        <v>#NUM!</v>
      </c>
      <c r="J126" s="45" t="e">
        <f t="shared" si="10"/>
        <v>#NUM!</v>
      </c>
      <c r="K126" s="12" t="e">
        <f t="shared" si="11"/>
        <v>#NUM!</v>
      </c>
    </row>
    <row r="127" spans="3:11" ht="26.25" customHeight="1" x14ac:dyDescent="0.15">
      <c r="C127" s="17">
        <v>12</v>
      </c>
      <c r="D127" s="17">
        <v>8</v>
      </c>
      <c r="E127" s="17">
        <v>4</v>
      </c>
      <c r="F127" s="9">
        <f t="shared" si="12"/>
        <v>2.7556814523328712</v>
      </c>
      <c r="G127" s="9">
        <f t="shared" si="13"/>
        <v>0.36288664611558502</v>
      </c>
      <c r="H127" s="34" t="e">
        <f t="shared" si="14"/>
        <v>#NUM!</v>
      </c>
      <c r="I127" s="34" t="e">
        <f t="shared" si="15"/>
        <v>#NUM!</v>
      </c>
      <c r="J127" s="45" t="e">
        <f t="shared" si="10"/>
        <v>#NUM!</v>
      </c>
      <c r="K127" s="12" t="e">
        <f t="shared" si="11"/>
        <v>#NUM!</v>
      </c>
    </row>
    <row r="128" spans="3:11" ht="26.25" customHeight="1" x14ac:dyDescent="0.15">
      <c r="C128" s="17">
        <v>13</v>
      </c>
      <c r="D128" s="17">
        <v>7</v>
      </c>
      <c r="E128" s="17">
        <v>3</v>
      </c>
      <c r="F128" s="9">
        <f t="shared" si="12"/>
        <v>2.7740733013058581</v>
      </c>
      <c r="G128" s="9">
        <f t="shared" si="13"/>
        <v>0.36048074127286517</v>
      </c>
      <c r="H128" s="34" t="e">
        <f t="shared" si="14"/>
        <v>#NUM!</v>
      </c>
      <c r="I128" s="34" t="e">
        <f t="shared" si="15"/>
        <v>#NUM!</v>
      </c>
      <c r="J128" s="45" t="e">
        <f t="shared" si="10"/>
        <v>#NUM!</v>
      </c>
      <c r="K128" s="12" t="e">
        <f t="shared" si="11"/>
        <v>#NUM!</v>
      </c>
    </row>
    <row r="129" spans="3:11" ht="26.25" customHeight="1" x14ac:dyDescent="0.15">
      <c r="C129" s="17">
        <v>11</v>
      </c>
      <c r="D129" s="17">
        <v>9</v>
      </c>
      <c r="E129" s="17">
        <v>5</v>
      </c>
      <c r="F129" s="9">
        <f t="shared" si="12"/>
        <v>2.7740733013058581</v>
      </c>
      <c r="G129" s="9">
        <f t="shared" si="13"/>
        <v>0.36048074127286517</v>
      </c>
      <c r="H129" s="34" t="e">
        <f t="shared" si="14"/>
        <v>#NUM!</v>
      </c>
      <c r="I129" s="34" t="e">
        <f t="shared" si="15"/>
        <v>#NUM!</v>
      </c>
      <c r="J129" s="45" t="e">
        <f t="shared" si="10"/>
        <v>#NUM!</v>
      </c>
      <c r="K129" s="12" t="e">
        <f t="shared" si="11"/>
        <v>#NUM!</v>
      </c>
    </row>
    <row r="130" spans="3:11" ht="26.25" customHeight="1" x14ac:dyDescent="0.15">
      <c r="C130" s="17">
        <v>15</v>
      </c>
      <c r="D130" s="17">
        <v>1</v>
      </c>
      <c r="E130" s="17">
        <v>1</v>
      </c>
      <c r="F130" s="9">
        <f t="shared" si="12"/>
        <v>2.7740733013058581</v>
      </c>
      <c r="G130" s="9">
        <f t="shared" si="13"/>
        <v>0.36048074127286517</v>
      </c>
      <c r="H130" s="34" t="e">
        <f t="shared" si="14"/>
        <v>#NUM!</v>
      </c>
      <c r="I130" s="34" t="e">
        <f t="shared" si="15"/>
        <v>#NUM!</v>
      </c>
      <c r="J130" s="45" t="e">
        <f t="shared" si="10"/>
        <v>#NUM!</v>
      </c>
      <c r="K130" s="12" t="e">
        <f t="shared" si="11"/>
        <v>#NUM!</v>
      </c>
    </row>
    <row r="131" spans="3:11" ht="26.25" customHeight="1" x14ac:dyDescent="0.15">
      <c r="C131" s="17">
        <v>10</v>
      </c>
      <c r="D131" s="17">
        <v>8</v>
      </c>
      <c r="E131" s="17">
        <v>8</v>
      </c>
      <c r="F131" s="9">
        <f t="shared" si="12"/>
        <v>2.7801768803045923</v>
      </c>
      <c r="G131" s="9">
        <f t="shared" si="13"/>
        <v>0.35968934461840479</v>
      </c>
      <c r="H131" s="34" t="e">
        <f t="shared" si="14"/>
        <v>#NUM!</v>
      </c>
      <c r="I131" s="34" t="e">
        <f t="shared" si="15"/>
        <v>#NUM!</v>
      </c>
      <c r="J131" s="45" t="e">
        <f t="shared" si="10"/>
        <v>#NUM!</v>
      </c>
      <c r="K131" s="12" t="e">
        <f t="shared" si="11"/>
        <v>#NUM!</v>
      </c>
    </row>
    <row r="132" spans="3:11" ht="26.25" customHeight="1" x14ac:dyDescent="0.15">
      <c r="C132" s="17">
        <v>14</v>
      </c>
      <c r="D132" s="17">
        <v>4</v>
      </c>
      <c r="E132" s="17">
        <v>4</v>
      </c>
      <c r="F132" s="9">
        <f t="shared" si="12"/>
        <v>2.7801768803045923</v>
      </c>
      <c r="G132" s="9">
        <f t="shared" si="13"/>
        <v>0.35968934461840479</v>
      </c>
      <c r="H132" s="34" t="e">
        <f t="shared" si="14"/>
        <v>#NUM!</v>
      </c>
      <c r="I132" s="34" t="e">
        <f t="shared" si="15"/>
        <v>#NUM!</v>
      </c>
      <c r="J132" s="45" t="e">
        <f t="shared" si="10"/>
        <v>#NUM!</v>
      </c>
      <c r="K132" s="12" t="e">
        <f t="shared" si="11"/>
        <v>#NUM!</v>
      </c>
    </row>
    <row r="133" spans="3:11" ht="26.25" customHeight="1" x14ac:dyDescent="0.15">
      <c r="C133" s="17">
        <v>14</v>
      </c>
      <c r="D133" s="17">
        <v>6</v>
      </c>
      <c r="E133" s="17">
        <v>0</v>
      </c>
      <c r="F133" s="9">
        <f t="shared" si="12"/>
        <v>2.8044583621136097</v>
      </c>
      <c r="G133" s="9">
        <f t="shared" si="13"/>
        <v>0.35657509254169828</v>
      </c>
      <c r="H133" s="34" t="e">
        <f t="shared" si="14"/>
        <v>#NUM!</v>
      </c>
      <c r="I133" s="34" t="e">
        <f t="shared" si="15"/>
        <v>#NUM!</v>
      </c>
      <c r="J133" s="45" t="e">
        <f t="shared" si="10"/>
        <v>#NUM!</v>
      </c>
      <c r="K133" s="12" t="e">
        <f t="shared" si="11"/>
        <v>#NUM!</v>
      </c>
    </row>
    <row r="134" spans="3:11" ht="26.25" customHeight="1" x14ac:dyDescent="0.15">
      <c r="C134" s="17">
        <v>15</v>
      </c>
      <c r="D134" s="17">
        <v>3</v>
      </c>
      <c r="E134" s="17">
        <v>1</v>
      </c>
      <c r="F134" s="9">
        <f t="shared" si="12"/>
        <v>2.8225323946972747</v>
      </c>
      <c r="G134" s="9">
        <f t="shared" si="13"/>
        <v>0.35429177070871248</v>
      </c>
      <c r="H134" s="34" t="e">
        <f t="shared" si="14"/>
        <v>#NUM!</v>
      </c>
      <c r="I134" s="34" t="e">
        <f t="shared" si="15"/>
        <v>#NUM!</v>
      </c>
      <c r="J134" s="45" t="e">
        <f t="shared" si="10"/>
        <v>#NUM!</v>
      </c>
      <c r="K134" s="12" t="e">
        <f t="shared" si="11"/>
        <v>#NUM!</v>
      </c>
    </row>
    <row r="135" spans="3:11" ht="26.25" customHeight="1" x14ac:dyDescent="0.15">
      <c r="C135" s="17">
        <v>10</v>
      </c>
      <c r="D135" s="17">
        <v>10</v>
      </c>
      <c r="E135" s="17">
        <v>6</v>
      </c>
      <c r="F135" s="9">
        <f t="shared" si="12"/>
        <v>2.8285314076173393</v>
      </c>
      <c r="G135" s="9">
        <f t="shared" si="13"/>
        <v>0.35354035571497039</v>
      </c>
      <c r="H135" s="34" t="e">
        <f t="shared" si="14"/>
        <v>#NUM!</v>
      </c>
      <c r="I135" s="34" t="e">
        <f t="shared" si="15"/>
        <v>#NUM!</v>
      </c>
      <c r="J135" s="45" t="e">
        <f t="shared" si="10"/>
        <v>#NUM!</v>
      </c>
      <c r="K135" s="12" t="e">
        <f t="shared" si="11"/>
        <v>#NUM!</v>
      </c>
    </row>
    <row r="136" spans="3:11" ht="26.25" customHeight="1" x14ac:dyDescent="0.15">
      <c r="C136" s="17">
        <v>14</v>
      </c>
      <c r="D136" s="17">
        <v>6</v>
      </c>
      <c r="E136" s="17">
        <v>2</v>
      </c>
      <c r="F136" s="9">
        <f t="shared" si="12"/>
        <v>2.8285314076173393</v>
      </c>
      <c r="G136" s="9">
        <f t="shared" si="13"/>
        <v>0.35354035571497039</v>
      </c>
      <c r="H136" s="34" t="e">
        <f t="shared" si="14"/>
        <v>#NUM!</v>
      </c>
      <c r="I136" s="34" t="e">
        <f t="shared" si="15"/>
        <v>#NUM!</v>
      </c>
      <c r="J136" s="45" t="e">
        <f t="shared" si="10"/>
        <v>#NUM!</v>
      </c>
      <c r="K136" s="12" t="e">
        <f t="shared" si="11"/>
        <v>#NUM!</v>
      </c>
    </row>
    <row r="137" spans="3:11" ht="26.25" customHeight="1" x14ac:dyDescent="0.15">
      <c r="C137" s="17">
        <v>11</v>
      </c>
      <c r="D137" s="17">
        <v>11</v>
      </c>
      <c r="E137" s="17">
        <v>1</v>
      </c>
      <c r="F137" s="9">
        <f t="shared" si="12"/>
        <v>2.8701734367827112</v>
      </c>
      <c r="G137" s="9">
        <f t="shared" si="13"/>
        <v>0.3484110009466671</v>
      </c>
      <c r="H137" s="34" t="e">
        <f t="shared" si="14"/>
        <v>#NUM!</v>
      </c>
      <c r="I137" s="34" t="e">
        <f t="shared" si="15"/>
        <v>#NUM!</v>
      </c>
      <c r="J137" s="45" t="e">
        <f t="shared" si="10"/>
        <v>#NUM!</v>
      </c>
      <c r="K137" s="12" t="e">
        <f t="shared" si="11"/>
        <v>#NUM!</v>
      </c>
    </row>
    <row r="138" spans="3:11" ht="26.25" customHeight="1" x14ac:dyDescent="0.15">
      <c r="C138" s="17">
        <v>13</v>
      </c>
      <c r="D138" s="17">
        <v>7</v>
      </c>
      <c r="E138" s="17">
        <v>5</v>
      </c>
      <c r="F138" s="9">
        <f t="shared" si="12"/>
        <v>2.8701734367827112</v>
      </c>
      <c r="G138" s="9">
        <f t="shared" si="13"/>
        <v>0.3484110009466671</v>
      </c>
      <c r="H138" s="34" t="e">
        <f t="shared" si="14"/>
        <v>#NUM!</v>
      </c>
      <c r="I138" s="34" t="e">
        <f t="shared" si="15"/>
        <v>#NUM!</v>
      </c>
      <c r="J138" s="45" t="e">
        <f t="shared" si="10"/>
        <v>#NUM!</v>
      </c>
      <c r="K138" s="12" t="e">
        <f t="shared" si="11"/>
        <v>#NUM!</v>
      </c>
    </row>
    <row r="139" spans="3:11" ht="26.25" customHeight="1" x14ac:dyDescent="0.15">
      <c r="C139" s="17">
        <v>9</v>
      </c>
      <c r="D139" s="17">
        <v>9</v>
      </c>
      <c r="E139" s="17">
        <v>9</v>
      </c>
      <c r="F139" s="9">
        <f t="shared" si="12"/>
        <v>2.8701734367827116</v>
      </c>
      <c r="G139" s="9">
        <f t="shared" si="13"/>
        <v>0.34841100094666705</v>
      </c>
      <c r="H139" s="34" t="e">
        <f t="shared" si="14"/>
        <v>#NUM!</v>
      </c>
      <c r="I139" s="34" t="e">
        <f t="shared" si="15"/>
        <v>#NUM!</v>
      </c>
      <c r="J139" s="45" t="e">
        <f t="shared" si="10"/>
        <v>#NUM!</v>
      </c>
      <c r="K139" s="12" t="e">
        <f t="shared" si="11"/>
        <v>#NUM!</v>
      </c>
    </row>
    <row r="140" spans="3:11" ht="26.25" customHeight="1" x14ac:dyDescent="0.15">
      <c r="C140" s="17">
        <v>15</v>
      </c>
      <c r="D140" s="17">
        <v>3</v>
      </c>
      <c r="E140" s="17">
        <v>3</v>
      </c>
      <c r="F140" s="9">
        <f t="shared" si="12"/>
        <v>2.8701734367827112</v>
      </c>
      <c r="G140" s="9">
        <f t="shared" si="13"/>
        <v>0.3484110009466671</v>
      </c>
      <c r="H140" s="34" t="e">
        <f t="shared" si="14"/>
        <v>#NUM!</v>
      </c>
      <c r="I140" s="34" t="e">
        <f t="shared" si="15"/>
        <v>#NUM!</v>
      </c>
      <c r="J140" s="45" t="e">
        <f t="shared" si="10"/>
        <v>#NUM!</v>
      </c>
      <c r="K140" s="12" t="e">
        <f t="shared" si="11"/>
        <v>#NUM!</v>
      </c>
    </row>
    <row r="141" spans="3:11" ht="26.25" customHeight="1" x14ac:dyDescent="0.15">
      <c r="C141" s="17">
        <v>12</v>
      </c>
      <c r="D141" s="17">
        <v>8</v>
      </c>
      <c r="E141" s="17">
        <v>6</v>
      </c>
      <c r="F141" s="9">
        <f t="shared" si="12"/>
        <v>2.8760730800825067</v>
      </c>
      <c r="G141" s="9">
        <f t="shared" si="13"/>
        <v>0.3476963109613726</v>
      </c>
      <c r="H141" s="34" t="e">
        <f t="shared" si="14"/>
        <v>#NUM!</v>
      </c>
      <c r="I141" s="34" t="e">
        <f t="shared" si="15"/>
        <v>#NUM!</v>
      </c>
      <c r="J141" s="45" t="e">
        <f t="shared" si="10"/>
        <v>#NUM!</v>
      </c>
      <c r="K141" s="12" t="e">
        <f t="shared" si="11"/>
        <v>#NUM!</v>
      </c>
    </row>
    <row r="142" spans="3:11" ht="26.25" customHeight="1" x14ac:dyDescent="0.15">
      <c r="C142" s="17">
        <v>14</v>
      </c>
      <c r="D142" s="17">
        <v>6</v>
      </c>
      <c r="E142" s="17">
        <v>4</v>
      </c>
      <c r="F142" s="9">
        <f t="shared" si="12"/>
        <v>2.899551617237405</v>
      </c>
      <c r="G142" s="9">
        <f t="shared" si="13"/>
        <v>0.34488090988108233</v>
      </c>
      <c r="H142" s="34" t="e">
        <f t="shared" si="14"/>
        <v>#NUM!</v>
      </c>
      <c r="I142" s="34" t="e">
        <f t="shared" si="15"/>
        <v>#NUM!</v>
      </c>
      <c r="J142" s="45" t="e">
        <f t="shared" ref="J142:J187" si="16">DEGREES(2*$F$9*F142/(2*COS(RADIANS(H142))))</f>
        <v>#NUM!</v>
      </c>
      <c r="K142" s="12" t="e">
        <f t="shared" ref="K142:K187" si="17">DEGREES((0.94*$D$9)/($L$6*10*COS(RADIANS(H142))))+J142+$G$9</f>
        <v>#NUM!</v>
      </c>
    </row>
    <row r="143" spans="3:11" ht="26.25" customHeight="1" x14ac:dyDescent="0.15">
      <c r="C143" s="17">
        <v>12</v>
      </c>
      <c r="D143" s="17">
        <v>10</v>
      </c>
      <c r="E143" s="17">
        <v>2</v>
      </c>
      <c r="F143" s="9">
        <f t="shared" si="12"/>
        <v>2.8995516172374054</v>
      </c>
      <c r="G143" s="9">
        <f t="shared" si="13"/>
        <v>0.34488090988108228</v>
      </c>
      <c r="H143" s="34" t="e">
        <f t="shared" si="14"/>
        <v>#NUM!</v>
      </c>
      <c r="I143" s="34" t="e">
        <f t="shared" si="15"/>
        <v>#NUM!</v>
      </c>
      <c r="J143" s="45" t="e">
        <f t="shared" si="16"/>
        <v>#NUM!</v>
      </c>
      <c r="K143" s="12" t="e">
        <f t="shared" si="17"/>
        <v>#NUM!</v>
      </c>
    </row>
    <row r="144" spans="3:11" ht="26.25" customHeight="1" x14ac:dyDescent="0.15">
      <c r="C144" s="17">
        <v>11</v>
      </c>
      <c r="D144" s="17">
        <v>11</v>
      </c>
      <c r="E144" s="17">
        <v>3</v>
      </c>
      <c r="F144" s="9">
        <f t="shared" si="12"/>
        <v>2.917036509080857</v>
      </c>
      <c r="G144" s="9">
        <f t="shared" si="13"/>
        <v>0.34281367301607574</v>
      </c>
      <c r="H144" s="34" t="e">
        <f t="shared" si="14"/>
        <v>#NUM!</v>
      </c>
      <c r="I144" s="34" t="e">
        <f t="shared" si="15"/>
        <v>#NUM!</v>
      </c>
      <c r="J144" s="45" t="e">
        <f t="shared" si="16"/>
        <v>#NUM!</v>
      </c>
      <c r="K144" s="12" t="e">
        <f t="shared" si="17"/>
        <v>#NUM!</v>
      </c>
    </row>
    <row r="145" spans="3:11" ht="26.25" customHeight="1" x14ac:dyDescent="0.15">
      <c r="C145" s="17">
        <v>11</v>
      </c>
      <c r="D145" s="17">
        <v>9</v>
      </c>
      <c r="E145" s="17">
        <v>7</v>
      </c>
      <c r="F145" s="9">
        <f t="shared" si="12"/>
        <v>2.917036509080857</v>
      </c>
      <c r="G145" s="9">
        <f t="shared" si="13"/>
        <v>0.34281367301607574</v>
      </c>
      <c r="H145" s="34" t="e">
        <f t="shared" si="14"/>
        <v>#NUM!</v>
      </c>
      <c r="I145" s="34" t="e">
        <f t="shared" si="15"/>
        <v>#NUM!</v>
      </c>
      <c r="J145" s="45" t="e">
        <f t="shared" si="16"/>
        <v>#NUM!</v>
      </c>
      <c r="K145" s="12" t="e">
        <f t="shared" si="17"/>
        <v>#NUM!</v>
      </c>
    </row>
    <row r="146" spans="3:11" ht="26.25" customHeight="1" x14ac:dyDescent="0.15">
      <c r="C146" s="17">
        <v>13</v>
      </c>
      <c r="D146" s="17">
        <v>9</v>
      </c>
      <c r="E146" s="17">
        <v>1</v>
      </c>
      <c r="F146" s="9">
        <f t="shared" si="12"/>
        <v>2.917036509080857</v>
      </c>
      <c r="G146" s="9">
        <f t="shared" si="13"/>
        <v>0.34281367301607574</v>
      </c>
      <c r="H146" s="34" t="e">
        <f t="shared" si="14"/>
        <v>#NUM!</v>
      </c>
      <c r="I146" s="34" t="e">
        <f t="shared" si="15"/>
        <v>#NUM!</v>
      </c>
      <c r="J146" s="45" t="e">
        <f t="shared" si="16"/>
        <v>#NUM!</v>
      </c>
      <c r="K146" s="12" t="e">
        <f t="shared" si="17"/>
        <v>#NUM!</v>
      </c>
    </row>
    <row r="147" spans="3:11" ht="26.25" customHeight="1" x14ac:dyDescent="0.15">
      <c r="C147" s="17">
        <v>15</v>
      </c>
      <c r="D147" s="17">
        <v>5</v>
      </c>
      <c r="E147" s="17">
        <v>1</v>
      </c>
      <c r="F147" s="9">
        <f t="shared" si="12"/>
        <v>2.917036509080857</v>
      </c>
      <c r="G147" s="9">
        <f t="shared" si="13"/>
        <v>0.34281367301607574</v>
      </c>
      <c r="H147" s="34" t="e">
        <f t="shared" si="14"/>
        <v>#NUM!</v>
      </c>
      <c r="I147" s="34" t="e">
        <f t="shared" si="15"/>
        <v>#NUM!</v>
      </c>
      <c r="J147" s="45" t="e">
        <f t="shared" si="16"/>
        <v>#NUM!</v>
      </c>
      <c r="K147" s="12" t="e">
        <f t="shared" si="17"/>
        <v>#NUM!</v>
      </c>
    </row>
    <row r="148" spans="3:11" ht="26.25" customHeight="1" x14ac:dyDescent="0.15">
      <c r="C148" s="17">
        <v>16</v>
      </c>
      <c r="D148" s="17">
        <v>0</v>
      </c>
      <c r="E148" s="17">
        <v>0</v>
      </c>
      <c r="F148" s="9">
        <f t="shared" ref="F148:F187" si="18">SQRT(C148^2*$C$6^2+D148^2*$D$6^2+E148^2*$E$6^2+2*$C$6*$D$6*C148*D148*COS(RADIANS($H$6))+2*$C$6*$E$6*C148*E148*COS(RADIANS($G$6))+2*$D$6*$E$6*D148*E148*COS(RADIANS($F$6)))</f>
        <v>2.9459473890620655</v>
      </c>
      <c r="G148" s="9">
        <f t="shared" ref="G148:G187" si="19">1/F148</f>
        <v>0.339449375</v>
      </c>
      <c r="H148" s="34" t="e">
        <f t="shared" ref="H148:H187" si="20">DEGREES(ASIN(F148*$D$9/2))</f>
        <v>#NUM!</v>
      </c>
      <c r="I148" s="34" t="e">
        <f t="shared" ref="I148:I187" si="21">H148*2</f>
        <v>#NUM!</v>
      </c>
      <c r="J148" s="45" t="e">
        <f t="shared" si="16"/>
        <v>#NUM!</v>
      </c>
      <c r="K148" s="12" t="e">
        <f t="shared" si="17"/>
        <v>#NUM!</v>
      </c>
    </row>
    <row r="149" spans="3:11" ht="26.25" customHeight="1" x14ac:dyDescent="0.15">
      <c r="C149" s="17">
        <v>13</v>
      </c>
      <c r="D149" s="17">
        <v>9</v>
      </c>
      <c r="E149" s="17">
        <v>3</v>
      </c>
      <c r="F149" s="9">
        <f t="shared" si="18"/>
        <v>2.9631585231654722</v>
      </c>
      <c r="G149" s="9">
        <f t="shared" si="19"/>
        <v>0.33747772594080577</v>
      </c>
      <c r="H149" s="34" t="e">
        <f t="shared" si="20"/>
        <v>#NUM!</v>
      </c>
      <c r="I149" s="34" t="e">
        <f t="shared" si="21"/>
        <v>#NUM!</v>
      </c>
      <c r="J149" s="45" t="e">
        <f t="shared" si="16"/>
        <v>#NUM!</v>
      </c>
      <c r="K149" s="12" t="e">
        <f t="shared" si="17"/>
        <v>#NUM!</v>
      </c>
    </row>
    <row r="150" spans="3:11" ht="26.25" customHeight="1" x14ac:dyDescent="0.15">
      <c r="C150" s="17">
        <v>15</v>
      </c>
      <c r="D150" s="17">
        <v>5</v>
      </c>
      <c r="E150" s="17">
        <v>3</v>
      </c>
      <c r="F150" s="9">
        <f t="shared" si="18"/>
        <v>2.9631585231654722</v>
      </c>
      <c r="G150" s="9">
        <f t="shared" si="19"/>
        <v>0.33747772594080577</v>
      </c>
      <c r="H150" s="34" t="e">
        <f t="shared" si="20"/>
        <v>#NUM!</v>
      </c>
      <c r="I150" s="34" t="e">
        <f t="shared" si="21"/>
        <v>#NUM!</v>
      </c>
      <c r="J150" s="45" t="e">
        <f t="shared" si="16"/>
        <v>#NUM!</v>
      </c>
      <c r="K150" s="12" t="e">
        <f t="shared" si="17"/>
        <v>#NUM!</v>
      </c>
    </row>
    <row r="151" spans="3:11" ht="26.25" customHeight="1" x14ac:dyDescent="0.15">
      <c r="C151" s="17">
        <v>12</v>
      </c>
      <c r="D151" s="17">
        <v>10</v>
      </c>
      <c r="E151" s="17">
        <v>4</v>
      </c>
      <c r="F151" s="9">
        <f t="shared" si="18"/>
        <v>2.9688733954431901</v>
      </c>
      <c r="G151" s="9">
        <f t="shared" si="19"/>
        <v>0.33682810507678151</v>
      </c>
      <c r="H151" s="34" t="e">
        <f t="shared" si="20"/>
        <v>#NUM!</v>
      </c>
      <c r="I151" s="34" t="e">
        <f t="shared" si="21"/>
        <v>#NUM!</v>
      </c>
      <c r="J151" s="45" t="e">
        <f t="shared" si="16"/>
        <v>#NUM!</v>
      </c>
      <c r="K151" s="12" t="e">
        <f t="shared" si="17"/>
        <v>#NUM!</v>
      </c>
    </row>
    <row r="152" spans="3:11" ht="26.25" customHeight="1" x14ac:dyDescent="0.15">
      <c r="C152" s="17">
        <v>10</v>
      </c>
      <c r="D152" s="17">
        <v>10</v>
      </c>
      <c r="E152" s="17">
        <v>8</v>
      </c>
      <c r="F152" s="9">
        <f t="shared" si="18"/>
        <v>2.9916237158471568</v>
      </c>
      <c r="G152" s="9">
        <f t="shared" si="19"/>
        <v>0.33426663744602109</v>
      </c>
      <c r="H152" s="34" t="e">
        <f t="shared" si="20"/>
        <v>#NUM!</v>
      </c>
      <c r="I152" s="34" t="e">
        <f t="shared" si="21"/>
        <v>#NUM!</v>
      </c>
      <c r="J152" s="45" t="e">
        <f t="shared" si="16"/>
        <v>#NUM!</v>
      </c>
      <c r="K152" s="12" t="e">
        <f t="shared" si="17"/>
        <v>#NUM!</v>
      </c>
    </row>
    <row r="153" spans="3:11" ht="26.25" customHeight="1" x14ac:dyDescent="0.15">
      <c r="C153" s="17">
        <v>14</v>
      </c>
      <c r="D153" s="17">
        <v>8</v>
      </c>
      <c r="E153" s="17">
        <v>2</v>
      </c>
      <c r="F153" s="9">
        <f t="shared" si="18"/>
        <v>2.9916237158471568</v>
      </c>
      <c r="G153" s="9">
        <f t="shared" si="19"/>
        <v>0.33426663744602109</v>
      </c>
      <c r="H153" s="34" t="e">
        <f t="shared" si="20"/>
        <v>#NUM!</v>
      </c>
      <c r="I153" s="34" t="e">
        <f t="shared" si="21"/>
        <v>#NUM!</v>
      </c>
      <c r="J153" s="45" t="e">
        <f t="shared" si="16"/>
        <v>#NUM!</v>
      </c>
      <c r="K153" s="12" t="e">
        <f t="shared" si="17"/>
        <v>#NUM!</v>
      </c>
    </row>
    <row r="154" spans="3:11" ht="26.25" customHeight="1" x14ac:dyDescent="0.15">
      <c r="C154" s="17">
        <v>16</v>
      </c>
      <c r="D154" s="17">
        <v>2</v>
      </c>
      <c r="E154" s="17">
        <v>2</v>
      </c>
      <c r="F154" s="9">
        <f t="shared" si="18"/>
        <v>2.9916237158471568</v>
      </c>
      <c r="G154" s="9">
        <f t="shared" si="19"/>
        <v>0.33426663744602109</v>
      </c>
      <c r="H154" s="34" t="e">
        <f t="shared" si="20"/>
        <v>#NUM!</v>
      </c>
      <c r="I154" s="34" t="e">
        <f t="shared" si="21"/>
        <v>#NUM!</v>
      </c>
      <c r="J154" s="45" t="e">
        <f t="shared" si="16"/>
        <v>#NUM!</v>
      </c>
      <c r="K154" s="12" t="e">
        <f t="shared" si="17"/>
        <v>#NUM!</v>
      </c>
    </row>
    <row r="155" spans="3:11" ht="26.25" customHeight="1" x14ac:dyDescent="0.15">
      <c r="C155" s="17">
        <v>13</v>
      </c>
      <c r="D155" s="17">
        <v>7</v>
      </c>
      <c r="E155" s="17">
        <v>7</v>
      </c>
      <c r="F155" s="9">
        <f t="shared" si="18"/>
        <v>3.0085735609264619</v>
      </c>
      <c r="G155" s="9">
        <f t="shared" si="19"/>
        <v>0.3323834301369249</v>
      </c>
      <c r="H155" s="34" t="e">
        <f t="shared" si="20"/>
        <v>#NUM!</v>
      </c>
      <c r="I155" s="34" t="e">
        <f t="shared" si="21"/>
        <v>#NUM!</v>
      </c>
      <c r="J155" s="45" t="e">
        <f t="shared" si="16"/>
        <v>#NUM!</v>
      </c>
      <c r="K155" s="12" t="e">
        <f t="shared" si="17"/>
        <v>#NUM!</v>
      </c>
    </row>
    <row r="156" spans="3:11" ht="26.25" customHeight="1" x14ac:dyDescent="0.15">
      <c r="C156" s="17">
        <v>11</v>
      </c>
      <c r="D156" s="17">
        <v>11</v>
      </c>
      <c r="E156" s="17">
        <v>5</v>
      </c>
      <c r="F156" s="9">
        <f t="shared" si="18"/>
        <v>3.0085735609264619</v>
      </c>
      <c r="G156" s="9">
        <f t="shared" si="19"/>
        <v>0.3323834301369249</v>
      </c>
      <c r="H156" s="34" t="e">
        <f t="shared" si="20"/>
        <v>#NUM!</v>
      </c>
      <c r="I156" s="34" t="e">
        <f t="shared" si="21"/>
        <v>#NUM!</v>
      </c>
      <c r="J156" s="45" t="e">
        <f t="shared" si="16"/>
        <v>#NUM!</v>
      </c>
      <c r="K156" s="12" t="e">
        <f t="shared" si="17"/>
        <v>#NUM!</v>
      </c>
    </row>
    <row r="157" spans="3:11" ht="26.25" customHeight="1" x14ac:dyDescent="0.15">
      <c r="C157" s="17">
        <v>14</v>
      </c>
      <c r="D157" s="17">
        <v>6</v>
      </c>
      <c r="E157" s="17">
        <v>6</v>
      </c>
      <c r="F157" s="9">
        <f t="shared" si="18"/>
        <v>3.0142023283561983</v>
      </c>
      <c r="G157" s="9">
        <f t="shared" si="19"/>
        <v>0.33176273224676067</v>
      </c>
      <c r="H157" s="34" t="e">
        <f t="shared" si="20"/>
        <v>#NUM!</v>
      </c>
      <c r="I157" s="34" t="e">
        <f t="shared" si="21"/>
        <v>#NUM!</v>
      </c>
      <c r="J157" s="45" t="e">
        <f t="shared" si="16"/>
        <v>#NUM!</v>
      </c>
      <c r="K157" s="12" t="e">
        <f t="shared" si="17"/>
        <v>#NUM!</v>
      </c>
    </row>
    <row r="158" spans="3:11" ht="26.25" customHeight="1" x14ac:dyDescent="0.15">
      <c r="C158" s="17">
        <v>12</v>
      </c>
      <c r="D158" s="17">
        <v>8</v>
      </c>
      <c r="E158" s="17">
        <v>8</v>
      </c>
      <c r="F158" s="9">
        <f t="shared" si="18"/>
        <v>3.0366130631538653</v>
      </c>
      <c r="G158" s="9">
        <f t="shared" si="19"/>
        <v>0.32931426533527036</v>
      </c>
      <c r="H158" s="34" t="e">
        <f t="shared" si="20"/>
        <v>#NUM!</v>
      </c>
      <c r="I158" s="34" t="e">
        <f t="shared" si="21"/>
        <v>#NUM!</v>
      </c>
      <c r="J158" s="45" t="e">
        <f t="shared" si="16"/>
        <v>#NUM!</v>
      </c>
      <c r="K158" s="12" t="e">
        <f t="shared" si="17"/>
        <v>#NUM!</v>
      </c>
    </row>
    <row r="159" spans="3:11" ht="26.25" customHeight="1" x14ac:dyDescent="0.15">
      <c r="C159" s="17">
        <v>16</v>
      </c>
      <c r="D159" s="17">
        <v>4</v>
      </c>
      <c r="E159" s="17">
        <v>0</v>
      </c>
      <c r="F159" s="9">
        <f t="shared" si="18"/>
        <v>3.0366130631538653</v>
      </c>
      <c r="G159" s="9">
        <f t="shared" si="19"/>
        <v>0.32931426533527036</v>
      </c>
      <c r="H159" s="34" t="e">
        <f t="shared" si="20"/>
        <v>#NUM!</v>
      </c>
      <c r="I159" s="34" t="e">
        <f t="shared" si="21"/>
        <v>#NUM!</v>
      </c>
      <c r="J159" s="45" t="e">
        <f t="shared" si="16"/>
        <v>#NUM!</v>
      </c>
      <c r="K159" s="12" t="e">
        <f t="shared" si="17"/>
        <v>#NUM!</v>
      </c>
    </row>
    <row r="160" spans="3:11" ht="26.25" customHeight="1" x14ac:dyDescent="0.15">
      <c r="C160" s="17">
        <v>13</v>
      </c>
      <c r="D160" s="17">
        <v>9</v>
      </c>
      <c r="E160" s="17">
        <v>5</v>
      </c>
      <c r="F160" s="9">
        <f t="shared" si="18"/>
        <v>3.0533131692643782</v>
      </c>
      <c r="G160" s="9">
        <f t="shared" si="19"/>
        <v>0.32751307991146084</v>
      </c>
      <c r="H160" s="34" t="e">
        <f t="shared" si="20"/>
        <v>#NUM!</v>
      </c>
      <c r="I160" s="34" t="e">
        <f t="shared" si="21"/>
        <v>#NUM!</v>
      </c>
      <c r="J160" s="45" t="e">
        <f t="shared" si="16"/>
        <v>#NUM!</v>
      </c>
      <c r="K160" s="12" t="e">
        <f t="shared" si="17"/>
        <v>#NUM!</v>
      </c>
    </row>
    <row r="161" spans="3:11" ht="26.25" customHeight="1" x14ac:dyDescent="0.15">
      <c r="C161" s="17">
        <v>15</v>
      </c>
      <c r="D161" s="17">
        <v>7</v>
      </c>
      <c r="E161" s="17">
        <v>1</v>
      </c>
      <c r="F161" s="9">
        <f t="shared" si="18"/>
        <v>3.0533131692643782</v>
      </c>
      <c r="G161" s="9">
        <f t="shared" si="19"/>
        <v>0.32751307991146084</v>
      </c>
      <c r="H161" s="34" t="e">
        <f t="shared" si="20"/>
        <v>#NUM!</v>
      </c>
      <c r="I161" s="34" t="e">
        <f t="shared" si="21"/>
        <v>#NUM!</v>
      </c>
      <c r="J161" s="45" t="e">
        <f t="shared" si="16"/>
        <v>#NUM!</v>
      </c>
      <c r="K161" s="12" t="e">
        <f t="shared" si="17"/>
        <v>#NUM!</v>
      </c>
    </row>
    <row r="162" spans="3:11" ht="26.25" customHeight="1" x14ac:dyDescent="0.15">
      <c r="C162" s="17">
        <v>15</v>
      </c>
      <c r="D162" s="17">
        <v>5</v>
      </c>
      <c r="E162" s="17">
        <v>5</v>
      </c>
      <c r="F162" s="9">
        <f t="shared" si="18"/>
        <v>3.0533131692643782</v>
      </c>
      <c r="G162" s="9">
        <f t="shared" si="19"/>
        <v>0.32751307991146084</v>
      </c>
      <c r="H162" s="34" t="e">
        <f t="shared" si="20"/>
        <v>#NUM!</v>
      </c>
      <c r="I162" s="34" t="e">
        <f t="shared" si="21"/>
        <v>#NUM!</v>
      </c>
      <c r="J162" s="45" t="e">
        <f t="shared" si="16"/>
        <v>#NUM!</v>
      </c>
      <c r="K162" s="12" t="e">
        <f t="shared" si="17"/>
        <v>#NUM!</v>
      </c>
    </row>
    <row r="163" spans="3:11" ht="26.25" customHeight="1" x14ac:dyDescent="0.15">
      <c r="C163" s="17">
        <v>14</v>
      </c>
      <c r="D163" s="17">
        <v>8</v>
      </c>
      <c r="E163" s="17">
        <v>4</v>
      </c>
      <c r="F163" s="9">
        <f t="shared" si="18"/>
        <v>3.058859610110519</v>
      </c>
      <c r="G163" s="9">
        <f t="shared" si="19"/>
        <v>0.32691922071044943</v>
      </c>
      <c r="H163" s="34" t="e">
        <f t="shared" si="20"/>
        <v>#NUM!</v>
      </c>
      <c r="I163" s="34" t="e">
        <f t="shared" si="21"/>
        <v>#NUM!</v>
      </c>
      <c r="J163" s="45" t="e">
        <f t="shared" si="16"/>
        <v>#NUM!</v>
      </c>
      <c r="K163" s="12" t="e">
        <f t="shared" si="17"/>
        <v>#NUM!</v>
      </c>
    </row>
    <row r="164" spans="3:11" ht="26.25" customHeight="1" x14ac:dyDescent="0.15">
      <c r="C164" s="17">
        <v>16</v>
      </c>
      <c r="D164" s="17">
        <v>4</v>
      </c>
      <c r="E164" s="17">
        <v>2</v>
      </c>
      <c r="F164" s="9">
        <f t="shared" si="18"/>
        <v>3.058859610110519</v>
      </c>
      <c r="G164" s="9">
        <f t="shared" si="19"/>
        <v>0.32691922071044943</v>
      </c>
      <c r="H164" s="34" t="e">
        <f t="shared" si="20"/>
        <v>#NUM!</v>
      </c>
      <c r="I164" s="34" t="e">
        <f t="shared" si="21"/>
        <v>#NUM!</v>
      </c>
      <c r="J164" s="45" t="e">
        <f t="shared" si="16"/>
        <v>#NUM!</v>
      </c>
      <c r="K164" s="12" t="e">
        <f t="shared" si="17"/>
        <v>#NUM!</v>
      </c>
    </row>
    <row r="165" spans="3:11" ht="26.25" customHeight="1" x14ac:dyDescent="0.15">
      <c r="C165" s="17">
        <v>12</v>
      </c>
      <c r="D165" s="17">
        <v>10</v>
      </c>
      <c r="E165" s="17">
        <v>6</v>
      </c>
      <c r="F165" s="9">
        <f t="shared" si="18"/>
        <v>3.0809455258758232</v>
      </c>
      <c r="G165" s="9">
        <f t="shared" si="19"/>
        <v>0.32457568353654326</v>
      </c>
      <c r="H165" s="34" t="e">
        <f t="shared" si="20"/>
        <v>#NUM!</v>
      </c>
      <c r="I165" s="34" t="e">
        <f t="shared" si="21"/>
        <v>#NUM!</v>
      </c>
      <c r="J165" s="45" t="e">
        <f t="shared" si="16"/>
        <v>#NUM!</v>
      </c>
      <c r="K165" s="12" t="e">
        <f t="shared" si="17"/>
        <v>#NUM!</v>
      </c>
    </row>
    <row r="166" spans="3:11" ht="26.25" customHeight="1" x14ac:dyDescent="0.15">
      <c r="C166" s="17">
        <v>11</v>
      </c>
      <c r="D166" s="17">
        <v>9</v>
      </c>
      <c r="E166" s="17">
        <v>9</v>
      </c>
      <c r="F166" s="9">
        <f t="shared" si="18"/>
        <v>3.0974066164617184</v>
      </c>
      <c r="G166" s="9">
        <f t="shared" si="19"/>
        <v>0.32285073412232096</v>
      </c>
      <c r="H166" s="34" t="e">
        <f t="shared" si="20"/>
        <v>#NUM!</v>
      </c>
      <c r="I166" s="34" t="e">
        <f t="shared" si="21"/>
        <v>#NUM!</v>
      </c>
      <c r="J166" s="45" t="e">
        <f t="shared" si="16"/>
        <v>#NUM!</v>
      </c>
      <c r="K166" s="12" t="e">
        <f t="shared" si="17"/>
        <v>#NUM!</v>
      </c>
    </row>
    <row r="167" spans="3:11" ht="26.25" customHeight="1" x14ac:dyDescent="0.15">
      <c r="C167" s="17">
        <v>15</v>
      </c>
      <c r="D167" s="17">
        <v>7</v>
      </c>
      <c r="E167" s="17">
        <v>3</v>
      </c>
      <c r="F167" s="9">
        <f t="shared" si="18"/>
        <v>3.0974066164617184</v>
      </c>
      <c r="G167" s="9">
        <f t="shared" si="19"/>
        <v>0.32285073412232096</v>
      </c>
      <c r="H167" s="34" t="e">
        <f t="shared" si="20"/>
        <v>#NUM!</v>
      </c>
      <c r="I167" s="34" t="e">
        <f t="shared" si="21"/>
        <v>#NUM!</v>
      </c>
      <c r="J167" s="45" t="e">
        <f t="shared" si="16"/>
        <v>#NUM!</v>
      </c>
      <c r="K167" s="12" t="e">
        <f t="shared" si="17"/>
        <v>#NUM!</v>
      </c>
    </row>
    <row r="168" spans="3:11" ht="26.25" customHeight="1" x14ac:dyDescent="0.15">
      <c r="C168" s="17">
        <v>16</v>
      </c>
      <c r="D168" s="17">
        <v>4</v>
      </c>
      <c r="E168" s="17">
        <v>4</v>
      </c>
      <c r="F168" s="9">
        <f t="shared" si="18"/>
        <v>3.1246490637368862</v>
      </c>
      <c r="G168" s="9">
        <f t="shared" si="19"/>
        <v>0.32003593990938045</v>
      </c>
      <c r="H168" s="34" t="e">
        <f t="shared" si="20"/>
        <v>#NUM!</v>
      </c>
      <c r="I168" s="34" t="e">
        <f t="shared" si="21"/>
        <v>#NUM!</v>
      </c>
      <c r="J168" s="45" t="e">
        <f t="shared" si="16"/>
        <v>#NUM!</v>
      </c>
      <c r="K168" s="12" t="e">
        <f t="shared" si="17"/>
        <v>#NUM!</v>
      </c>
    </row>
    <row r="169" spans="3:11" ht="26.25" customHeight="1" x14ac:dyDescent="0.15">
      <c r="C169" s="17">
        <v>12</v>
      </c>
      <c r="D169" s="17">
        <v>12</v>
      </c>
      <c r="E169" s="17">
        <v>0</v>
      </c>
      <c r="F169" s="9">
        <f t="shared" si="18"/>
        <v>3.1246490637368862</v>
      </c>
      <c r="G169" s="9">
        <f t="shared" si="19"/>
        <v>0.32003593990938045</v>
      </c>
      <c r="H169" s="34" t="e">
        <f t="shared" si="20"/>
        <v>#NUM!</v>
      </c>
      <c r="I169" s="34" t="e">
        <f t="shared" si="21"/>
        <v>#NUM!</v>
      </c>
      <c r="J169" s="45" t="e">
        <f t="shared" si="16"/>
        <v>#NUM!</v>
      </c>
      <c r="K169" s="12" t="e">
        <f t="shared" si="17"/>
        <v>#NUM!</v>
      </c>
    </row>
    <row r="170" spans="3:11" ht="26.25" customHeight="1" x14ac:dyDescent="0.15">
      <c r="C170" s="17">
        <v>11</v>
      </c>
      <c r="D170" s="17">
        <v>11</v>
      </c>
      <c r="E170" s="17">
        <v>7</v>
      </c>
      <c r="F170" s="9">
        <f t="shared" si="18"/>
        <v>3.140881116151705</v>
      </c>
      <c r="G170" s="9">
        <f t="shared" si="19"/>
        <v>0.31838199633140774</v>
      </c>
      <c r="H170" s="34" t="e">
        <f t="shared" si="20"/>
        <v>#NUM!</v>
      </c>
      <c r="I170" s="34" t="e">
        <f t="shared" si="21"/>
        <v>#NUM!</v>
      </c>
      <c r="J170" s="45" t="e">
        <f t="shared" si="16"/>
        <v>#NUM!</v>
      </c>
      <c r="K170" s="12" t="e">
        <f t="shared" si="17"/>
        <v>#NUM!</v>
      </c>
    </row>
    <row r="171" spans="3:11" ht="26.25" customHeight="1" x14ac:dyDescent="0.15">
      <c r="C171" s="17">
        <v>13</v>
      </c>
      <c r="D171" s="17">
        <v>11</v>
      </c>
      <c r="E171" s="17">
        <v>1</v>
      </c>
      <c r="F171" s="9">
        <f t="shared" si="18"/>
        <v>3.1408811161517054</v>
      </c>
      <c r="G171" s="9">
        <f t="shared" si="19"/>
        <v>0.31838199633140768</v>
      </c>
      <c r="H171" s="34" t="e">
        <f t="shared" si="20"/>
        <v>#NUM!</v>
      </c>
      <c r="I171" s="34" t="e">
        <f t="shared" si="21"/>
        <v>#NUM!</v>
      </c>
      <c r="J171" s="45" t="e">
        <f t="shared" si="16"/>
        <v>#NUM!</v>
      </c>
      <c r="K171" s="12" t="e">
        <f t="shared" si="17"/>
        <v>#NUM!</v>
      </c>
    </row>
    <row r="172" spans="3:11" ht="26.25" customHeight="1" x14ac:dyDescent="0.15">
      <c r="C172" s="17">
        <v>17</v>
      </c>
      <c r="D172" s="17">
        <v>1</v>
      </c>
      <c r="E172" s="17">
        <v>1</v>
      </c>
      <c r="F172" s="9">
        <f t="shared" si="18"/>
        <v>3.1408811161517054</v>
      </c>
      <c r="G172" s="9">
        <f t="shared" si="19"/>
        <v>0.31838199633140768</v>
      </c>
      <c r="H172" s="34" t="e">
        <f t="shared" si="20"/>
        <v>#NUM!</v>
      </c>
      <c r="I172" s="34" t="e">
        <f t="shared" si="21"/>
        <v>#NUM!</v>
      </c>
      <c r="J172" s="45" t="e">
        <f t="shared" si="16"/>
        <v>#NUM!</v>
      </c>
      <c r="K172" s="12" t="e">
        <f t="shared" si="17"/>
        <v>#NUM!</v>
      </c>
    </row>
    <row r="173" spans="3:11" ht="26.25" customHeight="1" x14ac:dyDescent="0.15">
      <c r="C173" s="17">
        <v>12</v>
      </c>
      <c r="D173" s="17">
        <v>12</v>
      </c>
      <c r="E173" s="17">
        <v>2</v>
      </c>
      <c r="F173" s="9">
        <f t="shared" si="18"/>
        <v>3.1462731907068364</v>
      </c>
      <c r="G173" s="9">
        <f t="shared" si="19"/>
        <v>0.31783635412007616</v>
      </c>
      <c r="H173" s="34" t="e">
        <f t="shared" si="20"/>
        <v>#NUM!</v>
      </c>
      <c r="I173" s="34" t="e">
        <f t="shared" si="21"/>
        <v>#NUM!</v>
      </c>
      <c r="J173" s="45" t="e">
        <f t="shared" si="16"/>
        <v>#NUM!</v>
      </c>
      <c r="K173" s="12" t="e">
        <f t="shared" si="17"/>
        <v>#NUM!</v>
      </c>
    </row>
    <row r="174" spans="3:11" ht="26.25" customHeight="1" x14ac:dyDescent="0.15">
      <c r="C174" s="17">
        <v>16</v>
      </c>
      <c r="D174" s="17">
        <v>6</v>
      </c>
      <c r="E174" s="17">
        <v>2</v>
      </c>
      <c r="F174" s="9">
        <f t="shared" si="18"/>
        <v>3.1677497075383578</v>
      </c>
      <c r="G174" s="9">
        <f t="shared" si="19"/>
        <v>0.31568150653452193</v>
      </c>
      <c r="H174" s="34" t="e">
        <f t="shared" si="20"/>
        <v>#NUM!</v>
      </c>
      <c r="I174" s="34" t="e">
        <f t="shared" si="21"/>
        <v>#NUM!</v>
      </c>
      <c r="J174" s="45" t="e">
        <f t="shared" si="16"/>
        <v>#NUM!</v>
      </c>
      <c r="K174" s="12" t="e">
        <f t="shared" si="17"/>
        <v>#NUM!</v>
      </c>
    </row>
    <row r="175" spans="3:11" ht="26.25" customHeight="1" x14ac:dyDescent="0.15">
      <c r="C175" s="17">
        <v>14</v>
      </c>
      <c r="D175" s="17">
        <v>8</v>
      </c>
      <c r="E175" s="17">
        <v>6</v>
      </c>
      <c r="F175" s="9">
        <f t="shared" si="18"/>
        <v>3.1677497075383578</v>
      </c>
      <c r="G175" s="9">
        <f t="shared" si="19"/>
        <v>0.31568150653452193</v>
      </c>
      <c r="H175" s="34" t="e">
        <f t="shared" si="20"/>
        <v>#NUM!</v>
      </c>
      <c r="I175" s="34" t="e">
        <f t="shared" si="21"/>
        <v>#NUM!</v>
      </c>
      <c r="J175" s="45" t="e">
        <f t="shared" si="16"/>
        <v>#NUM!</v>
      </c>
      <c r="K175" s="12" t="e">
        <f t="shared" si="17"/>
        <v>#NUM!</v>
      </c>
    </row>
    <row r="176" spans="3:11" ht="26.25" customHeight="1" x14ac:dyDescent="0.15">
      <c r="C176" s="17">
        <v>14</v>
      </c>
      <c r="D176" s="17">
        <v>10</v>
      </c>
      <c r="E176" s="17">
        <v>0</v>
      </c>
      <c r="F176" s="9">
        <f t="shared" si="18"/>
        <v>3.1677497075383578</v>
      </c>
      <c r="G176" s="9">
        <f t="shared" si="19"/>
        <v>0.31568150653452193</v>
      </c>
      <c r="H176" s="34" t="e">
        <f t="shared" si="20"/>
        <v>#NUM!</v>
      </c>
      <c r="I176" s="34" t="e">
        <f t="shared" si="21"/>
        <v>#NUM!</v>
      </c>
      <c r="J176" s="45" t="e">
        <f t="shared" si="16"/>
        <v>#NUM!</v>
      </c>
      <c r="K176" s="12" t="e">
        <f t="shared" si="17"/>
        <v>#NUM!</v>
      </c>
    </row>
    <row r="177" spans="3:11" ht="26.25" customHeight="1" x14ac:dyDescent="0.15">
      <c r="C177" s="17">
        <v>13</v>
      </c>
      <c r="D177" s="17">
        <v>11</v>
      </c>
      <c r="E177" s="17">
        <v>3</v>
      </c>
      <c r="F177" s="9">
        <f t="shared" si="18"/>
        <v>3.1837620237536495</v>
      </c>
      <c r="G177" s="9">
        <f t="shared" si="19"/>
        <v>0.31409382753457243</v>
      </c>
      <c r="H177" s="34" t="e">
        <f t="shared" si="20"/>
        <v>#NUM!</v>
      </c>
      <c r="I177" s="34" t="e">
        <f t="shared" si="21"/>
        <v>#NUM!</v>
      </c>
      <c r="J177" s="45" t="e">
        <f t="shared" si="16"/>
        <v>#NUM!</v>
      </c>
      <c r="K177" s="12" t="e">
        <f t="shared" si="17"/>
        <v>#NUM!</v>
      </c>
    </row>
    <row r="178" spans="3:11" ht="26.25" customHeight="1" x14ac:dyDescent="0.15">
      <c r="C178" s="17">
        <v>13</v>
      </c>
      <c r="D178" s="17">
        <v>9</v>
      </c>
      <c r="E178" s="17">
        <v>7</v>
      </c>
      <c r="F178" s="9">
        <f t="shared" si="18"/>
        <v>3.183762023753649</v>
      </c>
      <c r="G178" s="9">
        <f t="shared" si="19"/>
        <v>0.31409382753457243</v>
      </c>
      <c r="H178" s="34" t="e">
        <f t="shared" si="20"/>
        <v>#NUM!</v>
      </c>
      <c r="I178" s="34" t="e">
        <f t="shared" si="21"/>
        <v>#NUM!</v>
      </c>
      <c r="J178" s="45" t="e">
        <f t="shared" si="16"/>
        <v>#NUM!</v>
      </c>
      <c r="K178" s="12" t="e">
        <f t="shared" si="17"/>
        <v>#NUM!</v>
      </c>
    </row>
    <row r="179" spans="3:11" ht="26.25" customHeight="1" x14ac:dyDescent="0.15">
      <c r="C179" s="17">
        <v>15</v>
      </c>
      <c r="D179" s="17">
        <v>7</v>
      </c>
      <c r="E179" s="17">
        <v>5</v>
      </c>
      <c r="F179" s="9">
        <f t="shared" si="18"/>
        <v>3.183762023753649</v>
      </c>
      <c r="G179" s="9">
        <f t="shared" si="19"/>
        <v>0.31409382753457243</v>
      </c>
      <c r="H179" s="34" t="e">
        <f t="shared" si="20"/>
        <v>#NUM!</v>
      </c>
      <c r="I179" s="34" t="e">
        <f t="shared" si="21"/>
        <v>#NUM!</v>
      </c>
      <c r="J179" s="45" t="e">
        <f t="shared" si="16"/>
        <v>#NUM!</v>
      </c>
      <c r="K179" s="12" t="e">
        <f t="shared" si="17"/>
        <v>#NUM!</v>
      </c>
    </row>
    <row r="180" spans="3:11" ht="26.25" customHeight="1" x14ac:dyDescent="0.15">
      <c r="C180" s="17">
        <v>17</v>
      </c>
      <c r="D180" s="17">
        <v>3</v>
      </c>
      <c r="E180" s="17">
        <v>1</v>
      </c>
      <c r="F180" s="9">
        <f t="shared" si="18"/>
        <v>3.1837620237536495</v>
      </c>
      <c r="G180" s="9">
        <f t="shared" si="19"/>
        <v>0.31409382753457243</v>
      </c>
      <c r="H180" s="34" t="e">
        <f t="shared" si="20"/>
        <v>#NUM!</v>
      </c>
      <c r="I180" s="34" t="e">
        <f t="shared" si="21"/>
        <v>#NUM!</v>
      </c>
      <c r="J180" s="45" t="e">
        <f t="shared" si="16"/>
        <v>#NUM!</v>
      </c>
      <c r="K180" s="12" t="e">
        <f t="shared" si="17"/>
        <v>#NUM!</v>
      </c>
    </row>
    <row r="181" spans="3:11" ht="26.25" customHeight="1" x14ac:dyDescent="0.15">
      <c r="C181" s="17">
        <v>14</v>
      </c>
      <c r="D181" s="17">
        <v>10</v>
      </c>
      <c r="E181" s="17">
        <v>2</v>
      </c>
      <c r="F181" s="9">
        <f t="shared" si="18"/>
        <v>3.1890815964252353</v>
      </c>
      <c r="G181" s="9">
        <f t="shared" si="19"/>
        <v>0.31356990085200037</v>
      </c>
      <c r="H181" s="34" t="e">
        <f t="shared" si="20"/>
        <v>#NUM!</v>
      </c>
      <c r="I181" s="34" t="e">
        <f t="shared" si="21"/>
        <v>#NUM!</v>
      </c>
      <c r="J181" s="45" t="e">
        <f t="shared" si="16"/>
        <v>#NUM!</v>
      </c>
      <c r="K181" s="12" t="e">
        <f t="shared" si="17"/>
        <v>#NUM!</v>
      </c>
    </row>
    <row r="182" spans="3:11" ht="26.25" customHeight="1" x14ac:dyDescent="0.15">
      <c r="C182" s="17">
        <v>10</v>
      </c>
      <c r="D182" s="17">
        <v>10</v>
      </c>
      <c r="E182" s="17">
        <v>10</v>
      </c>
      <c r="F182" s="9">
        <f t="shared" si="18"/>
        <v>3.1890815964252353</v>
      </c>
      <c r="G182" s="9">
        <f t="shared" si="19"/>
        <v>0.31356990085200037</v>
      </c>
      <c r="H182" s="34" t="e">
        <f t="shared" si="20"/>
        <v>#NUM!</v>
      </c>
      <c r="I182" s="34" t="e">
        <f t="shared" si="21"/>
        <v>#NUM!</v>
      </c>
      <c r="J182" s="45" t="e">
        <f t="shared" si="16"/>
        <v>#NUM!</v>
      </c>
      <c r="K182" s="12" t="e">
        <f t="shared" si="17"/>
        <v>#NUM!</v>
      </c>
    </row>
    <row r="183" spans="3:11" ht="26.25" customHeight="1" x14ac:dyDescent="0.15">
      <c r="C183" s="17">
        <v>12</v>
      </c>
      <c r="D183" s="17">
        <v>12</v>
      </c>
      <c r="E183" s="17">
        <v>4</v>
      </c>
      <c r="F183" s="9">
        <f t="shared" si="18"/>
        <v>3.2102717404772605</v>
      </c>
      <c r="G183" s="9">
        <f t="shared" si="19"/>
        <v>0.31150010991011412</v>
      </c>
      <c r="H183" s="34" t="e">
        <f t="shared" si="20"/>
        <v>#NUM!</v>
      </c>
      <c r="I183" s="34" t="e">
        <f t="shared" si="21"/>
        <v>#NUM!</v>
      </c>
      <c r="J183" s="45" t="e">
        <f t="shared" si="16"/>
        <v>#NUM!</v>
      </c>
      <c r="K183" s="12" t="e">
        <f t="shared" si="17"/>
        <v>#NUM!</v>
      </c>
    </row>
    <row r="184" spans="3:11" ht="26.25" customHeight="1" x14ac:dyDescent="0.15">
      <c r="C184" s="17">
        <v>17</v>
      </c>
      <c r="D184" s="17">
        <v>3</v>
      </c>
      <c r="E184" s="17">
        <v>3</v>
      </c>
      <c r="F184" s="9">
        <f t="shared" si="18"/>
        <v>3.2260730094022181</v>
      </c>
      <c r="G184" s="9">
        <f t="shared" si="19"/>
        <v>0.30997438591301352</v>
      </c>
      <c r="H184" s="34" t="e">
        <f t="shared" si="20"/>
        <v>#NUM!</v>
      </c>
      <c r="I184" s="34" t="e">
        <f t="shared" si="21"/>
        <v>#NUM!</v>
      </c>
      <c r="J184" s="45" t="e">
        <f t="shared" si="16"/>
        <v>#NUM!</v>
      </c>
      <c r="K184" s="12" t="e">
        <f t="shared" si="17"/>
        <v>#NUM!</v>
      </c>
    </row>
    <row r="185" spans="3:11" ht="26.25" customHeight="1" x14ac:dyDescent="0.15">
      <c r="C185" s="17">
        <v>15</v>
      </c>
      <c r="D185" s="17">
        <v>9</v>
      </c>
      <c r="E185" s="17">
        <v>1</v>
      </c>
      <c r="F185" s="9">
        <f t="shared" si="18"/>
        <v>3.2260730094022176</v>
      </c>
      <c r="G185" s="9">
        <f t="shared" si="19"/>
        <v>0.30997438591301357</v>
      </c>
      <c r="H185" s="34" t="e">
        <f t="shared" si="20"/>
        <v>#NUM!</v>
      </c>
      <c r="I185" s="34" t="e">
        <f t="shared" si="21"/>
        <v>#NUM!</v>
      </c>
      <c r="J185" s="45" t="e">
        <f t="shared" si="16"/>
        <v>#NUM!</v>
      </c>
      <c r="K185" s="12" t="e">
        <f t="shared" si="17"/>
        <v>#NUM!</v>
      </c>
    </row>
    <row r="186" spans="3:11" ht="26.25" customHeight="1" x14ac:dyDescent="0.15">
      <c r="C186" s="17">
        <v>16</v>
      </c>
      <c r="D186" s="17">
        <v>6</v>
      </c>
      <c r="E186" s="17">
        <v>4</v>
      </c>
      <c r="F186" s="9">
        <f t="shared" si="18"/>
        <v>3.2313229282688036</v>
      </c>
      <c r="G186" s="9">
        <f t="shared" si="19"/>
        <v>0.30947077163091052</v>
      </c>
      <c r="H186" s="34" t="e">
        <f t="shared" si="20"/>
        <v>#NUM!</v>
      </c>
      <c r="I186" s="34" t="e">
        <f t="shared" si="21"/>
        <v>#NUM!</v>
      </c>
      <c r="J186" s="45" t="e">
        <f t="shared" si="16"/>
        <v>#NUM!</v>
      </c>
      <c r="K186" s="12" t="e">
        <f t="shared" si="17"/>
        <v>#NUM!</v>
      </c>
    </row>
    <row r="187" spans="3:11" ht="26.25" customHeight="1" x14ac:dyDescent="0.15">
      <c r="C187" s="17">
        <v>12</v>
      </c>
      <c r="D187" s="17">
        <v>10</v>
      </c>
      <c r="E187" s="17">
        <v>8</v>
      </c>
      <c r="F187" s="9">
        <f t="shared" si="18"/>
        <v>3.2313229282688036</v>
      </c>
      <c r="G187" s="9">
        <f t="shared" si="19"/>
        <v>0.30947077163091052</v>
      </c>
      <c r="H187" s="34" t="e">
        <f t="shared" si="20"/>
        <v>#NUM!</v>
      </c>
      <c r="I187" s="34" t="e">
        <f t="shared" si="21"/>
        <v>#NUM!</v>
      </c>
      <c r="J187" s="45" t="e">
        <f t="shared" si="16"/>
        <v>#NUM!</v>
      </c>
      <c r="K187" s="12" t="e">
        <f t="shared" si="17"/>
        <v>#NUM!</v>
      </c>
    </row>
  </sheetData>
  <mergeCells count="2">
    <mergeCell ref="C11:E11"/>
    <mergeCell ref="H11:I1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角度計算</vt:lpstr>
      <vt:lpstr>E計算</vt:lpstr>
      <vt:lpstr>Si</vt:lpstr>
      <vt:lpstr>半値幅(Powder)</vt:lpstr>
      <vt:lpstr>半値幅(single)</vt:lpstr>
      <vt:lpstr>角度計算!Print_Area</vt:lpstr>
    </vt:vector>
  </TitlesOfParts>
  <Company> SAGA-LS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BL15</dc:creator>
  <cp:lastModifiedBy>Eisuke Magome</cp:lastModifiedBy>
  <cp:lastPrinted>2013-02-20T04:44:15Z</cp:lastPrinted>
  <dcterms:created xsi:type="dcterms:W3CDTF">2010-06-23T04:52:16Z</dcterms:created>
  <dcterms:modified xsi:type="dcterms:W3CDTF">2025-08-20T09:25:23Z</dcterms:modified>
</cp:coreProperties>
</file>