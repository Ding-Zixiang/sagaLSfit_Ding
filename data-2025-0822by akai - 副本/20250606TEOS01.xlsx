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"/>
    </mc:Choice>
  </mc:AlternateContent>
  <xr:revisionPtr revIDLastSave="2" documentId="13_ncr:1_{D60BA218-AB87-40B2-AF95-2C193C8805BB}" xr6:coauthVersionLast="47" xr6:coauthVersionMax="47" xr10:uidLastSave="{2587F145-1F87-4CEA-9A47-C20E907F2ED4}"/>
  <bookViews>
    <workbookView xWindow="-98" yWindow="-98" windowWidth="23236" windowHeight="13875" firstSheet="6" activeTab="8" xr2:uid="{66CF3292-31E3-4B5A-8FBF-DDBF0BB0D33D}"/>
  </bookViews>
  <sheets>
    <sheet name="RoughTEOS_04" sheetId="9" r:id="rId1"/>
    <sheet name="RoughTEOS_03" sheetId="8" r:id="rId2"/>
    <sheet name="RoughTEOS_01" sheetId="6" r:id="rId3"/>
    <sheet name="RoughTEOS_02" sheetId="5" r:id="rId4"/>
    <sheet name="TEOS_01" sheetId="2" r:id="rId5"/>
    <sheet name="Si_Thermo_05" sheetId="12" r:id="rId6"/>
    <sheet name="Si_Thermo_03" sheetId="11" r:id="rId7"/>
    <sheet name="Sheet1" sheetId="13" r:id="rId8"/>
    <sheet name="Si_Thermo_01" sheetId="1" r:id="rId9"/>
    <sheet name="TEOS_01_omega" sheetId="4" r:id="rId10"/>
    <sheet name="RoughTEOS_01_omega" sheetId="7" r:id="rId11"/>
    <sheet name="Si_Thermo_01_omega" sheetId="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2" i="12" l="1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O29" i="2"/>
  <c r="N29" i="2"/>
  <c r="M27" i="2"/>
  <c r="N27" i="2" s="1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J23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22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22" i="6" l="1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22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22" i="3"/>
  <c r="E23" i="3"/>
  <c r="E24" i="3"/>
  <c r="E25" i="3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" i="1"/>
</calcChain>
</file>

<file path=xl/sharedStrings.xml><?xml version="1.0" encoding="utf-8"?>
<sst xmlns="http://schemas.openxmlformats.org/spreadsheetml/2006/main" count="264" uniqueCount="85">
  <si>
    <t>Si_Thermo_01.dat</t>
  </si>
  <si>
    <t>2025/06/06 10:35:40 - 11:13:11</t>
  </si>
  <si>
    <t>θ : 35.1374 deg</t>
  </si>
  <si>
    <t>2θ : 69.5929 deg</t>
  </si>
  <si>
    <t>χ : 90.2177 deg</t>
  </si>
  <si>
    <t>φ : 0.0000 deg</t>
  </si>
  <si>
    <t>Sz : 13.266 mm</t>
  </si>
  <si>
    <t>Rx : 0.0000 deg</t>
  </si>
  <si>
    <t>Ry : 0.0087 deg</t>
  </si>
  <si>
    <t>I0 slit H : 0.10 mm</t>
  </si>
  <si>
    <t>I0 slit W : 5.00 mm</t>
  </si>
  <si>
    <t>R1 slit H : 0.10 mm</t>
  </si>
  <si>
    <t>R1 slit W : 5.00 mm</t>
  </si>
  <si>
    <t>R2 slit H : 0.10 mm</t>
  </si>
  <si>
    <t>R2 slit W : 5.00 mm</t>
  </si>
  <si>
    <t>Scan axis : 2θ/θ</t>
  </si>
  <si>
    <t>Start: 68.5929 deg</t>
  </si>
  <si>
    <t xml:space="preserve"> End: 70.5929 deg</t>
  </si>
  <si>
    <t>Step: 0.0100 deg</t>
  </si>
  <si>
    <t xml:space="preserve"> Time:10.0 sec</t>
  </si>
  <si>
    <t>Axis (deg)</t>
  </si>
  <si>
    <t xml:space="preserve">       I (cts)</t>
  </si>
  <si>
    <t xml:space="preserve">        I0 (cts)</t>
  </si>
  <si>
    <t xml:space="preserve">         Atten.</t>
  </si>
  <si>
    <t>TEOS_01.dat</t>
  </si>
  <si>
    <t>2025/06/06 12:14:13 - 12:29:00</t>
  </si>
  <si>
    <t>Scan axis : θ</t>
  </si>
  <si>
    <t>Start: 35.0974 deg</t>
  </si>
  <si>
    <t xml:space="preserve"> End: 35.1774 deg</t>
  </si>
  <si>
    <t>Step: 0.0010 deg</t>
  </si>
  <si>
    <t>Si_Thermo_01_omega.dat</t>
    <phoneticPr fontId="2"/>
  </si>
  <si>
    <t>2025/06/06 13:11:40 - 13:49:10</t>
  </si>
  <si>
    <t>θ : 35.1217 deg</t>
  </si>
  <si>
    <t>2θ : 69.5899 deg</t>
  </si>
  <si>
    <t>χ : 90.3604 deg</t>
  </si>
  <si>
    <t>Sz : 13.278 mm</t>
  </si>
  <si>
    <t>Ry : 0.0821 deg</t>
  </si>
  <si>
    <t>Start: 68.5899 deg</t>
  </si>
  <si>
    <t xml:space="preserve"> End: 70.5899 deg</t>
  </si>
  <si>
    <t>TEOS_01_omega.dat</t>
  </si>
  <si>
    <t>2025/06/06 13:50:48 - 14:05:37</t>
  </si>
  <si>
    <t>Start: 35.0817 deg</t>
  </si>
  <si>
    <t xml:space="preserve"> End: 35.1617 deg</t>
  </si>
  <si>
    <t>RoughTEOS_01.dat</t>
  </si>
  <si>
    <t>2025/06/06 14:45:40 - 14:53:03</t>
  </si>
  <si>
    <t>θ : 34.5251 deg</t>
  </si>
  <si>
    <t>2θ : 69.5884 deg</t>
  </si>
  <si>
    <t>χ : 90.3040 deg</t>
  </si>
  <si>
    <t>Sz : 13.300 mm</t>
  </si>
  <si>
    <t>Ry : -0.0233 deg</t>
  </si>
  <si>
    <t>Start: 68.5884 deg</t>
  </si>
  <si>
    <t xml:space="preserve"> End: 70.5884 deg</t>
  </si>
  <si>
    <t xml:space="preserve"> Time: 1.0 sec</t>
  </si>
  <si>
    <t>RoughTEOS_02.dat</t>
  </si>
  <si>
    <t>2025/06/06 14:53:31 - 15:31:03</t>
  </si>
  <si>
    <t>2025/06/06 15:33:37 - 15:48:23</t>
  </si>
  <si>
    <t>Start: 34.4851 deg</t>
  </si>
  <si>
    <t xml:space="preserve"> End: 34.5651 deg</t>
  </si>
  <si>
    <t>RoughTEOS_01_omega.dat</t>
    <phoneticPr fontId="2"/>
  </si>
  <si>
    <t>RoughTEOS_03.dat</t>
  </si>
  <si>
    <t>2025/06/06 16:13:35 - 16:20:56</t>
  </si>
  <si>
    <t>θ : 35.1641 deg</t>
  </si>
  <si>
    <t>2θ : 69.5891 deg</t>
  </si>
  <si>
    <t>χ : 90.3091 deg</t>
  </si>
  <si>
    <t>φ : 90.0000 deg</t>
  </si>
  <si>
    <t>Start: 68.5891 deg</t>
  </si>
  <si>
    <t xml:space="preserve"> End: 70.5891 deg</t>
  </si>
  <si>
    <t>RoughTEOS_04.dat</t>
  </si>
  <si>
    <t>2025/06/06 16:21:23 - 16:58:51</t>
  </si>
  <si>
    <t>Si_Thermo_02.dat</t>
  </si>
  <si>
    <t>2025/06/06 17:59:29 - 18:06:50</t>
  </si>
  <si>
    <t>θ : 35.3261 deg</t>
  </si>
  <si>
    <t>2θ : 69.5915 deg</t>
  </si>
  <si>
    <t>χ : 89.6755 deg</t>
  </si>
  <si>
    <t>Sz : 13.264 mm</t>
  </si>
  <si>
    <t>Ry : 0.0321 deg</t>
  </si>
  <si>
    <t>Start: 68.5915 deg</t>
  </si>
  <si>
    <t xml:space="preserve"> End: 70.5915 deg</t>
  </si>
  <si>
    <t>Si_Thermo_05.dat</t>
  </si>
  <si>
    <t>2025/06/06 18:37:58 - 18:45:17</t>
  </si>
  <si>
    <t>θ : 35.3109 deg</t>
  </si>
  <si>
    <t>2θ : 69.5910 deg</t>
  </si>
  <si>
    <t>χ : 89.6158 deg</t>
  </si>
  <si>
    <t>Start: 68.5910 deg</t>
  </si>
  <si>
    <t xml:space="preserve"> End: 70.5910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</si>
</sst>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28"/>
      <scheme val="minor"/>
    </font>
    <font>
      <sz val="11"/>
      <color rgb="FFFF0000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99"/>
      <color rgb="FF0000FF"/>
      <color rgb="FF3399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RoughTEOS_04!$A$22:$A$222</c:f>
              <c:numCache>
                <c:formatCode>General</c:formatCode>
                <c:ptCount val="201"/>
                <c:pt idx="0">
                  <c:v>68.589100000000002</c:v>
                </c:pt>
                <c:pt idx="1">
                  <c:v>68.599100000000007</c:v>
                </c:pt>
                <c:pt idx="2">
                  <c:v>68.609099999999998</c:v>
                </c:pt>
                <c:pt idx="3">
                  <c:v>68.619100000000003</c:v>
                </c:pt>
                <c:pt idx="4">
                  <c:v>68.629099999999994</c:v>
                </c:pt>
                <c:pt idx="5">
                  <c:v>68.639099999999999</c:v>
                </c:pt>
                <c:pt idx="6">
                  <c:v>68.649100000000004</c:v>
                </c:pt>
                <c:pt idx="7">
                  <c:v>68.659099999999995</c:v>
                </c:pt>
                <c:pt idx="8">
                  <c:v>68.6691</c:v>
                </c:pt>
                <c:pt idx="9">
                  <c:v>68.679100000000005</c:v>
                </c:pt>
                <c:pt idx="10">
                  <c:v>68.689099999999996</c:v>
                </c:pt>
                <c:pt idx="11">
                  <c:v>68.699100000000001</c:v>
                </c:pt>
                <c:pt idx="12">
                  <c:v>68.709100000000007</c:v>
                </c:pt>
                <c:pt idx="13">
                  <c:v>68.719099999999997</c:v>
                </c:pt>
                <c:pt idx="14">
                  <c:v>68.729100000000003</c:v>
                </c:pt>
                <c:pt idx="15">
                  <c:v>68.739099999999993</c:v>
                </c:pt>
                <c:pt idx="16">
                  <c:v>68.749099999999999</c:v>
                </c:pt>
                <c:pt idx="17">
                  <c:v>68.759100000000004</c:v>
                </c:pt>
                <c:pt idx="18">
                  <c:v>68.769099999999995</c:v>
                </c:pt>
                <c:pt idx="19">
                  <c:v>68.7791</c:v>
                </c:pt>
                <c:pt idx="20">
                  <c:v>68.789100000000005</c:v>
                </c:pt>
                <c:pt idx="21">
                  <c:v>68.799099999999996</c:v>
                </c:pt>
                <c:pt idx="22">
                  <c:v>68.809100000000001</c:v>
                </c:pt>
                <c:pt idx="23">
                  <c:v>68.819100000000006</c:v>
                </c:pt>
                <c:pt idx="24">
                  <c:v>68.829099999999997</c:v>
                </c:pt>
                <c:pt idx="25">
                  <c:v>68.839100000000002</c:v>
                </c:pt>
                <c:pt idx="26">
                  <c:v>68.849100000000007</c:v>
                </c:pt>
                <c:pt idx="27">
                  <c:v>68.859099999999998</c:v>
                </c:pt>
                <c:pt idx="28">
                  <c:v>68.869100000000003</c:v>
                </c:pt>
                <c:pt idx="29">
                  <c:v>68.879099999999994</c:v>
                </c:pt>
                <c:pt idx="30">
                  <c:v>68.889099999999999</c:v>
                </c:pt>
                <c:pt idx="31">
                  <c:v>68.899100000000004</c:v>
                </c:pt>
                <c:pt idx="32">
                  <c:v>68.909099999999995</c:v>
                </c:pt>
                <c:pt idx="33">
                  <c:v>68.9191</c:v>
                </c:pt>
                <c:pt idx="34">
                  <c:v>68.929100000000005</c:v>
                </c:pt>
                <c:pt idx="35">
                  <c:v>68.939099999999996</c:v>
                </c:pt>
                <c:pt idx="36">
                  <c:v>68.949100000000001</c:v>
                </c:pt>
                <c:pt idx="37">
                  <c:v>68.959100000000007</c:v>
                </c:pt>
                <c:pt idx="38">
                  <c:v>68.969099999999997</c:v>
                </c:pt>
                <c:pt idx="39">
                  <c:v>68.979100000000003</c:v>
                </c:pt>
                <c:pt idx="40">
                  <c:v>68.989099999999993</c:v>
                </c:pt>
                <c:pt idx="41">
                  <c:v>68.999099999999999</c:v>
                </c:pt>
                <c:pt idx="42">
                  <c:v>69.009100000000004</c:v>
                </c:pt>
                <c:pt idx="43">
                  <c:v>69.019099999999995</c:v>
                </c:pt>
                <c:pt idx="44">
                  <c:v>69.0291</c:v>
                </c:pt>
                <c:pt idx="45">
                  <c:v>69.039100000000005</c:v>
                </c:pt>
                <c:pt idx="46">
                  <c:v>69.049099999999996</c:v>
                </c:pt>
                <c:pt idx="47">
                  <c:v>69.059100000000001</c:v>
                </c:pt>
                <c:pt idx="48">
                  <c:v>69.069100000000006</c:v>
                </c:pt>
                <c:pt idx="49">
                  <c:v>69.079099999999997</c:v>
                </c:pt>
                <c:pt idx="50">
                  <c:v>69.089100000000002</c:v>
                </c:pt>
                <c:pt idx="51">
                  <c:v>69.099100000000007</c:v>
                </c:pt>
                <c:pt idx="52">
                  <c:v>69.109099999999998</c:v>
                </c:pt>
                <c:pt idx="53">
                  <c:v>69.119100000000003</c:v>
                </c:pt>
                <c:pt idx="54">
                  <c:v>69.129099999999994</c:v>
                </c:pt>
                <c:pt idx="55">
                  <c:v>69.139099999999999</c:v>
                </c:pt>
                <c:pt idx="56">
                  <c:v>69.149100000000004</c:v>
                </c:pt>
                <c:pt idx="57">
                  <c:v>69.159099999999995</c:v>
                </c:pt>
                <c:pt idx="58">
                  <c:v>69.1691</c:v>
                </c:pt>
                <c:pt idx="59">
                  <c:v>69.179100000000005</c:v>
                </c:pt>
                <c:pt idx="60">
                  <c:v>69.189099999999996</c:v>
                </c:pt>
                <c:pt idx="61">
                  <c:v>69.199100000000001</c:v>
                </c:pt>
                <c:pt idx="62">
                  <c:v>69.209100000000007</c:v>
                </c:pt>
                <c:pt idx="63">
                  <c:v>69.219099999999997</c:v>
                </c:pt>
                <c:pt idx="64">
                  <c:v>69.229100000000003</c:v>
                </c:pt>
                <c:pt idx="65">
                  <c:v>69.239099999999993</c:v>
                </c:pt>
                <c:pt idx="66">
                  <c:v>69.249099999999999</c:v>
                </c:pt>
                <c:pt idx="67">
                  <c:v>69.259100000000004</c:v>
                </c:pt>
                <c:pt idx="68">
                  <c:v>69.269099999999995</c:v>
                </c:pt>
                <c:pt idx="69">
                  <c:v>69.2791</c:v>
                </c:pt>
                <c:pt idx="70">
                  <c:v>69.289100000000005</c:v>
                </c:pt>
                <c:pt idx="71">
                  <c:v>69.299099999999996</c:v>
                </c:pt>
                <c:pt idx="72">
                  <c:v>69.309100000000001</c:v>
                </c:pt>
                <c:pt idx="73">
                  <c:v>69.319100000000006</c:v>
                </c:pt>
                <c:pt idx="74">
                  <c:v>69.329099999999997</c:v>
                </c:pt>
                <c:pt idx="75">
                  <c:v>69.339100000000002</c:v>
                </c:pt>
                <c:pt idx="76">
                  <c:v>69.349100000000007</c:v>
                </c:pt>
                <c:pt idx="77">
                  <c:v>69.359099999999998</c:v>
                </c:pt>
                <c:pt idx="78">
                  <c:v>69.369100000000003</c:v>
                </c:pt>
                <c:pt idx="79">
                  <c:v>69.379099999999994</c:v>
                </c:pt>
                <c:pt idx="80">
                  <c:v>69.389099999999999</c:v>
                </c:pt>
                <c:pt idx="81">
                  <c:v>69.399100000000004</c:v>
                </c:pt>
                <c:pt idx="82">
                  <c:v>69.409099999999995</c:v>
                </c:pt>
                <c:pt idx="83">
                  <c:v>69.4191</c:v>
                </c:pt>
                <c:pt idx="84">
                  <c:v>69.429100000000005</c:v>
                </c:pt>
                <c:pt idx="85">
                  <c:v>69.439099999999996</c:v>
                </c:pt>
                <c:pt idx="86">
                  <c:v>69.449100000000001</c:v>
                </c:pt>
                <c:pt idx="87">
                  <c:v>69.459100000000007</c:v>
                </c:pt>
                <c:pt idx="88">
                  <c:v>69.469099999999997</c:v>
                </c:pt>
                <c:pt idx="89">
                  <c:v>69.479100000000003</c:v>
                </c:pt>
                <c:pt idx="90">
                  <c:v>69.489099999999993</c:v>
                </c:pt>
                <c:pt idx="91">
                  <c:v>69.499099999999999</c:v>
                </c:pt>
                <c:pt idx="92">
                  <c:v>69.509100000000004</c:v>
                </c:pt>
                <c:pt idx="93">
                  <c:v>69.519099999999995</c:v>
                </c:pt>
                <c:pt idx="94">
                  <c:v>69.5291</c:v>
                </c:pt>
                <c:pt idx="95">
                  <c:v>69.539100000000005</c:v>
                </c:pt>
                <c:pt idx="96">
                  <c:v>69.549099999999996</c:v>
                </c:pt>
                <c:pt idx="97">
                  <c:v>69.559100000000001</c:v>
                </c:pt>
                <c:pt idx="98">
                  <c:v>69.569100000000006</c:v>
                </c:pt>
                <c:pt idx="99">
                  <c:v>69.579099999999997</c:v>
                </c:pt>
                <c:pt idx="100">
                  <c:v>69.589100000000002</c:v>
                </c:pt>
                <c:pt idx="101">
                  <c:v>69.599100000000007</c:v>
                </c:pt>
                <c:pt idx="102">
                  <c:v>69.609099999999998</c:v>
                </c:pt>
                <c:pt idx="103">
                  <c:v>69.619100000000003</c:v>
                </c:pt>
                <c:pt idx="104">
                  <c:v>69.629099999999994</c:v>
                </c:pt>
                <c:pt idx="105">
                  <c:v>69.639099999999999</c:v>
                </c:pt>
                <c:pt idx="106">
                  <c:v>69.649100000000004</c:v>
                </c:pt>
                <c:pt idx="107">
                  <c:v>69.659099999999995</c:v>
                </c:pt>
                <c:pt idx="108">
                  <c:v>69.6691</c:v>
                </c:pt>
                <c:pt idx="109">
                  <c:v>69.679100000000005</c:v>
                </c:pt>
                <c:pt idx="110">
                  <c:v>69.689099999999996</c:v>
                </c:pt>
                <c:pt idx="111">
                  <c:v>69.699100000000001</c:v>
                </c:pt>
                <c:pt idx="112">
                  <c:v>69.709100000000007</c:v>
                </c:pt>
                <c:pt idx="113">
                  <c:v>69.719099999999997</c:v>
                </c:pt>
                <c:pt idx="114">
                  <c:v>69.729100000000003</c:v>
                </c:pt>
                <c:pt idx="115">
                  <c:v>69.739099999999993</c:v>
                </c:pt>
                <c:pt idx="116">
                  <c:v>69.749099999999999</c:v>
                </c:pt>
                <c:pt idx="117">
                  <c:v>69.759100000000004</c:v>
                </c:pt>
                <c:pt idx="118">
                  <c:v>69.769099999999995</c:v>
                </c:pt>
                <c:pt idx="119">
                  <c:v>69.7791</c:v>
                </c:pt>
                <c:pt idx="120">
                  <c:v>69.789100000000005</c:v>
                </c:pt>
                <c:pt idx="121">
                  <c:v>69.799099999999996</c:v>
                </c:pt>
                <c:pt idx="122">
                  <c:v>69.809100000000001</c:v>
                </c:pt>
                <c:pt idx="123">
                  <c:v>69.819100000000006</c:v>
                </c:pt>
                <c:pt idx="124">
                  <c:v>69.829099999999997</c:v>
                </c:pt>
                <c:pt idx="125">
                  <c:v>69.839100000000002</c:v>
                </c:pt>
                <c:pt idx="126">
                  <c:v>69.849100000000007</c:v>
                </c:pt>
                <c:pt idx="127">
                  <c:v>69.859099999999998</c:v>
                </c:pt>
                <c:pt idx="128">
                  <c:v>69.869100000000003</c:v>
                </c:pt>
                <c:pt idx="129">
                  <c:v>69.879099999999994</c:v>
                </c:pt>
                <c:pt idx="130">
                  <c:v>69.889099999999999</c:v>
                </c:pt>
                <c:pt idx="131">
                  <c:v>69.899100000000004</c:v>
                </c:pt>
                <c:pt idx="132">
                  <c:v>69.909099999999995</c:v>
                </c:pt>
                <c:pt idx="133">
                  <c:v>69.9191</c:v>
                </c:pt>
                <c:pt idx="134">
                  <c:v>69.929100000000005</c:v>
                </c:pt>
                <c:pt idx="135">
                  <c:v>69.939099999999996</c:v>
                </c:pt>
                <c:pt idx="136">
                  <c:v>69.949100000000001</c:v>
                </c:pt>
                <c:pt idx="137">
                  <c:v>69.959100000000007</c:v>
                </c:pt>
                <c:pt idx="138">
                  <c:v>69.969099999999997</c:v>
                </c:pt>
                <c:pt idx="139">
                  <c:v>69.979100000000003</c:v>
                </c:pt>
                <c:pt idx="140">
                  <c:v>69.989099999999993</c:v>
                </c:pt>
                <c:pt idx="141">
                  <c:v>69.999099999999999</c:v>
                </c:pt>
                <c:pt idx="142">
                  <c:v>70.009100000000004</c:v>
                </c:pt>
                <c:pt idx="143">
                  <c:v>70.019099999999995</c:v>
                </c:pt>
                <c:pt idx="144">
                  <c:v>70.0291</c:v>
                </c:pt>
                <c:pt idx="145">
                  <c:v>70.039100000000005</c:v>
                </c:pt>
                <c:pt idx="146">
                  <c:v>70.049099999999996</c:v>
                </c:pt>
                <c:pt idx="147">
                  <c:v>70.059100000000001</c:v>
                </c:pt>
                <c:pt idx="148">
                  <c:v>70.069100000000006</c:v>
                </c:pt>
                <c:pt idx="149">
                  <c:v>70.079099999999997</c:v>
                </c:pt>
                <c:pt idx="150">
                  <c:v>70.089100000000002</c:v>
                </c:pt>
                <c:pt idx="151">
                  <c:v>70.099100000000007</c:v>
                </c:pt>
                <c:pt idx="152">
                  <c:v>70.109099999999998</c:v>
                </c:pt>
                <c:pt idx="153">
                  <c:v>70.119100000000003</c:v>
                </c:pt>
                <c:pt idx="154">
                  <c:v>70.129099999999994</c:v>
                </c:pt>
                <c:pt idx="155">
                  <c:v>70.139099999999999</c:v>
                </c:pt>
                <c:pt idx="156">
                  <c:v>70.149100000000004</c:v>
                </c:pt>
                <c:pt idx="157">
                  <c:v>70.159099999999995</c:v>
                </c:pt>
                <c:pt idx="158">
                  <c:v>70.1691</c:v>
                </c:pt>
                <c:pt idx="159">
                  <c:v>70.179100000000005</c:v>
                </c:pt>
                <c:pt idx="160">
                  <c:v>70.189099999999996</c:v>
                </c:pt>
                <c:pt idx="161">
                  <c:v>70.199100000000001</c:v>
                </c:pt>
                <c:pt idx="162">
                  <c:v>70.209100000000007</c:v>
                </c:pt>
                <c:pt idx="163">
                  <c:v>70.219099999999997</c:v>
                </c:pt>
                <c:pt idx="164">
                  <c:v>70.229100000000003</c:v>
                </c:pt>
                <c:pt idx="165">
                  <c:v>70.239099999999993</c:v>
                </c:pt>
                <c:pt idx="166">
                  <c:v>70.249099999999999</c:v>
                </c:pt>
                <c:pt idx="167">
                  <c:v>70.259100000000004</c:v>
                </c:pt>
                <c:pt idx="168">
                  <c:v>70.269099999999995</c:v>
                </c:pt>
                <c:pt idx="169">
                  <c:v>70.2791</c:v>
                </c:pt>
                <c:pt idx="170">
                  <c:v>70.289100000000005</c:v>
                </c:pt>
                <c:pt idx="171">
                  <c:v>70.299099999999996</c:v>
                </c:pt>
                <c:pt idx="172">
                  <c:v>70.309100000000001</c:v>
                </c:pt>
                <c:pt idx="173">
                  <c:v>70.319100000000006</c:v>
                </c:pt>
                <c:pt idx="174">
                  <c:v>70.329099999999997</c:v>
                </c:pt>
                <c:pt idx="175">
                  <c:v>70.339100000000002</c:v>
                </c:pt>
                <c:pt idx="176">
                  <c:v>70.349100000000007</c:v>
                </c:pt>
                <c:pt idx="177">
                  <c:v>70.359099999999998</c:v>
                </c:pt>
                <c:pt idx="178">
                  <c:v>70.369100000000003</c:v>
                </c:pt>
                <c:pt idx="179">
                  <c:v>70.379099999999994</c:v>
                </c:pt>
                <c:pt idx="180">
                  <c:v>70.389099999999999</c:v>
                </c:pt>
                <c:pt idx="181">
                  <c:v>70.399100000000004</c:v>
                </c:pt>
                <c:pt idx="182">
                  <c:v>70.409099999999995</c:v>
                </c:pt>
                <c:pt idx="183">
                  <c:v>70.4191</c:v>
                </c:pt>
                <c:pt idx="184">
                  <c:v>70.429100000000005</c:v>
                </c:pt>
                <c:pt idx="185">
                  <c:v>70.439099999999996</c:v>
                </c:pt>
                <c:pt idx="186">
                  <c:v>70.449100000000001</c:v>
                </c:pt>
                <c:pt idx="187">
                  <c:v>70.459100000000007</c:v>
                </c:pt>
                <c:pt idx="188">
                  <c:v>70.469099999999997</c:v>
                </c:pt>
                <c:pt idx="189">
                  <c:v>70.479100000000003</c:v>
                </c:pt>
                <c:pt idx="190">
                  <c:v>70.489099999999993</c:v>
                </c:pt>
                <c:pt idx="191">
                  <c:v>70.499099999999999</c:v>
                </c:pt>
                <c:pt idx="192">
                  <c:v>70.509100000000004</c:v>
                </c:pt>
                <c:pt idx="193">
                  <c:v>70.519099999999995</c:v>
                </c:pt>
                <c:pt idx="194">
                  <c:v>70.5291</c:v>
                </c:pt>
                <c:pt idx="195">
                  <c:v>70.539100000000005</c:v>
                </c:pt>
                <c:pt idx="196">
                  <c:v>70.549099999999996</c:v>
                </c:pt>
                <c:pt idx="197">
                  <c:v>70.559100000000001</c:v>
                </c:pt>
                <c:pt idx="198">
                  <c:v>70.569100000000006</c:v>
                </c:pt>
                <c:pt idx="199">
                  <c:v>70.579099999999997</c:v>
                </c:pt>
                <c:pt idx="200">
                  <c:v>70.589100000000002</c:v>
                </c:pt>
              </c:numCache>
            </c:numRef>
          </c:xVal>
          <c:yVal>
            <c:numRef>
              <c:f>RoughTEOS_04!$E$22:$E$222</c:f>
              <c:numCache>
                <c:formatCode>General</c:formatCode>
                <c:ptCount val="201"/>
                <c:pt idx="0">
                  <c:v>6.8784586283628073</c:v>
                </c:pt>
                <c:pt idx="1">
                  <c:v>10.321605342998948</c:v>
                </c:pt>
                <c:pt idx="2">
                  <c:v>5.1651935379995981</c:v>
                </c:pt>
                <c:pt idx="3">
                  <c:v>3.4415578169518204</c:v>
                </c:pt>
                <c:pt idx="4">
                  <c:v>3.4413605806763963</c:v>
                </c:pt>
                <c:pt idx="5">
                  <c:v>20.653162945576998</c:v>
                </c:pt>
                <c:pt idx="6">
                  <c:v>5.1610847406525187</c:v>
                </c:pt>
                <c:pt idx="7">
                  <c:v>15.482951678340568</c:v>
                </c:pt>
                <c:pt idx="8">
                  <c:v>32.712011774749641</c:v>
                </c:pt>
                <c:pt idx="9">
                  <c:v>13.785581312850969</c:v>
                </c:pt>
                <c:pt idx="10">
                  <c:v>10.340409939859766</c:v>
                </c:pt>
                <c:pt idx="11">
                  <c:v>24.164369759597033</c:v>
                </c:pt>
                <c:pt idx="12">
                  <c:v>13.817022556080342</c:v>
                </c:pt>
                <c:pt idx="13">
                  <c:v>8.6219919339589079</c:v>
                </c:pt>
                <c:pt idx="14">
                  <c:v>8.6242755631492329</c:v>
                </c:pt>
                <c:pt idx="15">
                  <c:v>10.361011567147962</c:v>
                </c:pt>
                <c:pt idx="16">
                  <c:v>17.272779148775992</c:v>
                </c:pt>
                <c:pt idx="17">
                  <c:v>6.9083955747437562</c:v>
                </c:pt>
                <c:pt idx="18">
                  <c:v>8.651470379423456</c:v>
                </c:pt>
                <c:pt idx="19">
                  <c:v>6.9319927604747402</c:v>
                </c:pt>
                <c:pt idx="20">
                  <c:v>12.135079502532495</c:v>
                </c:pt>
                <c:pt idx="21">
                  <c:v>13.849331873106973</c:v>
                </c:pt>
                <c:pt idx="22">
                  <c:v>10.37303036450451</c:v>
                </c:pt>
                <c:pt idx="23">
                  <c:v>20.75361237941333</c:v>
                </c:pt>
                <c:pt idx="24">
                  <c:v>29.425646742473251</c:v>
                </c:pt>
                <c:pt idx="25">
                  <c:v>26.003510584290687</c:v>
                </c:pt>
                <c:pt idx="26">
                  <c:v>29.497925078276161</c:v>
                </c:pt>
                <c:pt idx="27">
                  <c:v>34.806851137454061</c:v>
                </c:pt>
                <c:pt idx="28">
                  <c:v>34.789192429399684</c:v>
                </c:pt>
                <c:pt idx="29">
                  <c:v>34.749082594657615</c:v>
                </c:pt>
                <c:pt idx="30">
                  <c:v>22.566061023347245</c:v>
                </c:pt>
                <c:pt idx="31">
                  <c:v>32.98533097254991</c:v>
                </c:pt>
                <c:pt idx="32">
                  <c:v>36.460701809817955</c:v>
                </c:pt>
                <c:pt idx="33">
                  <c:v>36.513766096586892</c:v>
                </c:pt>
                <c:pt idx="34">
                  <c:v>27.88499697223887</c:v>
                </c:pt>
                <c:pt idx="35">
                  <c:v>48.992851762970453</c:v>
                </c:pt>
                <c:pt idx="36">
                  <c:v>38.504313482181239</c:v>
                </c:pt>
                <c:pt idx="37">
                  <c:v>74.94325636963336</c:v>
                </c:pt>
                <c:pt idx="38">
                  <c:v>62.571708784387532</c:v>
                </c:pt>
                <c:pt idx="39">
                  <c:v>57.329597215966928</c:v>
                </c:pt>
                <c:pt idx="40">
                  <c:v>57.298282652364243</c:v>
                </c:pt>
                <c:pt idx="41">
                  <c:v>62.536086403337322</c:v>
                </c:pt>
                <c:pt idx="42">
                  <c:v>54.019129385266318</c:v>
                </c:pt>
                <c:pt idx="43">
                  <c:v>83.711456692785077</c:v>
                </c:pt>
                <c:pt idx="44">
                  <c:v>99.353795717205429</c:v>
                </c:pt>
                <c:pt idx="45">
                  <c:v>64.43962600320755</c:v>
                </c:pt>
                <c:pt idx="46">
                  <c:v>71.548575736140322</c:v>
                </c:pt>
                <c:pt idx="47">
                  <c:v>99.507388360062251</c:v>
                </c:pt>
                <c:pt idx="48">
                  <c:v>106.48823601419825</c:v>
                </c:pt>
                <c:pt idx="49">
                  <c:v>97.998628464449965</c:v>
                </c:pt>
                <c:pt idx="50">
                  <c:v>99.767212767633168</c:v>
                </c:pt>
                <c:pt idx="51">
                  <c:v>129.68455114566524</c:v>
                </c:pt>
                <c:pt idx="52">
                  <c:v>156.14169908306346</c:v>
                </c:pt>
                <c:pt idx="53">
                  <c:v>168.23647907114193</c:v>
                </c:pt>
                <c:pt idx="54">
                  <c:v>227.37826664964038</c:v>
                </c:pt>
                <c:pt idx="55">
                  <c:v>208.1206832423054</c:v>
                </c:pt>
                <c:pt idx="56">
                  <c:v>185.61782824356897</c:v>
                </c:pt>
                <c:pt idx="57">
                  <c:v>217.37938996704395</c:v>
                </c:pt>
                <c:pt idx="58">
                  <c:v>275.17244955733156</c:v>
                </c:pt>
                <c:pt idx="59">
                  <c:v>313.95423857592374</c:v>
                </c:pt>
                <c:pt idx="60">
                  <c:v>344.64293971045447</c:v>
                </c:pt>
                <c:pt idx="61">
                  <c:v>373.39157027196302</c:v>
                </c:pt>
                <c:pt idx="62">
                  <c:v>346.55270822218819</c:v>
                </c:pt>
                <c:pt idx="63">
                  <c:v>383.71060028886797</c:v>
                </c:pt>
                <c:pt idx="64">
                  <c:v>488.78415835193294</c:v>
                </c:pt>
                <c:pt idx="65">
                  <c:v>562.23267442431472</c:v>
                </c:pt>
                <c:pt idx="66">
                  <c:v>617.81868538350477</c:v>
                </c:pt>
                <c:pt idx="67">
                  <c:v>669.64274741897975</c:v>
                </c:pt>
                <c:pt idx="68">
                  <c:v>752.97469904060108</c:v>
                </c:pt>
                <c:pt idx="69">
                  <c:v>797.75196681695013</c:v>
                </c:pt>
                <c:pt idx="70">
                  <c:v>907.17665870270844</c:v>
                </c:pt>
                <c:pt idx="71">
                  <c:v>1038.1412114565758</c:v>
                </c:pt>
                <c:pt idx="72">
                  <c:v>1188.954505698789</c:v>
                </c:pt>
                <c:pt idx="73">
                  <c:v>1376.6168743365213</c:v>
                </c:pt>
                <c:pt idx="74">
                  <c:v>1686.1501444927228</c:v>
                </c:pt>
                <c:pt idx="75">
                  <c:v>1782.7138084063765</c:v>
                </c:pt>
                <c:pt idx="76">
                  <c:v>1932.4119648209744</c:v>
                </c:pt>
                <c:pt idx="77">
                  <c:v>2391.979805575259</c:v>
                </c:pt>
                <c:pt idx="78">
                  <c:v>2711.9218737627561</c:v>
                </c:pt>
                <c:pt idx="79">
                  <c:v>3081.0485907386019</c:v>
                </c:pt>
                <c:pt idx="80">
                  <c:v>3760.1721307835528</c:v>
                </c:pt>
                <c:pt idx="81">
                  <c:v>4280.0983790120154</c:v>
                </c:pt>
                <c:pt idx="82">
                  <c:v>5015.2889813250413</c:v>
                </c:pt>
                <c:pt idx="83">
                  <c:v>6263.4206381647673</c:v>
                </c:pt>
                <c:pt idx="84">
                  <c:v>7481.4367423260528</c:v>
                </c:pt>
                <c:pt idx="85">
                  <c:v>9409.6858470810948</c:v>
                </c:pt>
                <c:pt idx="86">
                  <c:v>10996.154235419426</c:v>
                </c:pt>
                <c:pt idx="87">
                  <c:v>14261.151540694997</c:v>
                </c:pt>
                <c:pt idx="88">
                  <c:v>18527.626703354144</c:v>
                </c:pt>
                <c:pt idx="89">
                  <c:v>23676.851723585638</c:v>
                </c:pt>
                <c:pt idx="90">
                  <c:v>30969.837249366668</c:v>
                </c:pt>
                <c:pt idx="91">
                  <c:v>42051.991817853792</c:v>
                </c:pt>
                <c:pt idx="92">
                  <c:v>59887.328962934545</c:v>
                </c:pt>
                <c:pt idx="93">
                  <c:v>87029.861006334191</c:v>
                </c:pt>
                <c:pt idx="94">
                  <c:v>134858.82057211761</c:v>
                </c:pt>
                <c:pt idx="95">
                  <c:v>226819.2941182935</c:v>
                </c:pt>
                <c:pt idx="96">
                  <c:v>421835.30565213971</c:v>
                </c:pt>
                <c:pt idx="97">
                  <c:v>923418.09904219978</c:v>
                </c:pt>
                <c:pt idx="98">
                  <c:v>2636435.6423708242</c:v>
                </c:pt>
                <c:pt idx="99">
                  <c:v>12306471.449883049</c:v>
                </c:pt>
                <c:pt idx="100">
                  <c:v>32442064.731008116</c:v>
                </c:pt>
                <c:pt idx="101">
                  <c:v>11261053.370281208</c:v>
                </c:pt>
                <c:pt idx="102">
                  <c:v>2513780.3702467103</c:v>
                </c:pt>
                <c:pt idx="103">
                  <c:v>797751.52968152368</c:v>
                </c:pt>
                <c:pt idx="104">
                  <c:v>321390.00013763423</c:v>
                </c:pt>
                <c:pt idx="105">
                  <c:v>147054.58470988131</c:v>
                </c:pt>
                <c:pt idx="106">
                  <c:v>77549.458689817984</c:v>
                </c:pt>
                <c:pt idx="107">
                  <c:v>44968.352748880825</c:v>
                </c:pt>
                <c:pt idx="108">
                  <c:v>27822.189681288357</c:v>
                </c:pt>
                <c:pt idx="109">
                  <c:v>17915.339982411126</c:v>
                </c:pt>
                <c:pt idx="110">
                  <c:v>12049.67799480461</c:v>
                </c:pt>
                <c:pt idx="111">
                  <c:v>8378.0931873259469</c:v>
                </c:pt>
                <c:pt idx="112">
                  <c:v>6104.9353417378979</c:v>
                </c:pt>
                <c:pt idx="113">
                  <c:v>4473.8773838598636</c:v>
                </c:pt>
                <c:pt idx="114">
                  <c:v>3397.6042353692173</c:v>
                </c:pt>
                <c:pt idx="115">
                  <c:v>2636.8962554624736</c:v>
                </c:pt>
                <c:pt idx="116">
                  <c:v>2028.3179634745497</c:v>
                </c:pt>
                <c:pt idx="117">
                  <c:v>1647.0882950011699</c:v>
                </c:pt>
                <c:pt idx="118">
                  <c:v>1304.3227536594698</c:v>
                </c:pt>
                <c:pt idx="119">
                  <c:v>1030.2045763697379</c:v>
                </c:pt>
                <c:pt idx="120">
                  <c:v>873.38511877932058</c:v>
                </c:pt>
                <c:pt idx="121">
                  <c:v>672.50937148903813</c:v>
                </c:pt>
                <c:pt idx="122">
                  <c:v>639.02407556520143</c:v>
                </c:pt>
                <c:pt idx="123">
                  <c:v>460.36149641234198</c:v>
                </c:pt>
                <c:pt idx="124">
                  <c:v>455.06530244172109</c:v>
                </c:pt>
                <c:pt idx="125">
                  <c:v>374.89462197267466</c:v>
                </c:pt>
                <c:pt idx="126">
                  <c:v>296.94870567789877</c:v>
                </c:pt>
                <c:pt idx="127">
                  <c:v>229.01948500974078</c:v>
                </c:pt>
                <c:pt idx="128">
                  <c:v>218.39005897027289</c:v>
                </c:pt>
                <c:pt idx="129">
                  <c:v>196.40229501401888</c:v>
                </c:pt>
                <c:pt idx="130">
                  <c:v>173.13750651622917</c:v>
                </c:pt>
                <c:pt idx="131">
                  <c:v>176.57173901364123</c:v>
                </c:pt>
                <c:pt idx="132">
                  <c:v>134.92666045979539</c:v>
                </c:pt>
                <c:pt idx="133">
                  <c:v>91.683014050657576</c:v>
                </c:pt>
                <c:pt idx="134">
                  <c:v>122.4855161956513</c:v>
                </c:pt>
                <c:pt idx="135">
                  <c:v>110.05779609617773</c:v>
                </c:pt>
                <c:pt idx="136">
                  <c:v>102.81650857027815</c:v>
                </c:pt>
                <c:pt idx="137">
                  <c:v>70.371168929723567</c:v>
                </c:pt>
                <c:pt idx="138">
                  <c:v>55.876980618391713</c:v>
                </c:pt>
                <c:pt idx="139">
                  <c:v>63.098710134369739</c:v>
                </c:pt>
                <c:pt idx="140">
                  <c:v>65.116318138159201</c:v>
                </c:pt>
                <c:pt idx="141">
                  <c:v>56.176419506130479</c:v>
                </c:pt>
                <c:pt idx="142">
                  <c:v>38.076101209350298</c:v>
                </c:pt>
                <c:pt idx="143">
                  <c:v>54.412265410344574</c:v>
                </c:pt>
                <c:pt idx="144">
                  <c:v>36.265147679509184</c:v>
                </c:pt>
                <c:pt idx="145">
                  <c:v>39.886574334204902</c:v>
                </c:pt>
                <c:pt idx="146">
                  <c:v>56.267067797963158</c:v>
                </c:pt>
                <c:pt idx="147">
                  <c:v>14.525674318171433</c:v>
                </c:pt>
                <c:pt idx="148">
                  <c:v>30.839103805670774</c:v>
                </c:pt>
                <c:pt idx="149">
                  <c:v>10.888573188050319</c:v>
                </c:pt>
                <c:pt idx="150">
                  <c:v>27.270172209529846</c:v>
                </c:pt>
                <c:pt idx="151">
                  <c:v>29.101334943343598</c:v>
                </c:pt>
                <c:pt idx="152">
                  <c:v>34.496346108939107</c:v>
                </c:pt>
                <c:pt idx="153">
                  <c:v>25.439705767935834</c:v>
                </c:pt>
                <c:pt idx="154">
                  <c:v>23.640577535775964</c:v>
                </c:pt>
                <c:pt idx="155">
                  <c:v>18.184528165381703</c:v>
                </c:pt>
                <c:pt idx="156">
                  <c:v>12.72194819786799</c:v>
                </c:pt>
                <c:pt idx="157">
                  <c:v>12.730044559577669</c:v>
                </c:pt>
                <c:pt idx="158">
                  <c:v>23.661419641372035</c:v>
                </c:pt>
                <c:pt idx="159">
                  <c:v>21.853021933610812</c:v>
                </c:pt>
                <c:pt idx="160">
                  <c:v>12.773307510070969</c:v>
                </c:pt>
                <c:pt idx="161">
                  <c:v>7.2964548015981041</c:v>
                </c:pt>
                <c:pt idx="162">
                  <c:v>10.962009804432977</c:v>
                </c:pt>
                <c:pt idx="163">
                  <c:v>10.982253767971008</c:v>
                </c:pt>
                <c:pt idx="164">
                  <c:v>3.6619611597117316</c:v>
                </c:pt>
                <c:pt idx="165">
                  <c:v>12.794354048121674</c:v>
                </c:pt>
                <c:pt idx="166">
                  <c:v>20.122743095381328</c:v>
                </c:pt>
                <c:pt idx="167">
                  <c:v>9.1451555376664082</c:v>
                </c:pt>
                <c:pt idx="168">
                  <c:v>12.823526905622426</c:v>
                </c:pt>
                <c:pt idx="169">
                  <c:v>20.144915386109581</c:v>
                </c:pt>
                <c:pt idx="170">
                  <c:v>9.153795479456706</c:v>
                </c:pt>
                <c:pt idx="171">
                  <c:v>27.48648928470746</c:v>
                </c:pt>
                <c:pt idx="172">
                  <c:v>7.3243923812213616</c:v>
                </c:pt>
                <c:pt idx="173">
                  <c:v>3.6599982710220442</c:v>
                </c:pt>
                <c:pt idx="174">
                  <c:v>7.3046284717083312</c:v>
                </c:pt>
                <c:pt idx="175">
                  <c:v>7.3140968765576737</c:v>
                </c:pt>
                <c:pt idx="176">
                  <c:v>5.4885635375907</c:v>
                </c:pt>
                <c:pt idx="177">
                  <c:v>3.6630716955112841</c:v>
                </c:pt>
                <c:pt idx="178">
                  <c:v>9.1624451377545419</c:v>
                </c:pt>
                <c:pt idx="179">
                  <c:v>0</c:v>
                </c:pt>
                <c:pt idx="180">
                  <c:v>9.1699352090197852</c:v>
                </c:pt>
                <c:pt idx="181">
                  <c:v>1.8358372180275428</c:v>
                </c:pt>
                <c:pt idx="182">
                  <c:v>3.6762653466097812</c:v>
                </c:pt>
                <c:pt idx="183">
                  <c:v>3.6775026589424464</c:v>
                </c:pt>
                <c:pt idx="184">
                  <c:v>7.3506705579942606</c:v>
                </c:pt>
                <c:pt idx="185">
                  <c:v>3.6729319097783337</c:v>
                </c:pt>
                <c:pt idx="186">
                  <c:v>3.6683219321817471</c:v>
                </c:pt>
                <c:pt idx="187">
                  <c:v>5.5057068819345814</c:v>
                </c:pt>
                <c:pt idx="188">
                  <c:v>7.3556591326830949</c:v>
                </c:pt>
                <c:pt idx="189">
                  <c:v>3.6837228677842688</c:v>
                </c:pt>
                <c:pt idx="190">
                  <c:v>0</c:v>
                </c:pt>
                <c:pt idx="191">
                  <c:v>22.115819863831426</c:v>
                </c:pt>
                <c:pt idx="192">
                  <c:v>7.375500027069366</c:v>
                </c:pt>
                <c:pt idx="193">
                  <c:v>5.5387684769912875</c:v>
                </c:pt>
                <c:pt idx="194">
                  <c:v>14.777890770278812</c:v>
                </c:pt>
                <c:pt idx="195">
                  <c:v>1.8460724321776094</c:v>
                </c:pt>
                <c:pt idx="196">
                  <c:v>3.6847813744972671</c:v>
                </c:pt>
                <c:pt idx="197">
                  <c:v>5.5213071142490193</c:v>
                </c:pt>
                <c:pt idx="198">
                  <c:v>1.8455156717219523</c:v>
                </c:pt>
                <c:pt idx="199">
                  <c:v>1.8522568705659439</c:v>
                </c:pt>
                <c:pt idx="200">
                  <c:v>1.8499289391376528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E3-445C-8E36-A19D6FC1D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RoughTEOS_03!$A$22:$A$222</c:f>
              <c:numCache>
                <c:formatCode>General</c:formatCode>
                <c:ptCount val="201"/>
                <c:pt idx="0">
                  <c:v>68.589100000000002</c:v>
                </c:pt>
                <c:pt idx="1">
                  <c:v>68.599100000000007</c:v>
                </c:pt>
                <c:pt idx="2">
                  <c:v>68.609099999999998</c:v>
                </c:pt>
                <c:pt idx="3">
                  <c:v>68.619100000000003</c:v>
                </c:pt>
                <c:pt idx="4">
                  <c:v>68.629099999999994</c:v>
                </c:pt>
                <c:pt idx="5">
                  <c:v>68.639099999999999</c:v>
                </c:pt>
                <c:pt idx="6">
                  <c:v>68.649100000000004</c:v>
                </c:pt>
                <c:pt idx="7">
                  <c:v>68.659099999999995</c:v>
                </c:pt>
                <c:pt idx="8">
                  <c:v>68.6691</c:v>
                </c:pt>
                <c:pt idx="9">
                  <c:v>68.679100000000005</c:v>
                </c:pt>
                <c:pt idx="10">
                  <c:v>68.689099999999996</c:v>
                </c:pt>
                <c:pt idx="11">
                  <c:v>68.699100000000001</c:v>
                </c:pt>
                <c:pt idx="12">
                  <c:v>68.709100000000007</c:v>
                </c:pt>
                <c:pt idx="13">
                  <c:v>68.719099999999997</c:v>
                </c:pt>
                <c:pt idx="14">
                  <c:v>68.729100000000003</c:v>
                </c:pt>
                <c:pt idx="15">
                  <c:v>68.739099999999993</c:v>
                </c:pt>
                <c:pt idx="16">
                  <c:v>68.749099999999999</c:v>
                </c:pt>
                <c:pt idx="17">
                  <c:v>68.759100000000004</c:v>
                </c:pt>
                <c:pt idx="18">
                  <c:v>68.769099999999995</c:v>
                </c:pt>
                <c:pt idx="19">
                  <c:v>68.7791</c:v>
                </c:pt>
                <c:pt idx="20">
                  <c:v>68.789100000000005</c:v>
                </c:pt>
                <c:pt idx="21">
                  <c:v>68.799099999999996</c:v>
                </c:pt>
                <c:pt idx="22">
                  <c:v>68.809100000000001</c:v>
                </c:pt>
                <c:pt idx="23">
                  <c:v>68.819100000000006</c:v>
                </c:pt>
                <c:pt idx="24">
                  <c:v>68.829099999999997</c:v>
                </c:pt>
                <c:pt idx="25">
                  <c:v>68.839100000000002</c:v>
                </c:pt>
                <c:pt idx="26">
                  <c:v>68.849100000000007</c:v>
                </c:pt>
                <c:pt idx="27">
                  <c:v>68.859099999999998</c:v>
                </c:pt>
                <c:pt idx="28">
                  <c:v>68.869100000000003</c:v>
                </c:pt>
                <c:pt idx="29">
                  <c:v>68.879099999999994</c:v>
                </c:pt>
                <c:pt idx="30">
                  <c:v>68.889099999999999</c:v>
                </c:pt>
                <c:pt idx="31">
                  <c:v>68.899100000000004</c:v>
                </c:pt>
                <c:pt idx="32">
                  <c:v>68.909099999999995</c:v>
                </c:pt>
                <c:pt idx="33">
                  <c:v>68.9191</c:v>
                </c:pt>
                <c:pt idx="34">
                  <c:v>68.929100000000005</c:v>
                </c:pt>
                <c:pt idx="35">
                  <c:v>68.939099999999996</c:v>
                </c:pt>
                <c:pt idx="36">
                  <c:v>68.949100000000001</c:v>
                </c:pt>
                <c:pt idx="37">
                  <c:v>68.959100000000007</c:v>
                </c:pt>
                <c:pt idx="38">
                  <c:v>68.969099999999997</c:v>
                </c:pt>
                <c:pt idx="39">
                  <c:v>68.979100000000003</c:v>
                </c:pt>
                <c:pt idx="40">
                  <c:v>68.989099999999993</c:v>
                </c:pt>
                <c:pt idx="41">
                  <c:v>68.999099999999999</c:v>
                </c:pt>
                <c:pt idx="42">
                  <c:v>69.009100000000004</c:v>
                </c:pt>
                <c:pt idx="43">
                  <c:v>69.019099999999995</c:v>
                </c:pt>
                <c:pt idx="44">
                  <c:v>69.0291</c:v>
                </c:pt>
                <c:pt idx="45">
                  <c:v>69.039100000000005</c:v>
                </c:pt>
                <c:pt idx="46">
                  <c:v>69.049099999999996</c:v>
                </c:pt>
                <c:pt idx="47">
                  <c:v>69.059100000000001</c:v>
                </c:pt>
                <c:pt idx="48">
                  <c:v>69.069100000000006</c:v>
                </c:pt>
                <c:pt idx="49">
                  <c:v>69.079099999999997</c:v>
                </c:pt>
                <c:pt idx="50">
                  <c:v>69.089100000000002</c:v>
                </c:pt>
                <c:pt idx="51">
                  <c:v>69.099100000000007</c:v>
                </c:pt>
                <c:pt idx="52">
                  <c:v>69.109099999999998</c:v>
                </c:pt>
                <c:pt idx="53">
                  <c:v>69.119100000000003</c:v>
                </c:pt>
                <c:pt idx="54">
                  <c:v>69.129099999999994</c:v>
                </c:pt>
                <c:pt idx="55">
                  <c:v>69.139099999999999</c:v>
                </c:pt>
                <c:pt idx="56">
                  <c:v>69.149100000000004</c:v>
                </c:pt>
                <c:pt idx="57">
                  <c:v>69.159099999999995</c:v>
                </c:pt>
                <c:pt idx="58">
                  <c:v>69.1691</c:v>
                </c:pt>
                <c:pt idx="59">
                  <c:v>69.179100000000005</c:v>
                </c:pt>
                <c:pt idx="60">
                  <c:v>69.189099999999996</c:v>
                </c:pt>
                <c:pt idx="61">
                  <c:v>69.199100000000001</c:v>
                </c:pt>
                <c:pt idx="62">
                  <c:v>69.209100000000007</c:v>
                </c:pt>
                <c:pt idx="63">
                  <c:v>69.219099999999997</c:v>
                </c:pt>
                <c:pt idx="64">
                  <c:v>69.229100000000003</c:v>
                </c:pt>
                <c:pt idx="65">
                  <c:v>69.239099999999993</c:v>
                </c:pt>
                <c:pt idx="66">
                  <c:v>69.249099999999999</c:v>
                </c:pt>
                <c:pt idx="67">
                  <c:v>69.259100000000004</c:v>
                </c:pt>
                <c:pt idx="68">
                  <c:v>69.269099999999995</c:v>
                </c:pt>
                <c:pt idx="69">
                  <c:v>69.2791</c:v>
                </c:pt>
                <c:pt idx="70">
                  <c:v>69.289100000000005</c:v>
                </c:pt>
                <c:pt idx="71">
                  <c:v>69.299099999999996</c:v>
                </c:pt>
                <c:pt idx="72">
                  <c:v>69.309100000000001</c:v>
                </c:pt>
                <c:pt idx="73">
                  <c:v>69.319100000000006</c:v>
                </c:pt>
                <c:pt idx="74">
                  <c:v>69.329099999999997</c:v>
                </c:pt>
                <c:pt idx="75">
                  <c:v>69.339100000000002</c:v>
                </c:pt>
                <c:pt idx="76">
                  <c:v>69.349100000000007</c:v>
                </c:pt>
                <c:pt idx="77">
                  <c:v>69.359099999999998</c:v>
                </c:pt>
                <c:pt idx="78">
                  <c:v>69.369100000000003</c:v>
                </c:pt>
                <c:pt idx="79">
                  <c:v>69.379099999999994</c:v>
                </c:pt>
                <c:pt idx="80">
                  <c:v>69.389099999999999</c:v>
                </c:pt>
                <c:pt idx="81">
                  <c:v>69.399100000000004</c:v>
                </c:pt>
                <c:pt idx="82">
                  <c:v>69.409099999999995</c:v>
                </c:pt>
                <c:pt idx="83">
                  <c:v>69.4191</c:v>
                </c:pt>
                <c:pt idx="84">
                  <c:v>69.429100000000005</c:v>
                </c:pt>
                <c:pt idx="85">
                  <c:v>69.439099999999996</c:v>
                </c:pt>
                <c:pt idx="86">
                  <c:v>69.449100000000001</c:v>
                </c:pt>
                <c:pt idx="87">
                  <c:v>69.459100000000007</c:v>
                </c:pt>
                <c:pt idx="88">
                  <c:v>69.469099999999997</c:v>
                </c:pt>
                <c:pt idx="89">
                  <c:v>69.479100000000003</c:v>
                </c:pt>
                <c:pt idx="90">
                  <c:v>69.489099999999993</c:v>
                </c:pt>
                <c:pt idx="91">
                  <c:v>69.499099999999999</c:v>
                </c:pt>
                <c:pt idx="92">
                  <c:v>69.509100000000004</c:v>
                </c:pt>
                <c:pt idx="93">
                  <c:v>69.519099999999995</c:v>
                </c:pt>
                <c:pt idx="94">
                  <c:v>69.5291</c:v>
                </c:pt>
                <c:pt idx="95">
                  <c:v>69.539100000000005</c:v>
                </c:pt>
                <c:pt idx="96">
                  <c:v>69.549099999999996</c:v>
                </c:pt>
                <c:pt idx="97">
                  <c:v>69.559100000000001</c:v>
                </c:pt>
                <c:pt idx="98">
                  <c:v>69.569100000000006</c:v>
                </c:pt>
                <c:pt idx="99">
                  <c:v>69.579099999999997</c:v>
                </c:pt>
                <c:pt idx="100">
                  <c:v>69.589100000000002</c:v>
                </c:pt>
                <c:pt idx="101">
                  <c:v>69.599100000000007</c:v>
                </c:pt>
                <c:pt idx="102">
                  <c:v>69.609099999999998</c:v>
                </c:pt>
                <c:pt idx="103">
                  <c:v>69.619100000000003</c:v>
                </c:pt>
                <c:pt idx="104">
                  <c:v>69.629099999999994</c:v>
                </c:pt>
                <c:pt idx="105">
                  <c:v>69.639099999999999</c:v>
                </c:pt>
                <c:pt idx="106">
                  <c:v>69.649100000000004</c:v>
                </c:pt>
                <c:pt idx="107">
                  <c:v>69.659099999999995</c:v>
                </c:pt>
                <c:pt idx="108">
                  <c:v>69.6691</c:v>
                </c:pt>
                <c:pt idx="109">
                  <c:v>69.679100000000005</c:v>
                </c:pt>
                <c:pt idx="110">
                  <c:v>69.689099999999996</c:v>
                </c:pt>
                <c:pt idx="111">
                  <c:v>69.699100000000001</c:v>
                </c:pt>
                <c:pt idx="112">
                  <c:v>69.709100000000007</c:v>
                </c:pt>
                <c:pt idx="113">
                  <c:v>69.719099999999997</c:v>
                </c:pt>
                <c:pt idx="114">
                  <c:v>69.729100000000003</c:v>
                </c:pt>
                <c:pt idx="115">
                  <c:v>69.739099999999993</c:v>
                </c:pt>
                <c:pt idx="116">
                  <c:v>69.749099999999999</c:v>
                </c:pt>
                <c:pt idx="117">
                  <c:v>69.759100000000004</c:v>
                </c:pt>
                <c:pt idx="118">
                  <c:v>69.769099999999995</c:v>
                </c:pt>
                <c:pt idx="119">
                  <c:v>69.7791</c:v>
                </c:pt>
                <c:pt idx="120">
                  <c:v>69.789100000000005</c:v>
                </c:pt>
                <c:pt idx="121">
                  <c:v>69.799099999999996</c:v>
                </c:pt>
                <c:pt idx="122">
                  <c:v>69.809100000000001</c:v>
                </c:pt>
                <c:pt idx="123">
                  <c:v>69.819100000000006</c:v>
                </c:pt>
                <c:pt idx="124">
                  <c:v>69.829099999999997</c:v>
                </c:pt>
                <c:pt idx="125">
                  <c:v>69.839100000000002</c:v>
                </c:pt>
                <c:pt idx="126">
                  <c:v>69.849100000000007</c:v>
                </c:pt>
                <c:pt idx="127">
                  <c:v>69.859099999999998</c:v>
                </c:pt>
                <c:pt idx="128">
                  <c:v>69.869100000000003</c:v>
                </c:pt>
                <c:pt idx="129">
                  <c:v>69.879099999999994</c:v>
                </c:pt>
                <c:pt idx="130">
                  <c:v>69.889099999999999</c:v>
                </c:pt>
                <c:pt idx="131">
                  <c:v>69.899100000000004</c:v>
                </c:pt>
                <c:pt idx="132">
                  <c:v>69.909099999999995</c:v>
                </c:pt>
                <c:pt idx="133">
                  <c:v>69.9191</c:v>
                </c:pt>
                <c:pt idx="134">
                  <c:v>69.929100000000005</c:v>
                </c:pt>
                <c:pt idx="135">
                  <c:v>69.939099999999996</c:v>
                </c:pt>
                <c:pt idx="136">
                  <c:v>69.949100000000001</c:v>
                </c:pt>
                <c:pt idx="137">
                  <c:v>69.959100000000007</c:v>
                </c:pt>
                <c:pt idx="138">
                  <c:v>69.969099999999997</c:v>
                </c:pt>
                <c:pt idx="139">
                  <c:v>69.979100000000003</c:v>
                </c:pt>
                <c:pt idx="140">
                  <c:v>69.989099999999993</c:v>
                </c:pt>
                <c:pt idx="141">
                  <c:v>69.999099999999999</c:v>
                </c:pt>
                <c:pt idx="142">
                  <c:v>70.009100000000004</c:v>
                </c:pt>
                <c:pt idx="143">
                  <c:v>70.019099999999995</c:v>
                </c:pt>
                <c:pt idx="144">
                  <c:v>70.0291</c:v>
                </c:pt>
                <c:pt idx="145">
                  <c:v>70.039100000000005</c:v>
                </c:pt>
                <c:pt idx="146">
                  <c:v>70.049099999999996</c:v>
                </c:pt>
                <c:pt idx="147">
                  <c:v>70.059100000000001</c:v>
                </c:pt>
                <c:pt idx="148">
                  <c:v>70.069100000000006</c:v>
                </c:pt>
                <c:pt idx="149">
                  <c:v>70.079099999999997</c:v>
                </c:pt>
                <c:pt idx="150">
                  <c:v>70.089100000000002</c:v>
                </c:pt>
                <c:pt idx="151">
                  <c:v>70.099100000000007</c:v>
                </c:pt>
                <c:pt idx="152">
                  <c:v>70.109099999999998</c:v>
                </c:pt>
                <c:pt idx="153">
                  <c:v>70.119100000000003</c:v>
                </c:pt>
                <c:pt idx="154">
                  <c:v>70.129099999999994</c:v>
                </c:pt>
                <c:pt idx="155">
                  <c:v>70.139099999999999</c:v>
                </c:pt>
                <c:pt idx="156">
                  <c:v>70.149100000000004</c:v>
                </c:pt>
                <c:pt idx="157">
                  <c:v>70.159099999999995</c:v>
                </c:pt>
                <c:pt idx="158">
                  <c:v>70.1691</c:v>
                </c:pt>
                <c:pt idx="159">
                  <c:v>70.179100000000005</c:v>
                </c:pt>
                <c:pt idx="160">
                  <c:v>70.189099999999996</c:v>
                </c:pt>
                <c:pt idx="161">
                  <c:v>70.199100000000001</c:v>
                </c:pt>
                <c:pt idx="162">
                  <c:v>70.209100000000007</c:v>
                </c:pt>
                <c:pt idx="163">
                  <c:v>70.219099999999997</c:v>
                </c:pt>
                <c:pt idx="164">
                  <c:v>70.229100000000003</c:v>
                </c:pt>
                <c:pt idx="165">
                  <c:v>70.239099999999993</c:v>
                </c:pt>
                <c:pt idx="166">
                  <c:v>70.249099999999999</c:v>
                </c:pt>
                <c:pt idx="167">
                  <c:v>70.259100000000004</c:v>
                </c:pt>
                <c:pt idx="168">
                  <c:v>70.269099999999995</c:v>
                </c:pt>
                <c:pt idx="169">
                  <c:v>70.2791</c:v>
                </c:pt>
                <c:pt idx="170">
                  <c:v>70.289100000000005</c:v>
                </c:pt>
                <c:pt idx="171">
                  <c:v>70.299099999999996</c:v>
                </c:pt>
                <c:pt idx="172">
                  <c:v>70.309100000000001</c:v>
                </c:pt>
                <c:pt idx="173">
                  <c:v>70.319100000000006</c:v>
                </c:pt>
                <c:pt idx="174">
                  <c:v>70.329099999999997</c:v>
                </c:pt>
                <c:pt idx="175">
                  <c:v>70.339100000000002</c:v>
                </c:pt>
                <c:pt idx="176">
                  <c:v>70.349100000000007</c:v>
                </c:pt>
                <c:pt idx="177">
                  <c:v>70.359099999999998</c:v>
                </c:pt>
                <c:pt idx="178">
                  <c:v>70.369100000000003</c:v>
                </c:pt>
                <c:pt idx="179">
                  <c:v>70.379099999999994</c:v>
                </c:pt>
                <c:pt idx="180">
                  <c:v>70.389099999999999</c:v>
                </c:pt>
                <c:pt idx="181">
                  <c:v>70.399100000000004</c:v>
                </c:pt>
                <c:pt idx="182">
                  <c:v>70.409099999999995</c:v>
                </c:pt>
                <c:pt idx="183">
                  <c:v>70.4191</c:v>
                </c:pt>
                <c:pt idx="184">
                  <c:v>70.429100000000005</c:v>
                </c:pt>
                <c:pt idx="185">
                  <c:v>70.439099999999996</c:v>
                </c:pt>
                <c:pt idx="186">
                  <c:v>70.449100000000001</c:v>
                </c:pt>
                <c:pt idx="187">
                  <c:v>70.459100000000007</c:v>
                </c:pt>
                <c:pt idx="188">
                  <c:v>70.469099999999997</c:v>
                </c:pt>
                <c:pt idx="189">
                  <c:v>70.479100000000003</c:v>
                </c:pt>
                <c:pt idx="190">
                  <c:v>70.489099999999993</c:v>
                </c:pt>
                <c:pt idx="191">
                  <c:v>70.499099999999999</c:v>
                </c:pt>
                <c:pt idx="192">
                  <c:v>70.509100000000004</c:v>
                </c:pt>
                <c:pt idx="193">
                  <c:v>70.519099999999995</c:v>
                </c:pt>
                <c:pt idx="194">
                  <c:v>70.5291</c:v>
                </c:pt>
                <c:pt idx="195">
                  <c:v>70.539100000000005</c:v>
                </c:pt>
                <c:pt idx="196">
                  <c:v>70.549099999999996</c:v>
                </c:pt>
                <c:pt idx="197">
                  <c:v>70.559100000000001</c:v>
                </c:pt>
                <c:pt idx="198">
                  <c:v>70.569100000000006</c:v>
                </c:pt>
                <c:pt idx="199">
                  <c:v>70.579099999999997</c:v>
                </c:pt>
                <c:pt idx="200">
                  <c:v>70.589100000000002</c:v>
                </c:pt>
              </c:numCache>
            </c:numRef>
          </c:xVal>
          <c:yVal>
            <c:numRef>
              <c:f>RoughTEOS_03!$E$22:$E$222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16.980495792470382</c:v>
                </c:pt>
                <c:pt idx="4">
                  <c:v>0</c:v>
                </c:pt>
                <c:pt idx="5">
                  <c:v>33.921402147483853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16.949442896249678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16.987258097684744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33.960488662791931</c:v>
                </c:pt>
                <c:pt idx="23">
                  <c:v>16.972028048426779</c:v>
                </c:pt>
                <c:pt idx="24">
                  <c:v>16.972919307020724</c:v>
                </c:pt>
                <c:pt idx="25">
                  <c:v>33.911369961017598</c:v>
                </c:pt>
                <c:pt idx="26">
                  <c:v>0</c:v>
                </c:pt>
                <c:pt idx="27">
                  <c:v>16.94268681605736</c:v>
                </c:pt>
                <c:pt idx="28">
                  <c:v>16.964124469017836</c:v>
                </c:pt>
                <c:pt idx="29">
                  <c:v>50.849527758175583</c:v>
                </c:pt>
                <c:pt idx="30">
                  <c:v>0</c:v>
                </c:pt>
                <c:pt idx="31">
                  <c:v>16.975749224769721</c:v>
                </c:pt>
                <c:pt idx="32">
                  <c:v>33.950780395486859</c:v>
                </c:pt>
                <c:pt idx="33">
                  <c:v>0</c:v>
                </c:pt>
                <c:pt idx="34">
                  <c:v>84.937638715849275</c:v>
                </c:pt>
                <c:pt idx="35">
                  <c:v>50.970206469694212</c:v>
                </c:pt>
                <c:pt idx="36">
                  <c:v>67.947714170422074</c:v>
                </c:pt>
                <c:pt idx="37">
                  <c:v>50.91384126138356</c:v>
                </c:pt>
                <c:pt idx="38">
                  <c:v>0</c:v>
                </c:pt>
                <c:pt idx="39">
                  <c:v>50.905463595001322</c:v>
                </c:pt>
                <c:pt idx="40">
                  <c:v>33.946891463808349</c:v>
                </c:pt>
                <c:pt idx="41">
                  <c:v>50.945277593140794</c:v>
                </c:pt>
                <c:pt idx="42">
                  <c:v>50.950901084856653</c:v>
                </c:pt>
                <c:pt idx="43">
                  <c:v>50.968660062075905</c:v>
                </c:pt>
                <c:pt idx="44">
                  <c:v>50.964452869803743</c:v>
                </c:pt>
                <c:pt idx="45">
                  <c:v>101.94278662255215</c:v>
                </c:pt>
                <c:pt idx="46">
                  <c:v>84.85469761987072</c:v>
                </c:pt>
                <c:pt idx="47">
                  <c:v>50.892445115767401</c:v>
                </c:pt>
                <c:pt idx="48">
                  <c:v>118.81709339411601</c:v>
                </c:pt>
                <c:pt idx="49">
                  <c:v>118.80524307347044</c:v>
                </c:pt>
                <c:pt idx="50">
                  <c:v>33.947214510352779</c:v>
                </c:pt>
                <c:pt idx="51">
                  <c:v>67.836950959991356</c:v>
                </c:pt>
                <c:pt idx="52">
                  <c:v>118.85802239305899</c:v>
                </c:pt>
                <c:pt idx="53">
                  <c:v>135.87812624211176</c:v>
                </c:pt>
                <c:pt idx="54">
                  <c:v>102.04726615198797</c:v>
                </c:pt>
                <c:pt idx="55">
                  <c:v>186.89622974677405</c:v>
                </c:pt>
                <c:pt idx="56">
                  <c:v>237.81054061766235</c:v>
                </c:pt>
                <c:pt idx="57">
                  <c:v>136.00807149685599</c:v>
                </c:pt>
                <c:pt idx="58">
                  <c:v>272.03803907280468</c:v>
                </c:pt>
                <c:pt idx="59">
                  <c:v>255.10122794279678</c:v>
                </c:pt>
                <c:pt idx="60">
                  <c:v>272.0730032781421</c:v>
                </c:pt>
                <c:pt idx="61">
                  <c:v>322.91235631017702</c:v>
                </c:pt>
                <c:pt idx="62">
                  <c:v>425.10581195114526</c:v>
                </c:pt>
                <c:pt idx="63">
                  <c:v>373.97163286290095</c:v>
                </c:pt>
                <c:pt idx="64">
                  <c:v>628.77407291089571</c:v>
                </c:pt>
                <c:pt idx="65">
                  <c:v>458.78365231946509</c:v>
                </c:pt>
                <c:pt idx="66">
                  <c:v>561.23082741842586</c:v>
                </c:pt>
                <c:pt idx="67">
                  <c:v>475.74173208344655</c:v>
                </c:pt>
                <c:pt idx="68">
                  <c:v>629.19836833795966</c:v>
                </c:pt>
                <c:pt idx="69">
                  <c:v>612.25527118086814</c:v>
                </c:pt>
                <c:pt idx="70">
                  <c:v>732.17291220140351</c:v>
                </c:pt>
                <c:pt idx="71">
                  <c:v>1158.3712961872309</c:v>
                </c:pt>
                <c:pt idx="72">
                  <c:v>1191.8777862592451</c:v>
                </c:pt>
                <c:pt idx="73">
                  <c:v>1329.5025598245056</c:v>
                </c:pt>
                <c:pt idx="74">
                  <c:v>1603.0516688651435</c:v>
                </c:pt>
                <c:pt idx="75">
                  <c:v>1858.678758599347</c:v>
                </c:pt>
                <c:pt idx="76">
                  <c:v>1875.3364266595297</c:v>
                </c:pt>
                <c:pt idx="77">
                  <c:v>2475.0195187893601</c:v>
                </c:pt>
                <c:pt idx="78">
                  <c:v>2699.1382555125588</c:v>
                </c:pt>
                <c:pt idx="79">
                  <c:v>2786.342025958611</c:v>
                </c:pt>
                <c:pt idx="80">
                  <c:v>3568.4904474474001</c:v>
                </c:pt>
                <c:pt idx="81">
                  <c:v>4508.9816553000883</c:v>
                </c:pt>
                <c:pt idx="82">
                  <c:v>5433.5395242991472</c:v>
                </c:pt>
                <c:pt idx="83">
                  <c:v>6068.9026161268603</c:v>
                </c:pt>
                <c:pt idx="84">
                  <c:v>7477.6033099313936</c:v>
                </c:pt>
                <c:pt idx="85">
                  <c:v>9745.8397917220664</c:v>
                </c:pt>
                <c:pt idx="86">
                  <c:v>11354.729523855516</c:v>
                </c:pt>
                <c:pt idx="87">
                  <c:v>14478.521631225434</c:v>
                </c:pt>
                <c:pt idx="88">
                  <c:v>18072.927101196423</c:v>
                </c:pt>
                <c:pt idx="89">
                  <c:v>23661.387338250584</c:v>
                </c:pt>
                <c:pt idx="90">
                  <c:v>31798.764794437771</c:v>
                </c:pt>
                <c:pt idx="91">
                  <c:v>42272.928963412145</c:v>
                </c:pt>
                <c:pt idx="92">
                  <c:v>59609.483064326836</c:v>
                </c:pt>
                <c:pt idx="93">
                  <c:v>87854.507711547078</c:v>
                </c:pt>
                <c:pt idx="94">
                  <c:v>134613.60395369644</c:v>
                </c:pt>
                <c:pt idx="95">
                  <c:v>227169.26794591238</c:v>
                </c:pt>
                <c:pt idx="96">
                  <c:v>421610.29233229783</c:v>
                </c:pt>
                <c:pt idx="97">
                  <c:v>930878.52662305918</c:v>
                </c:pt>
                <c:pt idx="98">
                  <c:v>2663125.4867352676</c:v>
                </c:pt>
                <c:pt idx="99">
                  <c:v>12465450.940363944</c:v>
                </c:pt>
                <c:pt idx="100">
                  <c:v>34360238.350271188</c:v>
                </c:pt>
                <c:pt idx="101">
                  <c:v>11146404.301354269</c:v>
                </c:pt>
                <c:pt idx="102">
                  <c:v>2504652.7917761249</c:v>
                </c:pt>
                <c:pt idx="103">
                  <c:v>787104.3080236353</c:v>
                </c:pt>
                <c:pt idx="104">
                  <c:v>322032.58486098435</c:v>
                </c:pt>
                <c:pt idx="105">
                  <c:v>148473.99505124535</c:v>
                </c:pt>
                <c:pt idx="106">
                  <c:v>77782.364837543821</c:v>
                </c:pt>
                <c:pt idx="107">
                  <c:v>45275.929868141822</c:v>
                </c:pt>
                <c:pt idx="108">
                  <c:v>28825.88894987337</c:v>
                </c:pt>
                <c:pt idx="109">
                  <c:v>18854.904517575884</c:v>
                </c:pt>
                <c:pt idx="110">
                  <c:v>12839.750832948443</c:v>
                </c:pt>
                <c:pt idx="111">
                  <c:v>8204.3373535026803</c:v>
                </c:pt>
                <c:pt idx="112">
                  <c:v>5914.3712705605676</c:v>
                </c:pt>
                <c:pt idx="113">
                  <c:v>4426.3597080381078</c:v>
                </c:pt>
                <c:pt idx="114">
                  <c:v>3616.4201956485781</c:v>
                </c:pt>
                <c:pt idx="115">
                  <c:v>2541.0614225538402</c:v>
                </c:pt>
                <c:pt idx="116">
                  <c:v>2218.1017146116665</c:v>
                </c:pt>
                <c:pt idx="117">
                  <c:v>1755.5928642643748</c:v>
                </c:pt>
                <c:pt idx="118">
                  <c:v>1330.6135280177682</c:v>
                </c:pt>
                <c:pt idx="119">
                  <c:v>1107.4680342284328</c:v>
                </c:pt>
                <c:pt idx="120">
                  <c:v>886.41692411812846</c:v>
                </c:pt>
                <c:pt idx="121">
                  <c:v>664.34755329301424</c:v>
                </c:pt>
                <c:pt idx="122">
                  <c:v>596.42938250138093</c:v>
                </c:pt>
                <c:pt idx="123">
                  <c:v>528.80098852226058</c:v>
                </c:pt>
                <c:pt idx="124">
                  <c:v>546.15835730565414</c:v>
                </c:pt>
                <c:pt idx="125">
                  <c:v>409.72273578213793</c:v>
                </c:pt>
                <c:pt idx="126">
                  <c:v>306.91278195541963</c:v>
                </c:pt>
                <c:pt idx="127">
                  <c:v>238.72819842426787</c:v>
                </c:pt>
                <c:pt idx="128">
                  <c:v>239.23772654563422</c:v>
                </c:pt>
                <c:pt idx="129">
                  <c:v>222.49511624072082</c:v>
                </c:pt>
                <c:pt idx="130">
                  <c:v>188.27573723449589</c:v>
                </c:pt>
                <c:pt idx="131">
                  <c:v>154.06749480311555</c:v>
                </c:pt>
                <c:pt idx="132">
                  <c:v>119.82367181954513</c:v>
                </c:pt>
                <c:pt idx="133">
                  <c:v>85.740992105741057</c:v>
                </c:pt>
                <c:pt idx="134">
                  <c:v>85.813899865430457</c:v>
                </c:pt>
                <c:pt idx="135">
                  <c:v>171.81516873093958</c:v>
                </c:pt>
                <c:pt idx="136">
                  <c:v>51.536570784038283</c:v>
                </c:pt>
                <c:pt idx="137">
                  <c:v>17.172498463127177</c:v>
                </c:pt>
                <c:pt idx="138">
                  <c:v>51.512168563611048</c:v>
                </c:pt>
                <c:pt idx="139">
                  <c:v>17.179567800425364</c:v>
                </c:pt>
                <c:pt idx="140">
                  <c:v>68.679365237821898</c:v>
                </c:pt>
                <c:pt idx="141">
                  <c:v>51.571358149141147</c:v>
                </c:pt>
                <c:pt idx="142">
                  <c:v>68.618106716194077</c:v>
                </c:pt>
                <c:pt idx="143">
                  <c:v>68.580681314096154</c:v>
                </c:pt>
                <c:pt idx="144">
                  <c:v>17.132361615188515</c:v>
                </c:pt>
                <c:pt idx="145">
                  <c:v>68.517380820861476</c:v>
                </c:pt>
                <c:pt idx="146">
                  <c:v>51.405423926618305</c:v>
                </c:pt>
                <c:pt idx="147">
                  <c:v>17.11378036672118</c:v>
                </c:pt>
                <c:pt idx="148">
                  <c:v>34.266417677075111</c:v>
                </c:pt>
                <c:pt idx="149">
                  <c:v>34.289693650831509</c:v>
                </c:pt>
                <c:pt idx="150">
                  <c:v>102.90949122022239</c:v>
                </c:pt>
                <c:pt idx="151">
                  <c:v>34.300879308177379</c:v>
                </c:pt>
                <c:pt idx="152">
                  <c:v>17.146678136123128</c:v>
                </c:pt>
                <c:pt idx="153">
                  <c:v>34.287191309461598</c:v>
                </c:pt>
                <c:pt idx="154">
                  <c:v>34.294626163648765</c:v>
                </c:pt>
                <c:pt idx="155">
                  <c:v>0</c:v>
                </c:pt>
                <c:pt idx="156">
                  <c:v>34.315556280777912</c:v>
                </c:pt>
                <c:pt idx="157">
                  <c:v>0</c:v>
                </c:pt>
                <c:pt idx="158">
                  <c:v>0</c:v>
                </c:pt>
                <c:pt idx="159">
                  <c:v>51.526498391886172</c:v>
                </c:pt>
                <c:pt idx="160">
                  <c:v>0</c:v>
                </c:pt>
                <c:pt idx="161">
                  <c:v>34.319835863930692</c:v>
                </c:pt>
                <c:pt idx="162">
                  <c:v>0</c:v>
                </c:pt>
                <c:pt idx="163">
                  <c:v>34.345352088367896</c:v>
                </c:pt>
                <c:pt idx="164">
                  <c:v>34.335104327528413</c:v>
                </c:pt>
                <c:pt idx="165">
                  <c:v>0</c:v>
                </c:pt>
                <c:pt idx="166">
                  <c:v>34.293698156833798</c:v>
                </c:pt>
                <c:pt idx="167">
                  <c:v>17.147221500215416</c:v>
                </c:pt>
                <c:pt idx="168">
                  <c:v>0</c:v>
                </c:pt>
                <c:pt idx="169">
                  <c:v>17.147899227287667</c:v>
                </c:pt>
                <c:pt idx="170">
                  <c:v>17.119882403755405</c:v>
                </c:pt>
                <c:pt idx="171">
                  <c:v>0</c:v>
                </c:pt>
                <c:pt idx="172">
                  <c:v>17.137458409397432</c:v>
                </c:pt>
                <c:pt idx="173">
                  <c:v>0</c:v>
                </c:pt>
                <c:pt idx="174">
                  <c:v>17.145115393173427</c:v>
                </c:pt>
                <c:pt idx="175">
                  <c:v>0</c:v>
                </c:pt>
                <c:pt idx="176">
                  <c:v>0</c:v>
                </c:pt>
                <c:pt idx="177">
                  <c:v>17.127456681216216</c:v>
                </c:pt>
                <c:pt idx="178">
                  <c:v>17.137244966042921</c:v>
                </c:pt>
                <c:pt idx="179">
                  <c:v>17.131526664088796</c:v>
                </c:pt>
                <c:pt idx="180">
                  <c:v>17.112849929872777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17.141758900842699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17.189004687506134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17.213888212726882</c:v>
                </c:pt>
                <c:pt idx="199">
                  <c:v>17.208094061484424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BD-4871-AAC3-EF73EBD6D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RoughTEOS_01!$A$22:$A$222</c:f>
              <c:numCache>
                <c:formatCode>General</c:formatCode>
                <c:ptCount val="201"/>
                <c:pt idx="0">
                  <c:v>68.588399999999993</c:v>
                </c:pt>
                <c:pt idx="1">
                  <c:v>68.598399999999998</c:v>
                </c:pt>
                <c:pt idx="2">
                  <c:v>68.608400000000003</c:v>
                </c:pt>
                <c:pt idx="3">
                  <c:v>68.618399999999994</c:v>
                </c:pt>
                <c:pt idx="4">
                  <c:v>68.628399999999999</c:v>
                </c:pt>
                <c:pt idx="5">
                  <c:v>68.638400000000004</c:v>
                </c:pt>
                <c:pt idx="6">
                  <c:v>68.648399999999995</c:v>
                </c:pt>
                <c:pt idx="7">
                  <c:v>68.6584</c:v>
                </c:pt>
                <c:pt idx="8">
                  <c:v>68.668400000000005</c:v>
                </c:pt>
                <c:pt idx="9">
                  <c:v>68.678399999999996</c:v>
                </c:pt>
                <c:pt idx="10">
                  <c:v>68.688400000000001</c:v>
                </c:pt>
                <c:pt idx="11">
                  <c:v>68.698400000000007</c:v>
                </c:pt>
                <c:pt idx="12">
                  <c:v>68.708399999999997</c:v>
                </c:pt>
                <c:pt idx="13">
                  <c:v>68.718400000000003</c:v>
                </c:pt>
                <c:pt idx="14">
                  <c:v>68.728399999999993</c:v>
                </c:pt>
                <c:pt idx="15">
                  <c:v>68.738399999999999</c:v>
                </c:pt>
                <c:pt idx="16">
                  <c:v>68.748400000000004</c:v>
                </c:pt>
                <c:pt idx="17">
                  <c:v>68.758399999999995</c:v>
                </c:pt>
                <c:pt idx="18">
                  <c:v>68.7684</c:v>
                </c:pt>
                <c:pt idx="19">
                  <c:v>68.778400000000005</c:v>
                </c:pt>
                <c:pt idx="20">
                  <c:v>68.788399999999996</c:v>
                </c:pt>
                <c:pt idx="21">
                  <c:v>68.798400000000001</c:v>
                </c:pt>
                <c:pt idx="22">
                  <c:v>68.808400000000006</c:v>
                </c:pt>
                <c:pt idx="23">
                  <c:v>68.818399999999997</c:v>
                </c:pt>
                <c:pt idx="24">
                  <c:v>68.828400000000002</c:v>
                </c:pt>
                <c:pt idx="25">
                  <c:v>68.838399999999993</c:v>
                </c:pt>
                <c:pt idx="26">
                  <c:v>68.848399999999998</c:v>
                </c:pt>
                <c:pt idx="27">
                  <c:v>68.858400000000003</c:v>
                </c:pt>
                <c:pt idx="28">
                  <c:v>68.868399999999994</c:v>
                </c:pt>
                <c:pt idx="29">
                  <c:v>68.878399999999999</c:v>
                </c:pt>
                <c:pt idx="30">
                  <c:v>68.888400000000004</c:v>
                </c:pt>
                <c:pt idx="31">
                  <c:v>68.898399999999995</c:v>
                </c:pt>
                <c:pt idx="32">
                  <c:v>68.9084</c:v>
                </c:pt>
                <c:pt idx="33">
                  <c:v>68.918400000000005</c:v>
                </c:pt>
                <c:pt idx="34">
                  <c:v>68.928399999999996</c:v>
                </c:pt>
                <c:pt idx="35">
                  <c:v>68.938400000000001</c:v>
                </c:pt>
                <c:pt idx="36">
                  <c:v>68.948400000000007</c:v>
                </c:pt>
                <c:pt idx="37">
                  <c:v>68.958399999999997</c:v>
                </c:pt>
                <c:pt idx="38">
                  <c:v>68.968400000000003</c:v>
                </c:pt>
                <c:pt idx="39">
                  <c:v>68.978399999999993</c:v>
                </c:pt>
                <c:pt idx="40">
                  <c:v>68.988399999999999</c:v>
                </c:pt>
                <c:pt idx="41">
                  <c:v>68.998400000000004</c:v>
                </c:pt>
                <c:pt idx="42">
                  <c:v>69.008399999999995</c:v>
                </c:pt>
                <c:pt idx="43">
                  <c:v>69.0184</c:v>
                </c:pt>
                <c:pt idx="44">
                  <c:v>69.028400000000005</c:v>
                </c:pt>
                <c:pt idx="45">
                  <c:v>69.038399999999996</c:v>
                </c:pt>
                <c:pt idx="46">
                  <c:v>69.048400000000001</c:v>
                </c:pt>
                <c:pt idx="47">
                  <c:v>69.058400000000006</c:v>
                </c:pt>
                <c:pt idx="48">
                  <c:v>69.068399999999997</c:v>
                </c:pt>
                <c:pt idx="49">
                  <c:v>69.078400000000002</c:v>
                </c:pt>
                <c:pt idx="50">
                  <c:v>69.088399999999993</c:v>
                </c:pt>
                <c:pt idx="51">
                  <c:v>69.098399999999998</c:v>
                </c:pt>
                <c:pt idx="52">
                  <c:v>69.108400000000003</c:v>
                </c:pt>
                <c:pt idx="53">
                  <c:v>69.118399999999994</c:v>
                </c:pt>
                <c:pt idx="54">
                  <c:v>69.128399999999999</c:v>
                </c:pt>
                <c:pt idx="55">
                  <c:v>69.138400000000004</c:v>
                </c:pt>
                <c:pt idx="56">
                  <c:v>69.148399999999995</c:v>
                </c:pt>
                <c:pt idx="57">
                  <c:v>69.1584</c:v>
                </c:pt>
                <c:pt idx="58">
                  <c:v>69.168400000000005</c:v>
                </c:pt>
                <c:pt idx="59">
                  <c:v>69.178399999999996</c:v>
                </c:pt>
                <c:pt idx="60">
                  <c:v>69.188400000000001</c:v>
                </c:pt>
                <c:pt idx="61">
                  <c:v>69.198400000000007</c:v>
                </c:pt>
                <c:pt idx="62">
                  <c:v>69.208399999999997</c:v>
                </c:pt>
                <c:pt idx="63">
                  <c:v>69.218400000000003</c:v>
                </c:pt>
                <c:pt idx="64">
                  <c:v>69.228399999999993</c:v>
                </c:pt>
                <c:pt idx="65">
                  <c:v>69.238399999999999</c:v>
                </c:pt>
                <c:pt idx="66">
                  <c:v>69.248400000000004</c:v>
                </c:pt>
                <c:pt idx="67">
                  <c:v>69.258399999999995</c:v>
                </c:pt>
                <c:pt idx="68">
                  <c:v>69.2684</c:v>
                </c:pt>
                <c:pt idx="69">
                  <c:v>69.278400000000005</c:v>
                </c:pt>
                <c:pt idx="70">
                  <c:v>69.288399999999996</c:v>
                </c:pt>
                <c:pt idx="71">
                  <c:v>69.298400000000001</c:v>
                </c:pt>
                <c:pt idx="72">
                  <c:v>69.308400000000006</c:v>
                </c:pt>
                <c:pt idx="73">
                  <c:v>69.318399999999997</c:v>
                </c:pt>
                <c:pt idx="74">
                  <c:v>69.328400000000002</c:v>
                </c:pt>
                <c:pt idx="75">
                  <c:v>69.338399999999993</c:v>
                </c:pt>
                <c:pt idx="76">
                  <c:v>69.348399999999998</c:v>
                </c:pt>
                <c:pt idx="77">
                  <c:v>69.358400000000003</c:v>
                </c:pt>
                <c:pt idx="78">
                  <c:v>69.368399999999994</c:v>
                </c:pt>
                <c:pt idx="79">
                  <c:v>69.378399999999999</c:v>
                </c:pt>
                <c:pt idx="80">
                  <c:v>69.388400000000004</c:v>
                </c:pt>
                <c:pt idx="81">
                  <c:v>69.398399999999995</c:v>
                </c:pt>
                <c:pt idx="82">
                  <c:v>69.4084</c:v>
                </c:pt>
                <c:pt idx="83">
                  <c:v>69.418400000000005</c:v>
                </c:pt>
                <c:pt idx="84">
                  <c:v>69.428399999999996</c:v>
                </c:pt>
                <c:pt idx="85">
                  <c:v>69.438400000000001</c:v>
                </c:pt>
                <c:pt idx="86">
                  <c:v>69.448400000000007</c:v>
                </c:pt>
                <c:pt idx="87">
                  <c:v>69.458399999999997</c:v>
                </c:pt>
                <c:pt idx="88">
                  <c:v>69.468400000000003</c:v>
                </c:pt>
                <c:pt idx="89">
                  <c:v>69.478399999999993</c:v>
                </c:pt>
                <c:pt idx="90">
                  <c:v>69.488399999999999</c:v>
                </c:pt>
                <c:pt idx="91">
                  <c:v>69.498400000000004</c:v>
                </c:pt>
                <c:pt idx="92">
                  <c:v>69.508399999999995</c:v>
                </c:pt>
                <c:pt idx="93">
                  <c:v>69.5184</c:v>
                </c:pt>
                <c:pt idx="94">
                  <c:v>69.528400000000005</c:v>
                </c:pt>
                <c:pt idx="95">
                  <c:v>69.538399999999996</c:v>
                </c:pt>
                <c:pt idx="96">
                  <c:v>69.548400000000001</c:v>
                </c:pt>
                <c:pt idx="97">
                  <c:v>69.558400000000006</c:v>
                </c:pt>
                <c:pt idx="98">
                  <c:v>69.568399999999997</c:v>
                </c:pt>
                <c:pt idx="99">
                  <c:v>69.578400000000002</c:v>
                </c:pt>
                <c:pt idx="100">
                  <c:v>69.588399999999993</c:v>
                </c:pt>
                <c:pt idx="101">
                  <c:v>69.598399999999998</c:v>
                </c:pt>
                <c:pt idx="102">
                  <c:v>69.608400000000003</c:v>
                </c:pt>
                <c:pt idx="103">
                  <c:v>69.618399999999994</c:v>
                </c:pt>
                <c:pt idx="104">
                  <c:v>69.628399999999999</c:v>
                </c:pt>
                <c:pt idx="105">
                  <c:v>69.638400000000004</c:v>
                </c:pt>
                <c:pt idx="106">
                  <c:v>69.648399999999995</c:v>
                </c:pt>
                <c:pt idx="107">
                  <c:v>69.6584</c:v>
                </c:pt>
                <c:pt idx="108">
                  <c:v>69.668400000000005</c:v>
                </c:pt>
                <c:pt idx="109">
                  <c:v>69.678399999999996</c:v>
                </c:pt>
                <c:pt idx="110">
                  <c:v>69.688400000000001</c:v>
                </c:pt>
                <c:pt idx="111">
                  <c:v>69.698400000000007</c:v>
                </c:pt>
                <c:pt idx="112">
                  <c:v>69.708399999999997</c:v>
                </c:pt>
                <c:pt idx="113">
                  <c:v>69.718400000000003</c:v>
                </c:pt>
                <c:pt idx="114">
                  <c:v>69.728399999999993</c:v>
                </c:pt>
                <c:pt idx="115">
                  <c:v>69.738399999999999</c:v>
                </c:pt>
                <c:pt idx="116">
                  <c:v>69.748400000000004</c:v>
                </c:pt>
                <c:pt idx="117">
                  <c:v>69.758399999999995</c:v>
                </c:pt>
                <c:pt idx="118">
                  <c:v>69.7684</c:v>
                </c:pt>
                <c:pt idx="119">
                  <c:v>69.778400000000005</c:v>
                </c:pt>
                <c:pt idx="120">
                  <c:v>69.788399999999996</c:v>
                </c:pt>
                <c:pt idx="121">
                  <c:v>69.798400000000001</c:v>
                </c:pt>
                <c:pt idx="122">
                  <c:v>69.808400000000006</c:v>
                </c:pt>
                <c:pt idx="123">
                  <c:v>69.818399999999997</c:v>
                </c:pt>
                <c:pt idx="124">
                  <c:v>69.828400000000002</c:v>
                </c:pt>
                <c:pt idx="125">
                  <c:v>69.838399999999993</c:v>
                </c:pt>
                <c:pt idx="126">
                  <c:v>69.848399999999998</c:v>
                </c:pt>
                <c:pt idx="127">
                  <c:v>69.858400000000003</c:v>
                </c:pt>
                <c:pt idx="128">
                  <c:v>69.868399999999994</c:v>
                </c:pt>
                <c:pt idx="129">
                  <c:v>69.878399999999999</c:v>
                </c:pt>
                <c:pt idx="130">
                  <c:v>69.888400000000004</c:v>
                </c:pt>
                <c:pt idx="131">
                  <c:v>69.898399999999995</c:v>
                </c:pt>
                <c:pt idx="132">
                  <c:v>69.9084</c:v>
                </c:pt>
                <c:pt idx="133">
                  <c:v>69.918400000000005</c:v>
                </c:pt>
                <c:pt idx="134">
                  <c:v>69.928399999999996</c:v>
                </c:pt>
                <c:pt idx="135">
                  <c:v>69.938400000000001</c:v>
                </c:pt>
                <c:pt idx="136">
                  <c:v>69.948400000000007</c:v>
                </c:pt>
                <c:pt idx="137">
                  <c:v>69.958399999999997</c:v>
                </c:pt>
                <c:pt idx="138">
                  <c:v>69.968400000000003</c:v>
                </c:pt>
                <c:pt idx="139">
                  <c:v>69.978399999999993</c:v>
                </c:pt>
                <c:pt idx="140">
                  <c:v>69.988399999999999</c:v>
                </c:pt>
                <c:pt idx="141">
                  <c:v>69.998400000000004</c:v>
                </c:pt>
                <c:pt idx="142">
                  <c:v>70.008399999999995</c:v>
                </c:pt>
                <c:pt idx="143">
                  <c:v>70.0184</c:v>
                </c:pt>
                <c:pt idx="144">
                  <c:v>70.028400000000005</c:v>
                </c:pt>
                <c:pt idx="145">
                  <c:v>70.038399999999996</c:v>
                </c:pt>
                <c:pt idx="146">
                  <c:v>70.048400000000001</c:v>
                </c:pt>
                <c:pt idx="147">
                  <c:v>70.058400000000006</c:v>
                </c:pt>
                <c:pt idx="148">
                  <c:v>70.068399999999997</c:v>
                </c:pt>
                <c:pt idx="149">
                  <c:v>70.078400000000002</c:v>
                </c:pt>
                <c:pt idx="150">
                  <c:v>70.088399999999993</c:v>
                </c:pt>
                <c:pt idx="151">
                  <c:v>70.098399999999998</c:v>
                </c:pt>
                <c:pt idx="152">
                  <c:v>70.108400000000003</c:v>
                </c:pt>
                <c:pt idx="153">
                  <c:v>70.118399999999994</c:v>
                </c:pt>
                <c:pt idx="154">
                  <c:v>70.128399999999999</c:v>
                </c:pt>
                <c:pt idx="155">
                  <c:v>70.138400000000004</c:v>
                </c:pt>
                <c:pt idx="156">
                  <c:v>70.148399999999995</c:v>
                </c:pt>
                <c:pt idx="157">
                  <c:v>70.1584</c:v>
                </c:pt>
                <c:pt idx="158">
                  <c:v>70.168400000000005</c:v>
                </c:pt>
                <c:pt idx="159">
                  <c:v>70.178399999999996</c:v>
                </c:pt>
                <c:pt idx="160">
                  <c:v>70.188400000000001</c:v>
                </c:pt>
                <c:pt idx="161">
                  <c:v>70.198400000000007</c:v>
                </c:pt>
                <c:pt idx="162">
                  <c:v>70.208399999999997</c:v>
                </c:pt>
                <c:pt idx="163">
                  <c:v>70.218400000000003</c:v>
                </c:pt>
                <c:pt idx="164">
                  <c:v>70.228399999999993</c:v>
                </c:pt>
                <c:pt idx="165">
                  <c:v>70.238399999999999</c:v>
                </c:pt>
                <c:pt idx="166">
                  <c:v>70.248400000000004</c:v>
                </c:pt>
                <c:pt idx="167">
                  <c:v>70.258399999999995</c:v>
                </c:pt>
                <c:pt idx="168">
                  <c:v>70.2684</c:v>
                </c:pt>
                <c:pt idx="169">
                  <c:v>70.278400000000005</c:v>
                </c:pt>
                <c:pt idx="170">
                  <c:v>70.288399999999996</c:v>
                </c:pt>
                <c:pt idx="171">
                  <c:v>70.298400000000001</c:v>
                </c:pt>
                <c:pt idx="172">
                  <c:v>70.308400000000006</c:v>
                </c:pt>
                <c:pt idx="173">
                  <c:v>70.318399999999997</c:v>
                </c:pt>
                <c:pt idx="174">
                  <c:v>70.328400000000002</c:v>
                </c:pt>
                <c:pt idx="175">
                  <c:v>70.338399999999993</c:v>
                </c:pt>
                <c:pt idx="176">
                  <c:v>70.348399999999998</c:v>
                </c:pt>
                <c:pt idx="177">
                  <c:v>70.358400000000003</c:v>
                </c:pt>
                <c:pt idx="178">
                  <c:v>70.368399999999994</c:v>
                </c:pt>
                <c:pt idx="179">
                  <c:v>70.378399999999999</c:v>
                </c:pt>
                <c:pt idx="180">
                  <c:v>70.388400000000004</c:v>
                </c:pt>
                <c:pt idx="181">
                  <c:v>70.398399999999995</c:v>
                </c:pt>
                <c:pt idx="182">
                  <c:v>70.4084</c:v>
                </c:pt>
                <c:pt idx="183">
                  <c:v>70.418400000000005</c:v>
                </c:pt>
                <c:pt idx="184">
                  <c:v>70.428399999999996</c:v>
                </c:pt>
                <c:pt idx="185">
                  <c:v>70.438400000000001</c:v>
                </c:pt>
                <c:pt idx="186">
                  <c:v>70.448400000000007</c:v>
                </c:pt>
                <c:pt idx="187">
                  <c:v>70.458399999999997</c:v>
                </c:pt>
                <c:pt idx="188">
                  <c:v>70.468400000000003</c:v>
                </c:pt>
                <c:pt idx="189">
                  <c:v>70.478399999999993</c:v>
                </c:pt>
                <c:pt idx="190">
                  <c:v>70.488399999999999</c:v>
                </c:pt>
                <c:pt idx="191">
                  <c:v>70.498400000000004</c:v>
                </c:pt>
                <c:pt idx="192">
                  <c:v>70.508399999999995</c:v>
                </c:pt>
                <c:pt idx="193">
                  <c:v>70.5184</c:v>
                </c:pt>
                <c:pt idx="194">
                  <c:v>70.528400000000005</c:v>
                </c:pt>
                <c:pt idx="195">
                  <c:v>70.538399999999996</c:v>
                </c:pt>
                <c:pt idx="196">
                  <c:v>70.548400000000001</c:v>
                </c:pt>
                <c:pt idx="197">
                  <c:v>70.558400000000006</c:v>
                </c:pt>
                <c:pt idx="198">
                  <c:v>70.568399999999997</c:v>
                </c:pt>
                <c:pt idx="199">
                  <c:v>70.578400000000002</c:v>
                </c:pt>
                <c:pt idx="200">
                  <c:v>70.588399999999993</c:v>
                </c:pt>
              </c:numCache>
            </c:numRef>
          </c:xVal>
          <c:yVal>
            <c:numRef>
              <c:f>RoughTEOS_01!$E$22:$E$222</c:f>
              <c:numCache>
                <c:formatCode>General</c:formatCode>
                <c:ptCount val="201"/>
                <c:pt idx="0">
                  <c:v>13.910211039786303</c:v>
                </c:pt>
                <c:pt idx="1">
                  <c:v>13.912875390047995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27.881724738050604</c:v>
                </c:pt>
                <c:pt idx="6">
                  <c:v>13.934767266735053</c:v>
                </c:pt>
                <c:pt idx="7">
                  <c:v>0</c:v>
                </c:pt>
                <c:pt idx="8">
                  <c:v>13.939538822951873</c:v>
                </c:pt>
                <c:pt idx="9">
                  <c:v>27.885817421482542</c:v>
                </c:pt>
                <c:pt idx="10">
                  <c:v>13.928725834375998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13.944725493676465</c:v>
                </c:pt>
                <c:pt idx="15">
                  <c:v>13.944753758484099</c:v>
                </c:pt>
                <c:pt idx="16">
                  <c:v>0</c:v>
                </c:pt>
                <c:pt idx="17">
                  <c:v>0</c:v>
                </c:pt>
                <c:pt idx="18">
                  <c:v>27.878835558905447</c:v>
                </c:pt>
                <c:pt idx="19">
                  <c:v>27.88293546599721</c:v>
                </c:pt>
                <c:pt idx="20">
                  <c:v>0</c:v>
                </c:pt>
                <c:pt idx="21">
                  <c:v>13.966114287934882</c:v>
                </c:pt>
                <c:pt idx="22">
                  <c:v>0</c:v>
                </c:pt>
                <c:pt idx="23">
                  <c:v>27.946460187518756</c:v>
                </c:pt>
                <c:pt idx="24">
                  <c:v>0</c:v>
                </c:pt>
                <c:pt idx="25">
                  <c:v>41.923607145344384</c:v>
                </c:pt>
                <c:pt idx="26">
                  <c:v>41.936080298740102</c:v>
                </c:pt>
                <c:pt idx="27">
                  <c:v>13.979208756554412</c:v>
                </c:pt>
                <c:pt idx="28">
                  <c:v>41.91492291276095</c:v>
                </c:pt>
                <c:pt idx="29">
                  <c:v>13.97526567188434</c:v>
                </c:pt>
                <c:pt idx="30">
                  <c:v>0</c:v>
                </c:pt>
                <c:pt idx="31">
                  <c:v>27.936214558729095</c:v>
                </c:pt>
                <c:pt idx="32">
                  <c:v>13.960725528319625</c:v>
                </c:pt>
                <c:pt idx="33">
                  <c:v>0</c:v>
                </c:pt>
                <c:pt idx="34">
                  <c:v>41.896447447710443</c:v>
                </c:pt>
                <c:pt idx="35">
                  <c:v>55.802315011422102</c:v>
                </c:pt>
                <c:pt idx="36">
                  <c:v>41.905950553600583</c:v>
                </c:pt>
                <c:pt idx="37">
                  <c:v>69.861427475146641</c:v>
                </c:pt>
                <c:pt idx="38">
                  <c:v>0</c:v>
                </c:pt>
                <c:pt idx="39">
                  <c:v>13.978206547846241</c:v>
                </c:pt>
                <c:pt idx="40">
                  <c:v>41.903726294631788</c:v>
                </c:pt>
                <c:pt idx="41">
                  <c:v>111.81189193769937</c:v>
                </c:pt>
                <c:pt idx="42">
                  <c:v>83.818538298670362</c:v>
                </c:pt>
                <c:pt idx="43">
                  <c:v>27.956599729713417</c:v>
                </c:pt>
                <c:pt idx="44">
                  <c:v>83.846022107190834</c:v>
                </c:pt>
                <c:pt idx="45">
                  <c:v>41.954810043103187</c:v>
                </c:pt>
                <c:pt idx="46">
                  <c:v>41.970349665138826</c:v>
                </c:pt>
                <c:pt idx="47">
                  <c:v>111.88462696740091</c:v>
                </c:pt>
                <c:pt idx="48">
                  <c:v>111.93075229080598</c:v>
                </c:pt>
                <c:pt idx="49">
                  <c:v>126.07600925936161</c:v>
                </c:pt>
                <c:pt idx="50">
                  <c:v>111.93576042762851</c:v>
                </c:pt>
                <c:pt idx="51">
                  <c:v>126.04088605945837</c:v>
                </c:pt>
                <c:pt idx="52">
                  <c:v>126.04906017153145</c:v>
                </c:pt>
                <c:pt idx="53">
                  <c:v>168.08457544600151</c:v>
                </c:pt>
                <c:pt idx="54">
                  <c:v>154.0177688875838</c:v>
                </c:pt>
                <c:pt idx="55">
                  <c:v>196.10363360416329</c:v>
                </c:pt>
                <c:pt idx="56">
                  <c:v>238.22901572345802</c:v>
                </c:pt>
                <c:pt idx="57">
                  <c:v>168.03682550685667</c:v>
                </c:pt>
                <c:pt idx="58">
                  <c:v>307.94412582298702</c:v>
                </c:pt>
                <c:pt idx="59">
                  <c:v>140.01904388641819</c:v>
                </c:pt>
                <c:pt idx="60">
                  <c:v>265.80233089805228</c:v>
                </c:pt>
                <c:pt idx="61">
                  <c:v>195.78257531407974</c:v>
                </c:pt>
                <c:pt idx="62">
                  <c:v>363.32443370954491</c:v>
                </c:pt>
                <c:pt idx="63">
                  <c:v>363.76543341148306</c:v>
                </c:pt>
                <c:pt idx="64">
                  <c:v>237.82148013318329</c:v>
                </c:pt>
                <c:pt idx="65">
                  <c:v>321.79175089290953</c:v>
                </c:pt>
                <c:pt idx="66">
                  <c:v>419.67606542481485</c:v>
                </c:pt>
                <c:pt idx="67">
                  <c:v>503.58480135520432</c:v>
                </c:pt>
                <c:pt idx="68">
                  <c:v>517.61250928476591</c:v>
                </c:pt>
                <c:pt idx="69">
                  <c:v>545.41569826956106</c:v>
                </c:pt>
                <c:pt idx="70">
                  <c:v>545.75913767903273</c:v>
                </c:pt>
                <c:pt idx="71">
                  <c:v>615.82614129071692</c:v>
                </c:pt>
                <c:pt idx="72">
                  <c:v>644.03779294064293</c:v>
                </c:pt>
                <c:pt idx="73">
                  <c:v>951.45451650617224</c:v>
                </c:pt>
                <c:pt idx="74">
                  <c:v>1119.7639493149049</c:v>
                </c:pt>
                <c:pt idx="75">
                  <c:v>896.37702624296753</c:v>
                </c:pt>
                <c:pt idx="76">
                  <c:v>1175.6810718359698</c:v>
                </c:pt>
                <c:pt idx="77">
                  <c:v>1385.8706173135211</c:v>
                </c:pt>
                <c:pt idx="78">
                  <c:v>1679.2647406664387</c:v>
                </c:pt>
                <c:pt idx="79">
                  <c:v>2363.589514433409</c:v>
                </c:pt>
                <c:pt idx="80">
                  <c:v>2041.29807733902</c:v>
                </c:pt>
                <c:pt idx="81">
                  <c:v>2502.076458674258</c:v>
                </c:pt>
                <c:pt idx="82">
                  <c:v>2617.071714608534</c:v>
                </c:pt>
                <c:pt idx="83">
                  <c:v>3584.6021665948501</c:v>
                </c:pt>
                <c:pt idx="84">
                  <c:v>4384.8207229354457</c:v>
                </c:pt>
                <c:pt idx="85">
                  <c:v>5116.2867712655334</c:v>
                </c:pt>
                <c:pt idx="86">
                  <c:v>6085.4785318765234</c:v>
                </c:pt>
                <c:pt idx="87">
                  <c:v>7773.7827642763477</c:v>
                </c:pt>
                <c:pt idx="88">
                  <c:v>10054.942888152878</c:v>
                </c:pt>
                <c:pt idx="89">
                  <c:v>12894.928932109064</c:v>
                </c:pt>
                <c:pt idx="90">
                  <c:v>16757.736087088393</c:v>
                </c:pt>
                <c:pt idx="91">
                  <c:v>23021.759074623493</c:v>
                </c:pt>
                <c:pt idx="92">
                  <c:v>32114.723256959096</c:v>
                </c:pt>
                <c:pt idx="93">
                  <c:v>45522.563669102135</c:v>
                </c:pt>
                <c:pt idx="94">
                  <c:v>72890.252896540042</c:v>
                </c:pt>
                <c:pt idx="95">
                  <c:v>118561.0863980139</c:v>
                </c:pt>
                <c:pt idx="96">
                  <c:v>224240.40350708371</c:v>
                </c:pt>
                <c:pt idx="97">
                  <c:v>503394.88302230852</c:v>
                </c:pt>
                <c:pt idx="98">
                  <c:v>1558161.3893734487</c:v>
                </c:pt>
                <c:pt idx="99">
                  <c:v>8995712.6512111165</c:v>
                </c:pt>
                <c:pt idx="100">
                  <c:v>32195898.328988124</c:v>
                </c:pt>
                <c:pt idx="101">
                  <c:v>10844252.153618487</c:v>
                </c:pt>
                <c:pt idx="102">
                  <c:v>1689175.9160659683</c:v>
                </c:pt>
                <c:pt idx="103">
                  <c:v>444354.91442175861</c:v>
                </c:pt>
                <c:pt idx="104">
                  <c:v>170339.03090067007</c:v>
                </c:pt>
                <c:pt idx="105">
                  <c:v>78757.941764863324</c:v>
                </c:pt>
                <c:pt idx="106">
                  <c:v>40287.154186368221</c:v>
                </c:pt>
                <c:pt idx="107">
                  <c:v>23506.404588305235</c:v>
                </c:pt>
                <c:pt idx="108">
                  <c:v>14602.275104876944</c:v>
                </c:pt>
                <c:pt idx="109">
                  <c:v>9868.7816570232026</c:v>
                </c:pt>
                <c:pt idx="110">
                  <c:v>6813.4849660929212</c:v>
                </c:pt>
                <c:pt idx="111">
                  <c:v>4602.8802290826461</c:v>
                </c:pt>
                <c:pt idx="112">
                  <c:v>3178.0539600780216</c:v>
                </c:pt>
                <c:pt idx="113">
                  <c:v>2517.6531903024852</c:v>
                </c:pt>
                <c:pt idx="114">
                  <c:v>1871.3236502896937</c:v>
                </c:pt>
                <c:pt idx="115">
                  <c:v>1744.0894105236166</c:v>
                </c:pt>
                <c:pt idx="116">
                  <c:v>970.03588706146127</c:v>
                </c:pt>
                <c:pt idx="117">
                  <c:v>886.12728228583444</c:v>
                </c:pt>
                <c:pt idx="118">
                  <c:v>563.14451729537143</c:v>
                </c:pt>
                <c:pt idx="119">
                  <c:v>703.53904706029482</c:v>
                </c:pt>
                <c:pt idx="120">
                  <c:v>506.73451632391971</c:v>
                </c:pt>
                <c:pt idx="121">
                  <c:v>408.85408821565409</c:v>
                </c:pt>
                <c:pt idx="122">
                  <c:v>380.56333585231698</c:v>
                </c:pt>
                <c:pt idx="123">
                  <c:v>437.07280189055973</c:v>
                </c:pt>
                <c:pt idx="124">
                  <c:v>197.48363424192215</c:v>
                </c:pt>
                <c:pt idx="125">
                  <c:v>225.60703217115238</c:v>
                </c:pt>
                <c:pt idx="126">
                  <c:v>183.33738471869063</c:v>
                </c:pt>
                <c:pt idx="127">
                  <c:v>267.79724514649064</c:v>
                </c:pt>
                <c:pt idx="128">
                  <c:v>183.33024435039997</c:v>
                </c:pt>
                <c:pt idx="129">
                  <c:v>112.83361263420062</c:v>
                </c:pt>
                <c:pt idx="130">
                  <c:v>56.458474576767941</c:v>
                </c:pt>
                <c:pt idx="131">
                  <c:v>28.1859005198402</c:v>
                </c:pt>
                <c:pt idx="132">
                  <c:v>98.778822481444706</c:v>
                </c:pt>
                <c:pt idx="133">
                  <c:v>155.09738715809709</c:v>
                </c:pt>
                <c:pt idx="134">
                  <c:v>42.332776321028959</c:v>
                </c:pt>
                <c:pt idx="135">
                  <c:v>42.384452091565961</c:v>
                </c:pt>
                <c:pt idx="136">
                  <c:v>56.469166115559062</c:v>
                </c:pt>
                <c:pt idx="137">
                  <c:v>56.482229851550628</c:v>
                </c:pt>
                <c:pt idx="138">
                  <c:v>127.07596299482287</c:v>
                </c:pt>
                <c:pt idx="139">
                  <c:v>127.24959543315076</c:v>
                </c:pt>
                <c:pt idx="140">
                  <c:v>42.409409854274713</c:v>
                </c:pt>
                <c:pt idx="141">
                  <c:v>42.370555174954134</c:v>
                </c:pt>
                <c:pt idx="142">
                  <c:v>28.269761645426993</c:v>
                </c:pt>
                <c:pt idx="143">
                  <c:v>14.135901475304985</c:v>
                </c:pt>
                <c:pt idx="144">
                  <c:v>28.305019685126144</c:v>
                </c:pt>
                <c:pt idx="145">
                  <c:v>28.288559426198816</c:v>
                </c:pt>
                <c:pt idx="146">
                  <c:v>14.126807927453509</c:v>
                </c:pt>
                <c:pt idx="147">
                  <c:v>28.261557908672863</c:v>
                </c:pt>
                <c:pt idx="148">
                  <c:v>14.133350120148991</c:v>
                </c:pt>
                <c:pt idx="149">
                  <c:v>14.137548936949717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14.145214472983142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28.280311562994378</c:v>
                </c:pt>
                <c:pt idx="158">
                  <c:v>14.128262606188995</c:v>
                </c:pt>
                <c:pt idx="159">
                  <c:v>28.25387278258648</c:v>
                </c:pt>
                <c:pt idx="160">
                  <c:v>14.108717885617942</c:v>
                </c:pt>
                <c:pt idx="161">
                  <c:v>14.095190011534655</c:v>
                </c:pt>
                <c:pt idx="162">
                  <c:v>0</c:v>
                </c:pt>
                <c:pt idx="163">
                  <c:v>14.087764029554812</c:v>
                </c:pt>
                <c:pt idx="164">
                  <c:v>14.094876485957217</c:v>
                </c:pt>
                <c:pt idx="165">
                  <c:v>28.205404585455078</c:v>
                </c:pt>
                <c:pt idx="166">
                  <c:v>14.099242346836457</c:v>
                </c:pt>
                <c:pt idx="167">
                  <c:v>14.108540153769173</c:v>
                </c:pt>
                <c:pt idx="168">
                  <c:v>14.114986829799152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14.161978010602997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14.177616737179171</c:v>
                </c:pt>
                <c:pt idx="177">
                  <c:v>14.159987603740754</c:v>
                </c:pt>
                <c:pt idx="178">
                  <c:v>14.166152186203687</c:v>
                </c:pt>
                <c:pt idx="179">
                  <c:v>0</c:v>
                </c:pt>
                <c:pt idx="180">
                  <c:v>28.318876100434032</c:v>
                </c:pt>
                <c:pt idx="181">
                  <c:v>28.303871833970476</c:v>
                </c:pt>
                <c:pt idx="182">
                  <c:v>14.159945969404619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84.989863016599656</c:v>
                </c:pt>
                <c:pt idx="187">
                  <c:v>0</c:v>
                </c:pt>
                <c:pt idx="188">
                  <c:v>0</c:v>
                </c:pt>
                <c:pt idx="189">
                  <c:v>14.144877945192164</c:v>
                </c:pt>
                <c:pt idx="190">
                  <c:v>14.153445690616406</c:v>
                </c:pt>
                <c:pt idx="191">
                  <c:v>0</c:v>
                </c:pt>
                <c:pt idx="192">
                  <c:v>0</c:v>
                </c:pt>
                <c:pt idx="193">
                  <c:v>14.169374065287681</c:v>
                </c:pt>
                <c:pt idx="194">
                  <c:v>14.168444446536565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14.151461839659721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B-4588-A6FB-89A9FDC66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RoughTEOS_02!$A$22:$A$222</c:f>
              <c:numCache>
                <c:formatCode>General</c:formatCode>
                <c:ptCount val="201"/>
                <c:pt idx="0">
                  <c:v>68.588399999999993</c:v>
                </c:pt>
                <c:pt idx="1">
                  <c:v>68.598399999999998</c:v>
                </c:pt>
                <c:pt idx="2">
                  <c:v>68.608400000000003</c:v>
                </c:pt>
                <c:pt idx="3">
                  <c:v>68.618399999999994</c:v>
                </c:pt>
                <c:pt idx="4">
                  <c:v>68.628399999999999</c:v>
                </c:pt>
                <c:pt idx="5">
                  <c:v>68.638400000000004</c:v>
                </c:pt>
                <c:pt idx="6">
                  <c:v>68.648399999999995</c:v>
                </c:pt>
                <c:pt idx="7">
                  <c:v>68.6584</c:v>
                </c:pt>
                <c:pt idx="8">
                  <c:v>68.668400000000005</c:v>
                </c:pt>
                <c:pt idx="9">
                  <c:v>68.678399999999996</c:v>
                </c:pt>
                <c:pt idx="10">
                  <c:v>68.688400000000001</c:v>
                </c:pt>
                <c:pt idx="11">
                  <c:v>68.698400000000007</c:v>
                </c:pt>
                <c:pt idx="12">
                  <c:v>68.708399999999997</c:v>
                </c:pt>
                <c:pt idx="13">
                  <c:v>68.718400000000003</c:v>
                </c:pt>
                <c:pt idx="14">
                  <c:v>68.728399999999993</c:v>
                </c:pt>
                <c:pt idx="15">
                  <c:v>68.738399999999999</c:v>
                </c:pt>
                <c:pt idx="16">
                  <c:v>68.748400000000004</c:v>
                </c:pt>
                <c:pt idx="17">
                  <c:v>68.758399999999995</c:v>
                </c:pt>
                <c:pt idx="18">
                  <c:v>68.7684</c:v>
                </c:pt>
                <c:pt idx="19">
                  <c:v>68.778400000000005</c:v>
                </c:pt>
                <c:pt idx="20">
                  <c:v>68.788399999999996</c:v>
                </c:pt>
                <c:pt idx="21">
                  <c:v>68.798400000000001</c:v>
                </c:pt>
                <c:pt idx="22">
                  <c:v>68.808400000000006</c:v>
                </c:pt>
                <c:pt idx="23">
                  <c:v>68.818399999999997</c:v>
                </c:pt>
                <c:pt idx="24">
                  <c:v>68.828400000000002</c:v>
                </c:pt>
                <c:pt idx="25">
                  <c:v>68.838399999999993</c:v>
                </c:pt>
                <c:pt idx="26">
                  <c:v>68.848399999999998</c:v>
                </c:pt>
                <c:pt idx="27">
                  <c:v>68.858400000000003</c:v>
                </c:pt>
                <c:pt idx="28">
                  <c:v>68.868399999999994</c:v>
                </c:pt>
                <c:pt idx="29">
                  <c:v>68.878399999999999</c:v>
                </c:pt>
                <c:pt idx="30">
                  <c:v>68.888400000000004</c:v>
                </c:pt>
                <c:pt idx="31">
                  <c:v>68.898399999999995</c:v>
                </c:pt>
                <c:pt idx="32">
                  <c:v>68.9084</c:v>
                </c:pt>
                <c:pt idx="33">
                  <c:v>68.918400000000005</c:v>
                </c:pt>
                <c:pt idx="34">
                  <c:v>68.928399999999996</c:v>
                </c:pt>
                <c:pt idx="35">
                  <c:v>68.938400000000001</c:v>
                </c:pt>
                <c:pt idx="36">
                  <c:v>68.948400000000007</c:v>
                </c:pt>
                <c:pt idx="37">
                  <c:v>68.958399999999997</c:v>
                </c:pt>
                <c:pt idx="38">
                  <c:v>68.968400000000003</c:v>
                </c:pt>
                <c:pt idx="39">
                  <c:v>68.978399999999993</c:v>
                </c:pt>
                <c:pt idx="40">
                  <c:v>68.988399999999999</c:v>
                </c:pt>
                <c:pt idx="41">
                  <c:v>68.998400000000004</c:v>
                </c:pt>
                <c:pt idx="42">
                  <c:v>69.008399999999995</c:v>
                </c:pt>
                <c:pt idx="43">
                  <c:v>69.0184</c:v>
                </c:pt>
                <c:pt idx="44">
                  <c:v>69.028400000000005</c:v>
                </c:pt>
                <c:pt idx="45">
                  <c:v>69.038399999999996</c:v>
                </c:pt>
                <c:pt idx="46">
                  <c:v>69.048400000000001</c:v>
                </c:pt>
                <c:pt idx="47">
                  <c:v>69.058400000000006</c:v>
                </c:pt>
                <c:pt idx="48">
                  <c:v>69.068399999999997</c:v>
                </c:pt>
                <c:pt idx="49">
                  <c:v>69.078400000000002</c:v>
                </c:pt>
                <c:pt idx="50">
                  <c:v>69.088399999999993</c:v>
                </c:pt>
                <c:pt idx="51">
                  <c:v>69.098399999999998</c:v>
                </c:pt>
                <c:pt idx="52">
                  <c:v>69.108400000000003</c:v>
                </c:pt>
                <c:pt idx="53">
                  <c:v>69.118399999999994</c:v>
                </c:pt>
                <c:pt idx="54">
                  <c:v>69.128399999999999</c:v>
                </c:pt>
                <c:pt idx="55">
                  <c:v>69.138400000000004</c:v>
                </c:pt>
                <c:pt idx="56">
                  <c:v>69.148399999999995</c:v>
                </c:pt>
                <c:pt idx="57">
                  <c:v>69.1584</c:v>
                </c:pt>
                <c:pt idx="58">
                  <c:v>69.168400000000005</c:v>
                </c:pt>
                <c:pt idx="59">
                  <c:v>69.178399999999996</c:v>
                </c:pt>
                <c:pt idx="60">
                  <c:v>69.188400000000001</c:v>
                </c:pt>
                <c:pt idx="61">
                  <c:v>69.198400000000007</c:v>
                </c:pt>
                <c:pt idx="62">
                  <c:v>69.208399999999997</c:v>
                </c:pt>
                <c:pt idx="63">
                  <c:v>69.218400000000003</c:v>
                </c:pt>
                <c:pt idx="64">
                  <c:v>69.228399999999993</c:v>
                </c:pt>
                <c:pt idx="65">
                  <c:v>69.238399999999999</c:v>
                </c:pt>
                <c:pt idx="66">
                  <c:v>69.248400000000004</c:v>
                </c:pt>
                <c:pt idx="67">
                  <c:v>69.258399999999995</c:v>
                </c:pt>
                <c:pt idx="68">
                  <c:v>69.2684</c:v>
                </c:pt>
                <c:pt idx="69">
                  <c:v>69.278400000000005</c:v>
                </c:pt>
                <c:pt idx="70">
                  <c:v>69.288399999999996</c:v>
                </c:pt>
                <c:pt idx="71">
                  <c:v>69.298400000000001</c:v>
                </c:pt>
                <c:pt idx="72">
                  <c:v>69.308400000000006</c:v>
                </c:pt>
                <c:pt idx="73">
                  <c:v>69.318399999999997</c:v>
                </c:pt>
                <c:pt idx="74">
                  <c:v>69.328400000000002</c:v>
                </c:pt>
                <c:pt idx="75">
                  <c:v>69.338399999999993</c:v>
                </c:pt>
                <c:pt idx="76">
                  <c:v>69.348399999999998</c:v>
                </c:pt>
                <c:pt idx="77">
                  <c:v>69.358400000000003</c:v>
                </c:pt>
                <c:pt idx="78">
                  <c:v>69.368399999999994</c:v>
                </c:pt>
                <c:pt idx="79">
                  <c:v>69.378399999999999</c:v>
                </c:pt>
                <c:pt idx="80">
                  <c:v>69.388400000000004</c:v>
                </c:pt>
                <c:pt idx="81">
                  <c:v>69.398399999999995</c:v>
                </c:pt>
                <c:pt idx="82">
                  <c:v>69.4084</c:v>
                </c:pt>
                <c:pt idx="83">
                  <c:v>69.418400000000005</c:v>
                </c:pt>
                <c:pt idx="84">
                  <c:v>69.428399999999996</c:v>
                </c:pt>
                <c:pt idx="85">
                  <c:v>69.438400000000001</c:v>
                </c:pt>
                <c:pt idx="86">
                  <c:v>69.448400000000007</c:v>
                </c:pt>
                <c:pt idx="87">
                  <c:v>69.458399999999997</c:v>
                </c:pt>
                <c:pt idx="88">
                  <c:v>69.468400000000003</c:v>
                </c:pt>
                <c:pt idx="89">
                  <c:v>69.478399999999993</c:v>
                </c:pt>
                <c:pt idx="90">
                  <c:v>69.488399999999999</c:v>
                </c:pt>
                <c:pt idx="91">
                  <c:v>69.498400000000004</c:v>
                </c:pt>
                <c:pt idx="92">
                  <c:v>69.508399999999995</c:v>
                </c:pt>
                <c:pt idx="93">
                  <c:v>69.5184</c:v>
                </c:pt>
                <c:pt idx="94">
                  <c:v>69.528400000000005</c:v>
                </c:pt>
                <c:pt idx="95">
                  <c:v>69.538399999999996</c:v>
                </c:pt>
                <c:pt idx="96">
                  <c:v>69.548400000000001</c:v>
                </c:pt>
                <c:pt idx="97">
                  <c:v>69.558400000000006</c:v>
                </c:pt>
                <c:pt idx="98">
                  <c:v>69.568399999999997</c:v>
                </c:pt>
                <c:pt idx="99">
                  <c:v>69.578400000000002</c:v>
                </c:pt>
                <c:pt idx="100">
                  <c:v>69.588399999999993</c:v>
                </c:pt>
                <c:pt idx="101">
                  <c:v>69.598399999999998</c:v>
                </c:pt>
                <c:pt idx="102">
                  <c:v>69.608400000000003</c:v>
                </c:pt>
                <c:pt idx="103">
                  <c:v>69.618399999999994</c:v>
                </c:pt>
                <c:pt idx="104">
                  <c:v>69.628399999999999</c:v>
                </c:pt>
                <c:pt idx="105">
                  <c:v>69.638400000000004</c:v>
                </c:pt>
                <c:pt idx="106">
                  <c:v>69.648399999999995</c:v>
                </c:pt>
                <c:pt idx="107">
                  <c:v>69.6584</c:v>
                </c:pt>
                <c:pt idx="108">
                  <c:v>69.668400000000005</c:v>
                </c:pt>
                <c:pt idx="109">
                  <c:v>69.678399999999996</c:v>
                </c:pt>
                <c:pt idx="110">
                  <c:v>69.688400000000001</c:v>
                </c:pt>
                <c:pt idx="111">
                  <c:v>69.698400000000007</c:v>
                </c:pt>
                <c:pt idx="112">
                  <c:v>69.708399999999997</c:v>
                </c:pt>
                <c:pt idx="113">
                  <c:v>69.718400000000003</c:v>
                </c:pt>
                <c:pt idx="114">
                  <c:v>69.728399999999993</c:v>
                </c:pt>
                <c:pt idx="115">
                  <c:v>69.738399999999999</c:v>
                </c:pt>
                <c:pt idx="116">
                  <c:v>69.748400000000004</c:v>
                </c:pt>
                <c:pt idx="117">
                  <c:v>69.758399999999995</c:v>
                </c:pt>
                <c:pt idx="118">
                  <c:v>69.7684</c:v>
                </c:pt>
                <c:pt idx="119">
                  <c:v>69.778400000000005</c:v>
                </c:pt>
                <c:pt idx="120">
                  <c:v>69.788399999999996</c:v>
                </c:pt>
                <c:pt idx="121">
                  <c:v>69.798400000000001</c:v>
                </c:pt>
                <c:pt idx="122">
                  <c:v>69.808400000000006</c:v>
                </c:pt>
                <c:pt idx="123">
                  <c:v>69.818399999999997</c:v>
                </c:pt>
                <c:pt idx="124">
                  <c:v>69.828400000000002</c:v>
                </c:pt>
                <c:pt idx="125">
                  <c:v>69.838399999999993</c:v>
                </c:pt>
                <c:pt idx="126">
                  <c:v>69.848399999999998</c:v>
                </c:pt>
                <c:pt idx="127">
                  <c:v>69.858400000000003</c:v>
                </c:pt>
                <c:pt idx="128">
                  <c:v>69.868399999999994</c:v>
                </c:pt>
                <c:pt idx="129">
                  <c:v>69.878399999999999</c:v>
                </c:pt>
                <c:pt idx="130">
                  <c:v>69.888400000000004</c:v>
                </c:pt>
                <c:pt idx="131">
                  <c:v>69.898399999999995</c:v>
                </c:pt>
                <c:pt idx="132">
                  <c:v>69.9084</c:v>
                </c:pt>
                <c:pt idx="133">
                  <c:v>69.918400000000005</c:v>
                </c:pt>
                <c:pt idx="134">
                  <c:v>69.928399999999996</c:v>
                </c:pt>
                <c:pt idx="135">
                  <c:v>69.938400000000001</c:v>
                </c:pt>
                <c:pt idx="136">
                  <c:v>69.948400000000007</c:v>
                </c:pt>
                <c:pt idx="137">
                  <c:v>69.958399999999997</c:v>
                </c:pt>
                <c:pt idx="138">
                  <c:v>69.968400000000003</c:v>
                </c:pt>
                <c:pt idx="139">
                  <c:v>69.978399999999993</c:v>
                </c:pt>
                <c:pt idx="140">
                  <c:v>69.988399999999999</c:v>
                </c:pt>
                <c:pt idx="141">
                  <c:v>69.998400000000004</c:v>
                </c:pt>
                <c:pt idx="142">
                  <c:v>70.008399999999995</c:v>
                </c:pt>
                <c:pt idx="143">
                  <c:v>70.0184</c:v>
                </c:pt>
                <c:pt idx="144">
                  <c:v>70.028400000000005</c:v>
                </c:pt>
                <c:pt idx="145">
                  <c:v>70.038399999999996</c:v>
                </c:pt>
                <c:pt idx="146">
                  <c:v>70.048400000000001</c:v>
                </c:pt>
                <c:pt idx="147">
                  <c:v>70.058400000000006</c:v>
                </c:pt>
                <c:pt idx="148">
                  <c:v>70.068399999999997</c:v>
                </c:pt>
                <c:pt idx="149">
                  <c:v>70.078400000000002</c:v>
                </c:pt>
                <c:pt idx="150">
                  <c:v>70.088399999999993</c:v>
                </c:pt>
                <c:pt idx="151">
                  <c:v>70.098399999999998</c:v>
                </c:pt>
                <c:pt idx="152">
                  <c:v>70.108400000000003</c:v>
                </c:pt>
                <c:pt idx="153">
                  <c:v>70.118399999999994</c:v>
                </c:pt>
                <c:pt idx="154">
                  <c:v>70.128399999999999</c:v>
                </c:pt>
                <c:pt idx="155">
                  <c:v>70.138400000000004</c:v>
                </c:pt>
                <c:pt idx="156">
                  <c:v>70.148399999999995</c:v>
                </c:pt>
                <c:pt idx="157">
                  <c:v>70.1584</c:v>
                </c:pt>
                <c:pt idx="158">
                  <c:v>70.168400000000005</c:v>
                </c:pt>
                <c:pt idx="159">
                  <c:v>70.178399999999996</c:v>
                </c:pt>
                <c:pt idx="160">
                  <c:v>70.188400000000001</c:v>
                </c:pt>
                <c:pt idx="161">
                  <c:v>70.198400000000007</c:v>
                </c:pt>
                <c:pt idx="162">
                  <c:v>70.208399999999997</c:v>
                </c:pt>
                <c:pt idx="163">
                  <c:v>70.218400000000003</c:v>
                </c:pt>
                <c:pt idx="164">
                  <c:v>70.228399999999993</c:v>
                </c:pt>
                <c:pt idx="165">
                  <c:v>70.238399999999999</c:v>
                </c:pt>
                <c:pt idx="166">
                  <c:v>70.248400000000004</c:v>
                </c:pt>
                <c:pt idx="167">
                  <c:v>70.258399999999995</c:v>
                </c:pt>
                <c:pt idx="168">
                  <c:v>70.2684</c:v>
                </c:pt>
                <c:pt idx="169">
                  <c:v>70.278400000000005</c:v>
                </c:pt>
                <c:pt idx="170">
                  <c:v>70.288399999999996</c:v>
                </c:pt>
                <c:pt idx="171">
                  <c:v>70.298400000000001</c:v>
                </c:pt>
                <c:pt idx="172">
                  <c:v>70.308400000000006</c:v>
                </c:pt>
                <c:pt idx="173">
                  <c:v>70.318399999999997</c:v>
                </c:pt>
                <c:pt idx="174">
                  <c:v>70.328400000000002</c:v>
                </c:pt>
                <c:pt idx="175">
                  <c:v>70.338399999999993</c:v>
                </c:pt>
                <c:pt idx="176">
                  <c:v>70.348399999999998</c:v>
                </c:pt>
                <c:pt idx="177">
                  <c:v>70.358400000000003</c:v>
                </c:pt>
                <c:pt idx="178">
                  <c:v>70.368399999999994</c:v>
                </c:pt>
                <c:pt idx="179">
                  <c:v>70.378399999999999</c:v>
                </c:pt>
                <c:pt idx="180">
                  <c:v>70.388400000000004</c:v>
                </c:pt>
                <c:pt idx="181">
                  <c:v>70.398399999999995</c:v>
                </c:pt>
                <c:pt idx="182">
                  <c:v>70.4084</c:v>
                </c:pt>
                <c:pt idx="183">
                  <c:v>70.418400000000005</c:v>
                </c:pt>
                <c:pt idx="184">
                  <c:v>70.428399999999996</c:v>
                </c:pt>
                <c:pt idx="185">
                  <c:v>70.438400000000001</c:v>
                </c:pt>
                <c:pt idx="186">
                  <c:v>70.448400000000007</c:v>
                </c:pt>
                <c:pt idx="187">
                  <c:v>70.458399999999997</c:v>
                </c:pt>
                <c:pt idx="188">
                  <c:v>70.468400000000003</c:v>
                </c:pt>
                <c:pt idx="189">
                  <c:v>70.478399999999993</c:v>
                </c:pt>
                <c:pt idx="190">
                  <c:v>70.488399999999999</c:v>
                </c:pt>
                <c:pt idx="191">
                  <c:v>70.498400000000004</c:v>
                </c:pt>
                <c:pt idx="192">
                  <c:v>70.508399999999995</c:v>
                </c:pt>
                <c:pt idx="193">
                  <c:v>70.5184</c:v>
                </c:pt>
                <c:pt idx="194">
                  <c:v>70.528400000000005</c:v>
                </c:pt>
                <c:pt idx="195">
                  <c:v>70.538399999999996</c:v>
                </c:pt>
                <c:pt idx="196">
                  <c:v>70.548400000000001</c:v>
                </c:pt>
                <c:pt idx="197">
                  <c:v>70.558400000000006</c:v>
                </c:pt>
                <c:pt idx="198">
                  <c:v>70.568399999999997</c:v>
                </c:pt>
                <c:pt idx="199">
                  <c:v>70.578400000000002</c:v>
                </c:pt>
                <c:pt idx="200">
                  <c:v>70.588399999999993</c:v>
                </c:pt>
              </c:numCache>
            </c:numRef>
          </c:xVal>
          <c:yVal>
            <c:numRef>
              <c:f>RoughTEOS_02!$E$22:$E$222</c:f>
              <c:numCache>
                <c:formatCode>General</c:formatCode>
                <c:ptCount val="201"/>
                <c:pt idx="0">
                  <c:v>7.1049413351808344</c:v>
                </c:pt>
                <c:pt idx="1">
                  <c:v>4.2670020479772841</c:v>
                </c:pt>
                <c:pt idx="2">
                  <c:v>8.5460803517111277</c:v>
                </c:pt>
                <c:pt idx="3">
                  <c:v>1.4262222340288075</c:v>
                </c:pt>
                <c:pt idx="4">
                  <c:v>4.2720161078521635</c:v>
                </c:pt>
                <c:pt idx="5">
                  <c:v>5.7003020509363331</c:v>
                </c:pt>
                <c:pt idx="6">
                  <c:v>7.1317944324761333</c:v>
                </c:pt>
                <c:pt idx="7">
                  <c:v>12.846689807480326</c:v>
                </c:pt>
                <c:pt idx="8">
                  <c:v>5.723662717342008</c:v>
                </c:pt>
                <c:pt idx="9">
                  <c:v>5.7249749004383563</c:v>
                </c:pt>
                <c:pt idx="10">
                  <c:v>10.006002603031572</c:v>
                </c:pt>
                <c:pt idx="11">
                  <c:v>10.010859950757803</c:v>
                </c:pt>
                <c:pt idx="12">
                  <c:v>11.457781055762082</c:v>
                </c:pt>
                <c:pt idx="13">
                  <c:v>8.5821910669757759</c:v>
                </c:pt>
                <c:pt idx="14">
                  <c:v>14.283042147539508</c:v>
                </c:pt>
                <c:pt idx="15">
                  <c:v>18.532598171198245</c:v>
                </c:pt>
                <c:pt idx="16">
                  <c:v>11.413100084196774</c:v>
                </c:pt>
                <c:pt idx="17">
                  <c:v>11.439664030069018</c:v>
                </c:pt>
                <c:pt idx="18">
                  <c:v>8.5966425271210642</c:v>
                </c:pt>
                <c:pt idx="19">
                  <c:v>15.800847288015586</c:v>
                </c:pt>
                <c:pt idx="20">
                  <c:v>12.918689132690382</c:v>
                </c:pt>
                <c:pt idx="21">
                  <c:v>17.221363219599787</c:v>
                </c:pt>
                <c:pt idx="22">
                  <c:v>7.16343038311605</c:v>
                </c:pt>
                <c:pt idx="23">
                  <c:v>20.017469639137428</c:v>
                </c:pt>
                <c:pt idx="24">
                  <c:v>17.197091614708047</c:v>
                </c:pt>
                <c:pt idx="25">
                  <c:v>33.005821761826937</c:v>
                </c:pt>
                <c:pt idx="26">
                  <c:v>18.65776395607098</c:v>
                </c:pt>
                <c:pt idx="27">
                  <c:v>22.980792707186463</c:v>
                </c:pt>
                <c:pt idx="28">
                  <c:v>17.21519787048171</c:v>
                </c:pt>
                <c:pt idx="29">
                  <c:v>21.504456376061896</c:v>
                </c:pt>
                <c:pt idx="30">
                  <c:v>25.851061853937985</c:v>
                </c:pt>
                <c:pt idx="31">
                  <c:v>21.548544574374827</c:v>
                </c:pt>
                <c:pt idx="32">
                  <c:v>28.777066777173442</c:v>
                </c:pt>
                <c:pt idx="33">
                  <c:v>30.206836417204126</c:v>
                </c:pt>
                <c:pt idx="34">
                  <c:v>17.237915227667724</c:v>
                </c:pt>
                <c:pt idx="35">
                  <c:v>44.457761684302213</c:v>
                </c:pt>
                <c:pt idx="36">
                  <c:v>20.101073320272274</c:v>
                </c:pt>
                <c:pt idx="37">
                  <c:v>40.3308053108004</c:v>
                </c:pt>
                <c:pt idx="38">
                  <c:v>37.521731694822485</c:v>
                </c:pt>
                <c:pt idx="39">
                  <c:v>38.942468205658109</c:v>
                </c:pt>
                <c:pt idx="40">
                  <c:v>60.604687392835757</c:v>
                </c:pt>
                <c:pt idx="41">
                  <c:v>44.74639846197703</c:v>
                </c:pt>
                <c:pt idx="42">
                  <c:v>67.938707785276534</c:v>
                </c:pt>
                <c:pt idx="43">
                  <c:v>66.686310390499671</c:v>
                </c:pt>
                <c:pt idx="44">
                  <c:v>68.144997708427766</c:v>
                </c:pt>
                <c:pt idx="45">
                  <c:v>51.983454579701743</c:v>
                </c:pt>
                <c:pt idx="46">
                  <c:v>57.651660672319586</c:v>
                </c:pt>
                <c:pt idx="47">
                  <c:v>75.066756873986634</c:v>
                </c:pt>
                <c:pt idx="48">
                  <c:v>92.603911110742558</c:v>
                </c:pt>
                <c:pt idx="49">
                  <c:v>69.496159790153285</c:v>
                </c:pt>
                <c:pt idx="50">
                  <c:v>117.11094925248815</c:v>
                </c:pt>
                <c:pt idx="51">
                  <c:v>118.57926967945008</c:v>
                </c:pt>
                <c:pt idx="52">
                  <c:v>124.53076677999118</c:v>
                </c:pt>
                <c:pt idx="53">
                  <c:v>136.45712826762599</c:v>
                </c:pt>
                <c:pt idx="54">
                  <c:v>133.93534201348325</c:v>
                </c:pt>
                <c:pt idx="55">
                  <c:v>119.38511407850663</c:v>
                </c:pt>
                <c:pt idx="56">
                  <c:v>173.06062971572308</c:v>
                </c:pt>
                <c:pt idx="57">
                  <c:v>176.04518577550931</c:v>
                </c:pt>
                <c:pt idx="58">
                  <c:v>174.84195127355727</c:v>
                </c:pt>
                <c:pt idx="59">
                  <c:v>208.22628969184453</c:v>
                </c:pt>
                <c:pt idx="60">
                  <c:v>223.96408158670212</c:v>
                </c:pt>
                <c:pt idx="61">
                  <c:v>255.68209881561535</c:v>
                </c:pt>
                <c:pt idx="62">
                  <c:v>325.78867320380152</c:v>
                </c:pt>
                <c:pt idx="63">
                  <c:v>304.32431757281284</c:v>
                </c:pt>
                <c:pt idx="64">
                  <c:v>353.11893614498058</c:v>
                </c:pt>
                <c:pt idx="65">
                  <c:v>364.42087152941724</c:v>
                </c:pt>
                <c:pt idx="66">
                  <c:v>447.2938471409696</c:v>
                </c:pt>
                <c:pt idx="67">
                  <c:v>419.35434652759528</c:v>
                </c:pt>
                <c:pt idx="68">
                  <c:v>464.56865958927244</c:v>
                </c:pt>
                <c:pt idx="69">
                  <c:v>519.98994427715445</c:v>
                </c:pt>
                <c:pt idx="70">
                  <c:v>669.10187226749349</c:v>
                </c:pt>
                <c:pt idx="71">
                  <c:v>647.59876134823435</c:v>
                </c:pt>
                <c:pt idx="72">
                  <c:v>774.38694721156025</c:v>
                </c:pt>
                <c:pt idx="73">
                  <c:v>877.96066232846101</c:v>
                </c:pt>
                <c:pt idx="74">
                  <c:v>988.69009983970523</c:v>
                </c:pt>
                <c:pt idx="75">
                  <c:v>1026.6946839078716</c:v>
                </c:pt>
                <c:pt idx="76">
                  <c:v>1229.4487693516076</c:v>
                </c:pt>
                <c:pt idx="77">
                  <c:v>1406.5124024312474</c:v>
                </c:pt>
                <c:pt idx="78">
                  <c:v>1645.912460686154</c:v>
                </c:pt>
                <c:pt idx="79">
                  <c:v>1799.1392375855062</c:v>
                </c:pt>
                <c:pt idx="80">
                  <c:v>2176.7549764302594</c:v>
                </c:pt>
                <c:pt idx="81">
                  <c:v>2597.4588761471696</c:v>
                </c:pt>
                <c:pt idx="82">
                  <c:v>3002.624525178051</c:v>
                </c:pt>
                <c:pt idx="83">
                  <c:v>3563.513446964258</c:v>
                </c:pt>
                <c:pt idx="84">
                  <c:v>4149.040620183494</c:v>
                </c:pt>
                <c:pt idx="85">
                  <c:v>4998.5505460525555</c:v>
                </c:pt>
                <c:pt idx="86">
                  <c:v>6444.6276585187097</c:v>
                </c:pt>
                <c:pt idx="87">
                  <c:v>7705.251060534154</c:v>
                </c:pt>
                <c:pt idx="88">
                  <c:v>9680.5233488965059</c:v>
                </c:pt>
                <c:pt idx="89">
                  <c:v>12809.572188379012</c:v>
                </c:pt>
                <c:pt idx="90">
                  <c:v>16584.224903635939</c:v>
                </c:pt>
                <c:pt idx="91">
                  <c:v>22678.029275086759</c:v>
                </c:pt>
                <c:pt idx="92">
                  <c:v>31717.466290075135</c:v>
                </c:pt>
                <c:pt idx="93">
                  <c:v>47002.679329627616</c:v>
                </c:pt>
                <c:pt idx="94">
                  <c:v>72986.544321984795</c:v>
                </c:pt>
                <c:pt idx="95">
                  <c:v>122627.13138996254</c:v>
                </c:pt>
                <c:pt idx="96">
                  <c:v>232131.81648109641</c:v>
                </c:pt>
                <c:pt idx="97">
                  <c:v>520675.85766726115</c:v>
                </c:pt>
                <c:pt idx="98">
                  <c:v>1629843.0600687561</c:v>
                </c:pt>
                <c:pt idx="99">
                  <c:v>9647113.8734990563</c:v>
                </c:pt>
                <c:pt idx="100">
                  <c:v>29293757.179899227</c:v>
                </c:pt>
                <c:pt idx="101">
                  <c:v>10137280.404488865</c:v>
                </c:pt>
                <c:pt idx="102">
                  <c:v>1606823.2804785219</c:v>
                </c:pt>
                <c:pt idx="103">
                  <c:v>430008.48178092879</c:v>
                </c:pt>
                <c:pt idx="104">
                  <c:v>166461.42256748304</c:v>
                </c:pt>
                <c:pt idx="105">
                  <c:v>76996.603830294291</c:v>
                </c:pt>
                <c:pt idx="106">
                  <c:v>40509.596512486423</c:v>
                </c:pt>
                <c:pt idx="107">
                  <c:v>23900.87340466613</c:v>
                </c:pt>
                <c:pt idx="108">
                  <c:v>14989.44499602591</c:v>
                </c:pt>
                <c:pt idx="109">
                  <c:v>9580.5556431137193</c:v>
                </c:pt>
                <c:pt idx="110">
                  <c:v>6775.9961754100377</c:v>
                </c:pt>
                <c:pt idx="111">
                  <c:v>4773.8360191558268</c:v>
                </c:pt>
                <c:pt idx="112">
                  <c:v>3310.2719590106967</c:v>
                </c:pt>
                <c:pt idx="113">
                  <c:v>2359.0210471665891</c:v>
                </c:pt>
                <c:pt idx="114">
                  <c:v>1862.5107918916924</c:v>
                </c:pt>
                <c:pt idx="115">
                  <c:v>1452.4256864275826</c:v>
                </c:pt>
                <c:pt idx="116">
                  <c:v>1092.2242897443573</c:v>
                </c:pt>
                <c:pt idx="117">
                  <c:v>925.73481684233207</c:v>
                </c:pt>
                <c:pt idx="118">
                  <c:v>754.94806023226579</c:v>
                </c:pt>
                <c:pt idx="119">
                  <c:v>590.17736013331103</c:v>
                </c:pt>
                <c:pt idx="120">
                  <c:v>546.0231627285541</c:v>
                </c:pt>
                <c:pt idx="121">
                  <c:v>375.17985983662464</c:v>
                </c:pt>
                <c:pt idx="122">
                  <c:v>358.7932347775137</c:v>
                </c:pt>
                <c:pt idx="123">
                  <c:v>303.63281607754578</c:v>
                </c:pt>
                <c:pt idx="124">
                  <c:v>252.1410604158892</c:v>
                </c:pt>
                <c:pt idx="125">
                  <c:v>222.20215512370862</c:v>
                </c:pt>
                <c:pt idx="126">
                  <c:v>203.14873112418189</c:v>
                </c:pt>
                <c:pt idx="127">
                  <c:v>172.03121627290531</c:v>
                </c:pt>
                <c:pt idx="128">
                  <c:v>136.36268163395917</c:v>
                </c:pt>
                <c:pt idx="129">
                  <c:v>128.98340518473682</c:v>
                </c:pt>
                <c:pt idx="130">
                  <c:v>169.50353378110592</c:v>
                </c:pt>
                <c:pt idx="131">
                  <c:v>106.5598931450555</c:v>
                </c:pt>
                <c:pt idx="132">
                  <c:v>88.619870607877246</c:v>
                </c:pt>
                <c:pt idx="133">
                  <c:v>88.681287670655692</c:v>
                </c:pt>
                <c:pt idx="134">
                  <c:v>66.070576734471089</c:v>
                </c:pt>
                <c:pt idx="135">
                  <c:v>79.610642600237796</c:v>
                </c:pt>
                <c:pt idx="136">
                  <c:v>61.612368706151067</c:v>
                </c:pt>
                <c:pt idx="137">
                  <c:v>45.105511908863278</c:v>
                </c:pt>
                <c:pt idx="138">
                  <c:v>64.656623376785575</c:v>
                </c:pt>
                <c:pt idx="139">
                  <c:v>30.08095723413393</c:v>
                </c:pt>
                <c:pt idx="140">
                  <c:v>43.659788881228067</c:v>
                </c:pt>
                <c:pt idx="141">
                  <c:v>45.143833468761805</c:v>
                </c:pt>
                <c:pt idx="142">
                  <c:v>27.100903391846213</c:v>
                </c:pt>
                <c:pt idx="143">
                  <c:v>34.668756702204242</c:v>
                </c:pt>
                <c:pt idx="144">
                  <c:v>36.169959088457333</c:v>
                </c:pt>
                <c:pt idx="145">
                  <c:v>22.59092853136335</c:v>
                </c:pt>
                <c:pt idx="146">
                  <c:v>21.120627087823994</c:v>
                </c:pt>
                <c:pt idx="147">
                  <c:v>27.217033560912036</c:v>
                </c:pt>
                <c:pt idx="148">
                  <c:v>13.598541273406759</c:v>
                </c:pt>
                <c:pt idx="149">
                  <c:v>12.077206142929489</c:v>
                </c:pt>
                <c:pt idx="150">
                  <c:v>19.637591423628361</c:v>
                </c:pt>
                <c:pt idx="151">
                  <c:v>10.606462632249873</c:v>
                </c:pt>
                <c:pt idx="152">
                  <c:v>24.267230618689595</c:v>
                </c:pt>
                <c:pt idx="153">
                  <c:v>28.823090609454724</c:v>
                </c:pt>
                <c:pt idx="154">
                  <c:v>16.703282318971276</c:v>
                </c:pt>
                <c:pt idx="155">
                  <c:v>12.154637031908882</c:v>
                </c:pt>
                <c:pt idx="156">
                  <c:v>13.674369162974775</c:v>
                </c:pt>
                <c:pt idx="157">
                  <c:v>16.687305297888287</c:v>
                </c:pt>
                <c:pt idx="158">
                  <c:v>10.619539843065159</c:v>
                </c:pt>
                <c:pt idx="159">
                  <c:v>9.1053936122029722</c:v>
                </c:pt>
                <c:pt idx="160">
                  <c:v>19.689007123368835</c:v>
                </c:pt>
                <c:pt idx="161">
                  <c:v>13.629768760860856</c:v>
                </c:pt>
                <c:pt idx="162">
                  <c:v>4.5579835664509618</c:v>
                </c:pt>
                <c:pt idx="163">
                  <c:v>10.665752240757946</c:v>
                </c:pt>
                <c:pt idx="164">
                  <c:v>7.6298464514838686</c:v>
                </c:pt>
                <c:pt idx="165">
                  <c:v>6.1070544117167325</c:v>
                </c:pt>
                <c:pt idx="166">
                  <c:v>6.1012206720694451</c:v>
                </c:pt>
                <c:pt idx="167">
                  <c:v>13.724263829402139</c:v>
                </c:pt>
                <c:pt idx="168">
                  <c:v>6.1075737214520851</c:v>
                </c:pt>
                <c:pt idx="169">
                  <c:v>7.6414721187618575</c:v>
                </c:pt>
                <c:pt idx="170">
                  <c:v>7.6439794182558325</c:v>
                </c:pt>
                <c:pt idx="171">
                  <c:v>3.0569375048638956</c:v>
                </c:pt>
                <c:pt idx="172">
                  <c:v>6.1158813070262585</c:v>
                </c:pt>
                <c:pt idx="173">
                  <c:v>6.1220297060618298</c:v>
                </c:pt>
                <c:pt idx="174">
                  <c:v>3.0619987774509259</c:v>
                </c:pt>
                <c:pt idx="175">
                  <c:v>9.1840923950775206</c:v>
                </c:pt>
                <c:pt idx="176">
                  <c:v>4.5877978840022289</c:v>
                </c:pt>
                <c:pt idx="177">
                  <c:v>6.1201051201766044</c:v>
                </c:pt>
                <c:pt idx="178">
                  <c:v>4.5943188164448969</c:v>
                </c:pt>
                <c:pt idx="179">
                  <c:v>4.5931790863005935</c:v>
                </c:pt>
                <c:pt idx="180">
                  <c:v>3.0640859795812592</c:v>
                </c:pt>
                <c:pt idx="181">
                  <c:v>6.1342015318599215</c:v>
                </c:pt>
                <c:pt idx="182">
                  <c:v>6.1426401338617245</c:v>
                </c:pt>
                <c:pt idx="183">
                  <c:v>4.606322056948148</c:v>
                </c:pt>
                <c:pt idx="184">
                  <c:v>1.5377037593377092</c:v>
                </c:pt>
                <c:pt idx="185">
                  <c:v>9.2473694365663999</c:v>
                </c:pt>
                <c:pt idx="186">
                  <c:v>1.5432635788952458</c:v>
                </c:pt>
                <c:pt idx="187">
                  <c:v>1.5441953232497461</c:v>
                </c:pt>
                <c:pt idx="188">
                  <c:v>3.0815813193991484</c:v>
                </c:pt>
                <c:pt idx="189">
                  <c:v>3.0739766546601635</c:v>
                </c:pt>
                <c:pt idx="190">
                  <c:v>4.607824081217621</c:v>
                </c:pt>
                <c:pt idx="191">
                  <c:v>3.0765831030162292</c:v>
                </c:pt>
                <c:pt idx="192">
                  <c:v>3.0828891138393231</c:v>
                </c:pt>
                <c:pt idx="193">
                  <c:v>7.7349942978322126</c:v>
                </c:pt>
                <c:pt idx="194">
                  <c:v>3.0960066751385229</c:v>
                </c:pt>
                <c:pt idx="195">
                  <c:v>1.5481473035174236</c:v>
                </c:pt>
                <c:pt idx="196">
                  <c:v>3.0949507530041118</c:v>
                </c:pt>
                <c:pt idx="197">
                  <c:v>7.7334414122170454</c:v>
                </c:pt>
                <c:pt idx="198">
                  <c:v>1.543885128257737</c:v>
                </c:pt>
                <c:pt idx="199">
                  <c:v>0</c:v>
                </c:pt>
                <c:pt idx="200">
                  <c:v>6.1889674139529305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3-4DDC-8E3B-0E4915FA6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753432538489947E-2"/>
          <c:y val="2.5331030512377662E-2"/>
          <c:w val="0.89767431742787884"/>
          <c:h val="0.92143173813117918"/>
        </c:manualLayout>
      </c:layout>
      <c:scatterChart>
        <c:scatterStyle val="lineMarker"/>
        <c:varyColors val="0"/>
        <c:ser>
          <c:idx val="0"/>
          <c:order val="0"/>
          <c:tx>
            <c:strRef>
              <c:f>TEOS_01!$A$3</c:f>
              <c:strCache>
                <c:ptCount val="1"/>
                <c:pt idx="0">
                  <c:v>TEOS_01.dat</c:v>
                </c:pt>
              </c:strCache>
            </c:strRef>
          </c:tx>
          <c:spPr>
            <a:ln w="12700" cap="rnd">
              <a:solidFill>
                <a:srgbClr val="3399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>
                  <a:alpha val="93000"/>
                </a:srgbClr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TEOS_01!$A$22:$A$222</c:f>
              <c:numCache>
                <c:formatCode>General</c:formatCode>
                <c:ptCount val="201"/>
                <c:pt idx="0">
                  <c:v>68.5899</c:v>
                </c:pt>
                <c:pt idx="1">
                  <c:v>68.599900000000005</c:v>
                </c:pt>
                <c:pt idx="2">
                  <c:v>68.609899999999996</c:v>
                </c:pt>
                <c:pt idx="3">
                  <c:v>68.619900000000001</c:v>
                </c:pt>
                <c:pt idx="4">
                  <c:v>68.629900000000006</c:v>
                </c:pt>
                <c:pt idx="5">
                  <c:v>68.639899999999997</c:v>
                </c:pt>
                <c:pt idx="6">
                  <c:v>68.649900000000002</c:v>
                </c:pt>
                <c:pt idx="7">
                  <c:v>68.659899999999993</c:v>
                </c:pt>
                <c:pt idx="8">
                  <c:v>68.669899999999998</c:v>
                </c:pt>
                <c:pt idx="9">
                  <c:v>68.679900000000004</c:v>
                </c:pt>
                <c:pt idx="10">
                  <c:v>68.689899999999994</c:v>
                </c:pt>
                <c:pt idx="11">
                  <c:v>68.6999</c:v>
                </c:pt>
                <c:pt idx="12">
                  <c:v>68.709900000000005</c:v>
                </c:pt>
                <c:pt idx="13">
                  <c:v>68.719899999999996</c:v>
                </c:pt>
                <c:pt idx="14">
                  <c:v>68.729900000000001</c:v>
                </c:pt>
                <c:pt idx="15">
                  <c:v>68.739900000000006</c:v>
                </c:pt>
                <c:pt idx="16">
                  <c:v>68.749899999999997</c:v>
                </c:pt>
                <c:pt idx="17">
                  <c:v>68.759900000000002</c:v>
                </c:pt>
                <c:pt idx="18">
                  <c:v>68.769900000000007</c:v>
                </c:pt>
                <c:pt idx="19">
                  <c:v>68.779899999999998</c:v>
                </c:pt>
                <c:pt idx="20">
                  <c:v>68.789900000000003</c:v>
                </c:pt>
                <c:pt idx="21">
                  <c:v>68.799899999999994</c:v>
                </c:pt>
                <c:pt idx="22">
                  <c:v>68.809899999999999</c:v>
                </c:pt>
                <c:pt idx="23">
                  <c:v>68.819900000000004</c:v>
                </c:pt>
                <c:pt idx="24">
                  <c:v>68.829899999999995</c:v>
                </c:pt>
                <c:pt idx="25">
                  <c:v>68.8399</c:v>
                </c:pt>
                <c:pt idx="26">
                  <c:v>68.849900000000005</c:v>
                </c:pt>
                <c:pt idx="27">
                  <c:v>68.859899999999996</c:v>
                </c:pt>
                <c:pt idx="28">
                  <c:v>68.869900000000001</c:v>
                </c:pt>
                <c:pt idx="29">
                  <c:v>68.879900000000006</c:v>
                </c:pt>
                <c:pt idx="30">
                  <c:v>68.889899999999997</c:v>
                </c:pt>
                <c:pt idx="31">
                  <c:v>68.899900000000002</c:v>
                </c:pt>
                <c:pt idx="32">
                  <c:v>68.909899999999993</c:v>
                </c:pt>
                <c:pt idx="33">
                  <c:v>68.919899999999998</c:v>
                </c:pt>
                <c:pt idx="34">
                  <c:v>68.929900000000004</c:v>
                </c:pt>
                <c:pt idx="35">
                  <c:v>68.939899999999994</c:v>
                </c:pt>
                <c:pt idx="36">
                  <c:v>68.9499</c:v>
                </c:pt>
                <c:pt idx="37">
                  <c:v>68.959900000000005</c:v>
                </c:pt>
                <c:pt idx="38">
                  <c:v>68.969899999999996</c:v>
                </c:pt>
                <c:pt idx="39">
                  <c:v>68.979900000000001</c:v>
                </c:pt>
                <c:pt idx="40">
                  <c:v>68.989900000000006</c:v>
                </c:pt>
                <c:pt idx="41">
                  <c:v>68.999899999999997</c:v>
                </c:pt>
                <c:pt idx="42">
                  <c:v>69.009900000000002</c:v>
                </c:pt>
                <c:pt idx="43">
                  <c:v>69.019900000000007</c:v>
                </c:pt>
                <c:pt idx="44">
                  <c:v>69.029899999999998</c:v>
                </c:pt>
                <c:pt idx="45">
                  <c:v>69.039900000000003</c:v>
                </c:pt>
                <c:pt idx="46">
                  <c:v>69.049899999999994</c:v>
                </c:pt>
                <c:pt idx="47">
                  <c:v>69.059899999999999</c:v>
                </c:pt>
                <c:pt idx="48">
                  <c:v>69.069900000000004</c:v>
                </c:pt>
                <c:pt idx="49">
                  <c:v>69.079899999999995</c:v>
                </c:pt>
                <c:pt idx="50">
                  <c:v>69.0899</c:v>
                </c:pt>
                <c:pt idx="51">
                  <c:v>69.099900000000005</c:v>
                </c:pt>
                <c:pt idx="52">
                  <c:v>69.109899999999996</c:v>
                </c:pt>
                <c:pt idx="53">
                  <c:v>69.119900000000001</c:v>
                </c:pt>
                <c:pt idx="54">
                  <c:v>69.129900000000006</c:v>
                </c:pt>
                <c:pt idx="55">
                  <c:v>69.139899999999997</c:v>
                </c:pt>
                <c:pt idx="56">
                  <c:v>69.149900000000002</c:v>
                </c:pt>
                <c:pt idx="57">
                  <c:v>69.159899999999993</c:v>
                </c:pt>
                <c:pt idx="58">
                  <c:v>69.169899999999998</c:v>
                </c:pt>
                <c:pt idx="59">
                  <c:v>69.179900000000004</c:v>
                </c:pt>
                <c:pt idx="60">
                  <c:v>69.189899999999994</c:v>
                </c:pt>
                <c:pt idx="61">
                  <c:v>69.1999</c:v>
                </c:pt>
                <c:pt idx="62">
                  <c:v>69.209900000000005</c:v>
                </c:pt>
                <c:pt idx="63">
                  <c:v>69.219899999999996</c:v>
                </c:pt>
                <c:pt idx="64">
                  <c:v>69.229900000000001</c:v>
                </c:pt>
                <c:pt idx="65">
                  <c:v>69.239900000000006</c:v>
                </c:pt>
                <c:pt idx="66">
                  <c:v>69.249899999999997</c:v>
                </c:pt>
                <c:pt idx="67">
                  <c:v>69.259900000000002</c:v>
                </c:pt>
                <c:pt idx="68">
                  <c:v>69.269900000000007</c:v>
                </c:pt>
                <c:pt idx="69">
                  <c:v>69.279899999999998</c:v>
                </c:pt>
                <c:pt idx="70">
                  <c:v>69.289900000000003</c:v>
                </c:pt>
                <c:pt idx="71">
                  <c:v>69.299899999999994</c:v>
                </c:pt>
                <c:pt idx="72">
                  <c:v>69.309899999999999</c:v>
                </c:pt>
                <c:pt idx="73">
                  <c:v>69.319900000000004</c:v>
                </c:pt>
                <c:pt idx="74">
                  <c:v>69.329899999999995</c:v>
                </c:pt>
                <c:pt idx="75">
                  <c:v>69.3399</c:v>
                </c:pt>
                <c:pt idx="76">
                  <c:v>69.349900000000005</c:v>
                </c:pt>
                <c:pt idx="77">
                  <c:v>69.359899999999996</c:v>
                </c:pt>
                <c:pt idx="78">
                  <c:v>69.369900000000001</c:v>
                </c:pt>
                <c:pt idx="79">
                  <c:v>69.379900000000006</c:v>
                </c:pt>
                <c:pt idx="80">
                  <c:v>69.389899999999997</c:v>
                </c:pt>
                <c:pt idx="81">
                  <c:v>69.399900000000002</c:v>
                </c:pt>
                <c:pt idx="82">
                  <c:v>69.409899999999993</c:v>
                </c:pt>
                <c:pt idx="83">
                  <c:v>69.419899999999998</c:v>
                </c:pt>
                <c:pt idx="84">
                  <c:v>69.429900000000004</c:v>
                </c:pt>
                <c:pt idx="85">
                  <c:v>69.439899999999994</c:v>
                </c:pt>
                <c:pt idx="86">
                  <c:v>69.4499</c:v>
                </c:pt>
                <c:pt idx="87">
                  <c:v>69.459900000000005</c:v>
                </c:pt>
                <c:pt idx="88">
                  <c:v>69.469899999999996</c:v>
                </c:pt>
                <c:pt idx="89">
                  <c:v>69.479900000000001</c:v>
                </c:pt>
                <c:pt idx="90">
                  <c:v>69.489900000000006</c:v>
                </c:pt>
                <c:pt idx="91">
                  <c:v>69.499899999999997</c:v>
                </c:pt>
                <c:pt idx="92">
                  <c:v>69.509900000000002</c:v>
                </c:pt>
                <c:pt idx="93">
                  <c:v>69.519900000000007</c:v>
                </c:pt>
                <c:pt idx="94">
                  <c:v>69.529899999999998</c:v>
                </c:pt>
                <c:pt idx="95">
                  <c:v>69.539900000000003</c:v>
                </c:pt>
                <c:pt idx="96">
                  <c:v>69.549899999999994</c:v>
                </c:pt>
                <c:pt idx="97">
                  <c:v>69.559899999999999</c:v>
                </c:pt>
                <c:pt idx="98">
                  <c:v>69.569900000000004</c:v>
                </c:pt>
                <c:pt idx="99">
                  <c:v>69.579899999999995</c:v>
                </c:pt>
                <c:pt idx="100">
                  <c:v>69.5899</c:v>
                </c:pt>
                <c:pt idx="101">
                  <c:v>69.599900000000005</c:v>
                </c:pt>
                <c:pt idx="102">
                  <c:v>69.609899999999996</c:v>
                </c:pt>
                <c:pt idx="103">
                  <c:v>69.619900000000001</c:v>
                </c:pt>
                <c:pt idx="104">
                  <c:v>69.629900000000006</c:v>
                </c:pt>
                <c:pt idx="105">
                  <c:v>69.639899999999997</c:v>
                </c:pt>
                <c:pt idx="106">
                  <c:v>69.649900000000002</c:v>
                </c:pt>
                <c:pt idx="107">
                  <c:v>69.659899999999993</c:v>
                </c:pt>
                <c:pt idx="108">
                  <c:v>69.669899999999998</c:v>
                </c:pt>
                <c:pt idx="109">
                  <c:v>69.679900000000004</c:v>
                </c:pt>
                <c:pt idx="110">
                  <c:v>69.689899999999994</c:v>
                </c:pt>
                <c:pt idx="111">
                  <c:v>69.6999</c:v>
                </c:pt>
                <c:pt idx="112">
                  <c:v>69.709900000000005</c:v>
                </c:pt>
                <c:pt idx="113">
                  <c:v>69.719899999999996</c:v>
                </c:pt>
                <c:pt idx="114">
                  <c:v>69.729900000000001</c:v>
                </c:pt>
                <c:pt idx="115">
                  <c:v>69.739900000000006</c:v>
                </c:pt>
                <c:pt idx="116">
                  <c:v>69.749899999999997</c:v>
                </c:pt>
                <c:pt idx="117">
                  <c:v>69.759900000000002</c:v>
                </c:pt>
                <c:pt idx="118">
                  <c:v>69.769900000000007</c:v>
                </c:pt>
                <c:pt idx="119">
                  <c:v>69.779899999999998</c:v>
                </c:pt>
                <c:pt idx="120">
                  <c:v>69.789900000000003</c:v>
                </c:pt>
                <c:pt idx="121">
                  <c:v>69.799899999999994</c:v>
                </c:pt>
                <c:pt idx="122">
                  <c:v>69.809899999999999</c:v>
                </c:pt>
                <c:pt idx="123">
                  <c:v>69.819900000000004</c:v>
                </c:pt>
                <c:pt idx="124">
                  <c:v>69.829899999999995</c:v>
                </c:pt>
                <c:pt idx="125">
                  <c:v>69.8399</c:v>
                </c:pt>
                <c:pt idx="126">
                  <c:v>69.849900000000005</c:v>
                </c:pt>
                <c:pt idx="127">
                  <c:v>69.859899999999996</c:v>
                </c:pt>
                <c:pt idx="128">
                  <c:v>69.869900000000001</c:v>
                </c:pt>
                <c:pt idx="129">
                  <c:v>69.879900000000006</c:v>
                </c:pt>
                <c:pt idx="130">
                  <c:v>69.889899999999997</c:v>
                </c:pt>
                <c:pt idx="131">
                  <c:v>69.899900000000002</c:v>
                </c:pt>
                <c:pt idx="132">
                  <c:v>69.909899999999993</c:v>
                </c:pt>
                <c:pt idx="133">
                  <c:v>69.919899999999998</c:v>
                </c:pt>
                <c:pt idx="134">
                  <c:v>69.929900000000004</c:v>
                </c:pt>
                <c:pt idx="135">
                  <c:v>69.939899999999994</c:v>
                </c:pt>
                <c:pt idx="136">
                  <c:v>69.9499</c:v>
                </c:pt>
                <c:pt idx="137">
                  <c:v>69.959900000000005</c:v>
                </c:pt>
                <c:pt idx="138">
                  <c:v>69.969899999999996</c:v>
                </c:pt>
                <c:pt idx="139">
                  <c:v>69.979900000000001</c:v>
                </c:pt>
                <c:pt idx="140">
                  <c:v>69.989900000000006</c:v>
                </c:pt>
                <c:pt idx="141">
                  <c:v>69.999899999999997</c:v>
                </c:pt>
                <c:pt idx="142">
                  <c:v>70.009900000000002</c:v>
                </c:pt>
                <c:pt idx="143">
                  <c:v>70.019900000000007</c:v>
                </c:pt>
                <c:pt idx="144">
                  <c:v>70.029899999999998</c:v>
                </c:pt>
                <c:pt idx="145">
                  <c:v>70.039900000000003</c:v>
                </c:pt>
                <c:pt idx="146">
                  <c:v>70.049899999999994</c:v>
                </c:pt>
                <c:pt idx="147">
                  <c:v>70.059899999999999</c:v>
                </c:pt>
                <c:pt idx="148">
                  <c:v>70.069900000000004</c:v>
                </c:pt>
                <c:pt idx="149">
                  <c:v>70.079899999999995</c:v>
                </c:pt>
                <c:pt idx="150">
                  <c:v>70.0899</c:v>
                </c:pt>
                <c:pt idx="151">
                  <c:v>70.099900000000005</c:v>
                </c:pt>
                <c:pt idx="152">
                  <c:v>70.109899999999996</c:v>
                </c:pt>
                <c:pt idx="153">
                  <c:v>70.119900000000001</c:v>
                </c:pt>
                <c:pt idx="154">
                  <c:v>70.129900000000006</c:v>
                </c:pt>
                <c:pt idx="155">
                  <c:v>70.139899999999997</c:v>
                </c:pt>
                <c:pt idx="156">
                  <c:v>70.149900000000002</c:v>
                </c:pt>
                <c:pt idx="157">
                  <c:v>70.159899999999993</c:v>
                </c:pt>
                <c:pt idx="158">
                  <c:v>70.169899999999998</c:v>
                </c:pt>
                <c:pt idx="159">
                  <c:v>70.179900000000004</c:v>
                </c:pt>
                <c:pt idx="160">
                  <c:v>70.189899999999994</c:v>
                </c:pt>
                <c:pt idx="161">
                  <c:v>70.1999</c:v>
                </c:pt>
                <c:pt idx="162">
                  <c:v>70.209900000000005</c:v>
                </c:pt>
                <c:pt idx="163">
                  <c:v>70.219899999999996</c:v>
                </c:pt>
                <c:pt idx="164">
                  <c:v>70.229900000000001</c:v>
                </c:pt>
                <c:pt idx="165">
                  <c:v>70.239900000000006</c:v>
                </c:pt>
                <c:pt idx="166">
                  <c:v>70.249899999999997</c:v>
                </c:pt>
                <c:pt idx="167">
                  <c:v>70.259900000000002</c:v>
                </c:pt>
                <c:pt idx="168">
                  <c:v>70.269900000000007</c:v>
                </c:pt>
                <c:pt idx="169">
                  <c:v>70.279899999999998</c:v>
                </c:pt>
                <c:pt idx="170">
                  <c:v>70.289900000000003</c:v>
                </c:pt>
                <c:pt idx="171">
                  <c:v>70.299899999999994</c:v>
                </c:pt>
                <c:pt idx="172">
                  <c:v>70.309899999999999</c:v>
                </c:pt>
                <c:pt idx="173">
                  <c:v>70.319900000000004</c:v>
                </c:pt>
                <c:pt idx="174">
                  <c:v>70.329899999999995</c:v>
                </c:pt>
                <c:pt idx="175">
                  <c:v>70.3399</c:v>
                </c:pt>
                <c:pt idx="176">
                  <c:v>70.349900000000005</c:v>
                </c:pt>
                <c:pt idx="177">
                  <c:v>70.359899999999996</c:v>
                </c:pt>
                <c:pt idx="178">
                  <c:v>70.369900000000001</c:v>
                </c:pt>
                <c:pt idx="179">
                  <c:v>70.379900000000006</c:v>
                </c:pt>
                <c:pt idx="180">
                  <c:v>70.389899999999997</c:v>
                </c:pt>
                <c:pt idx="181">
                  <c:v>70.399900000000002</c:v>
                </c:pt>
                <c:pt idx="182">
                  <c:v>70.409899999999993</c:v>
                </c:pt>
                <c:pt idx="183">
                  <c:v>70.419899999999998</c:v>
                </c:pt>
                <c:pt idx="184">
                  <c:v>70.429900000000004</c:v>
                </c:pt>
                <c:pt idx="185">
                  <c:v>70.439899999999994</c:v>
                </c:pt>
                <c:pt idx="186">
                  <c:v>70.4499</c:v>
                </c:pt>
                <c:pt idx="187">
                  <c:v>70.459900000000005</c:v>
                </c:pt>
                <c:pt idx="188">
                  <c:v>70.469899999999996</c:v>
                </c:pt>
                <c:pt idx="189">
                  <c:v>70.479900000000001</c:v>
                </c:pt>
                <c:pt idx="190">
                  <c:v>70.489900000000006</c:v>
                </c:pt>
                <c:pt idx="191">
                  <c:v>70.499899999999997</c:v>
                </c:pt>
                <c:pt idx="192">
                  <c:v>70.509900000000002</c:v>
                </c:pt>
                <c:pt idx="193">
                  <c:v>70.519900000000007</c:v>
                </c:pt>
                <c:pt idx="194">
                  <c:v>70.529899999999998</c:v>
                </c:pt>
                <c:pt idx="195">
                  <c:v>70.539900000000003</c:v>
                </c:pt>
                <c:pt idx="196">
                  <c:v>70.549899999999994</c:v>
                </c:pt>
                <c:pt idx="197">
                  <c:v>70.559899999999999</c:v>
                </c:pt>
                <c:pt idx="198">
                  <c:v>70.569900000000004</c:v>
                </c:pt>
                <c:pt idx="199">
                  <c:v>70.579899999999995</c:v>
                </c:pt>
                <c:pt idx="200">
                  <c:v>70.5899</c:v>
                </c:pt>
              </c:numCache>
            </c:numRef>
          </c:xVal>
          <c:yVal>
            <c:numRef>
              <c:f>TEOS_01!$E$22:$E$222</c:f>
              <c:numCache>
                <c:formatCode>General</c:formatCode>
                <c:ptCount val="201"/>
                <c:pt idx="0">
                  <c:v>31.368942221081408</c:v>
                </c:pt>
                <c:pt idx="1">
                  <c:v>33.589657805852937</c:v>
                </c:pt>
                <c:pt idx="2">
                  <c:v>28.199087365463114</c:v>
                </c:pt>
                <c:pt idx="3">
                  <c:v>46.656222894558461</c:v>
                </c:pt>
                <c:pt idx="4">
                  <c:v>36.916786086039309</c:v>
                </c:pt>
                <c:pt idx="5">
                  <c:v>43.509654538880177</c:v>
                </c:pt>
                <c:pt idx="6">
                  <c:v>34.831615087342492</c:v>
                </c:pt>
                <c:pt idx="7">
                  <c:v>39.166932270655316</c:v>
                </c:pt>
                <c:pt idx="8">
                  <c:v>35.899962844737722</c:v>
                </c:pt>
                <c:pt idx="9">
                  <c:v>25.060220425468355</c:v>
                </c:pt>
                <c:pt idx="10">
                  <c:v>28.373597964911678</c:v>
                </c:pt>
                <c:pt idx="11">
                  <c:v>44.791927971146755</c:v>
                </c:pt>
                <c:pt idx="12">
                  <c:v>41.578880859769818</c:v>
                </c:pt>
                <c:pt idx="13">
                  <c:v>51.420923702414726</c:v>
                </c:pt>
                <c:pt idx="14">
                  <c:v>39.362224013777571</c:v>
                </c:pt>
                <c:pt idx="15">
                  <c:v>65.623105364528215</c:v>
                </c:pt>
                <c:pt idx="16">
                  <c:v>54.732717282989782</c:v>
                </c:pt>
                <c:pt idx="17">
                  <c:v>45.933952787772071</c:v>
                </c:pt>
                <c:pt idx="18">
                  <c:v>46.932465918454135</c:v>
                </c:pt>
                <c:pt idx="19">
                  <c:v>62.303856239055392</c:v>
                </c:pt>
                <c:pt idx="20">
                  <c:v>54.779466472627213</c:v>
                </c:pt>
                <c:pt idx="21">
                  <c:v>44.974841987691029</c:v>
                </c:pt>
                <c:pt idx="22">
                  <c:v>58.239102066317798</c:v>
                </c:pt>
                <c:pt idx="23">
                  <c:v>48.363145642409869</c:v>
                </c:pt>
                <c:pt idx="24">
                  <c:v>54.926543475269696</c:v>
                </c:pt>
                <c:pt idx="25">
                  <c:v>60.45296897360604</c:v>
                </c:pt>
                <c:pt idx="26">
                  <c:v>61.643794838678481</c:v>
                </c:pt>
                <c:pt idx="27">
                  <c:v>50.672105537511051</c:v>
                </c:pt>
                <c:pt idx="28">
                  <c:v>58.390365204500021</c:v>
                </c:pt>
                <c:pt idx="29">
                  <c:v>61.753334914523904</c:v>
                </c:pt>
                <c:pt idx="30">
                  <c:v>67.339458448354975</c:v>
                </c:pt>
                <c:pt idx="31">
                  <c:v>79.484326652359954</c:v>
                </c:pt>
                <c:pt idx="32">
                  <c:v>61.798008275129305</c:v>
                </c:pt>
                <c:pt idx="33">
                  <c:v>71.646657850933238</c:v>
                </c:pt>
                <c:pt idx="34">
                  <c:v>75.094436203495164</c:v>
                </c:pt>
                <c:pt idx="35">
                  <c:v>76.360898812101951</c:v>
                </c:pt>
                <c:pt idx="36">
                  <c:v>83.108557730809181</c:v>
                </c:pt>
                <c:pt idx="37">
                  <c:v>91.893709269002159</c:v>
                </c:pt>
                <c:pt idx="38">
                  <c:v>86.427117001516478</c:v>
                </c:pt>
                <c:pt idx="39">
                  <c:v>86.425571939630245</c:v>
                </c:pt>
                <c:pt idx="40">
                  <c:v>86.469131238379248</c:v>
                </c:pt>
                <c:pt idx="41">
                  <c:v>101.08876145212403</c:v>
                </c:pt>
                <c:pt idx="42">
                  <c:v>98.986881765775451</c:v>
                </c:pt>
                <c:pt idx="43">
                  <c:v>94.460871441395071</c:v>
                </c:pt>
                <c:pt idx="44">
                  <c:v>109.93688626880208</c:v>
                </c:pt>
                <c:pt idx="45">
                  <c:v>121.07778853097041</c:v>
                </c:pt>
                <c:pt idx="46">
                  <c:v>91.068576647386521</c:v>
                </c:pt>
                <c:pt idx="47">
                  <c:v>116.72007995419871</c:v>
                </c:pt>
                <c:pt idx="48">
                  <c:v>126.87522935767096</c:v>
                </c:pt>
                <c:pt idx="49">
                  <c:v>114.75808616283955</c:v>
                </c:pt>
                <c:pt idx="50">
                  <c:v>141.77239756016559</c:v>
                </c:pt>
                <c:pt idx="51">
                  <c:v>123.83068699356079</c:v>
                </c:pt>
                <c:pt idx="52">
                  <c:v>122.60431310611787</c:v>
                </c:pt>
                <c:pt idx="53">
                  <c:v>155.02652539846204</c:v>
                </c:pt>
                <c:pt idx="54">
                  <c:v>171.07997789037637</c:v>
                </c:pt>
                <c:pt idx="55">
                  <c:v>174.56274331172173</c:v>
                </c:pt>
                <c:pt idx="56">
                  <c:v>174.23788973158636</c:v>
                </c:pt>
                <c:pt idx="57">
                  <c:v>175.34198950139438</c:v>
                </c:pt>
                <c:pt idx="58">
                  <c:v>199.09305973806389</c:v>
                </c:pt>
                <c:pt idx="59">
                  <c:v>224.71557353678381</c:v>
                </c:pt>
                <c:pt idx="60">
                  <c:v>174.57049075374422</c:v>
                </c:pt>
                <c:pt idx="61">
                  <c:v>201.85809173137525</c:v>
                </c:pt>
                <c:pt idx="62">
                  <c:v>232.72337107638506</c:v>
                </c:pt>
                <c:pt idx="63">
                  <c:v>238.25017143134775</c:v>
                </c:pt>
                <c:pt idx="64">
                  <c:v>265.9112789507941</c:v>
                </c:pt>
                <c:pt idx="65">
                  <c:v>267.79855263005743</c:v>
                </c:pt>
                <c:pt idx="66">
                  <c:v>275.29175060301293</c:v>
                </c:pt>
                <c:pt idx="67">
                  <c:v>273.64051308320649</c:v>
                </c:pt>
                <c:pt idx="68">
                  <c:v>322.0935493861777</c:v>
                </c:pt>
                <c:pt idx="69">
                  <c:v>355.49990957203488</c:v>
                </c:pt>
                <c:pt idx="70">
                  <c:v>341.96219995316767</c:v>
                </c:pt>
                <c:pt idx="71">
                  <c:v>402.32023452101561</c:v>
                </c:pt>
                <c:pt idx="72">
                  <c:v>428.91109037727756</c:v>
                </c:pt>
                <c:pt idx="73">
                  <c:v>377.6330876583533</c:v>
                </c:pt>
                <c:pt idx="74">
                  <c:v>480.51680117318523</c:v>
                </c:pt>
                <c:pt idx="75">
                  <c:v>493.66180464823623</c:v>
                </c:pt>
                <c:pt idx="76">
                  <c:v>568.88037797361449</c:v>
                </c:pt>
                <c:pt idx="77">
                  <c:v>607.83863972037591</c:v>
                </c:pt>
                <c:pt idx="78">
                  <c:v>656.885572317541</c:v>
                </c:pt>
                <c:pt idx="79">
                  <c:v>706.51371341055676</c:v>
                </c:pt>
                <c:pt idx="80">
                  <c:v>760.63395875041749</c:v>
                </c:pt>
                <c:pt idx="81">
                  <c:v>925.73281309725155</c:v>
                </c:pt>
                <c:pt idx="82">
                  <c:v>981.20524569912322</c:v>
                </c:pt>
                <c:pt idx="83">
                  <c:v>1067.6833673342974</c:v>
                </c:pt>
                <c:pt idx="84">
                  <c:v>1215.3821063892344</c:v>
                </c:pt>
                <c:pt idx="85">
                  <c:v>1358.555193428042</c:v>
                </c:pt>
                <c:pt idx="86">
                  <c:v>1580.0905023879584</c:v>
                </c:pt>
                <c:pt idx="87">
                  <c:v>1870.0338580250473</c:v>
                </c:pt>
                <c:pt idx="88">
                  <c:v>2230.8885674024336</c:v>
                </c:pt>
                <c:pt idx="89">
                  <c:v>2661.2862544049467</c:v>
                </c:pt>
                <c:pt idx="90">
                  <c:v>3041.7554736655411</c:v>
                </c:pt>
                <c:pt idx="91">
                  <c:v>3953.0802879540897</c:v>
                </c:pt>
                <c:pt idx="92">
                  <c:v>4861.7619282100268</c:v>
                </c:pt>
                <c:pt idx="93">
                  <c:v>6509.6331767402999</c:v>
                </c:pt>
                <c:pt idx="94">
                  <c:v>8714.09749526831</c:v>
                </c:pt>
                <c:pt idx="95">
                  <c:v>12606.657672567922</c:v>
                </c:pt>
                <c:pt idx="96">
                  <c:v>20852.043916549017</c:v>
                </c:pt>
                <c:pt idx="97">
                  <c:v>39941.18657961853</c:v>
                </c:pt>
                <c:pt idx="98">
                  <c:v>121191.55422890333</c:v>
                </c:pt>
                <c:pt idx="99">
                  <c:v>3524185.4572989456</c:v>
                </c:pt>
                <c:pt idx="100">
                  <c:v>9326794.10737326</c:v>
                </c:pt>
                <c:pt idx="101">
                  <c:v>3950364.7031529737</c:v>
                </c:pt>
                <c:pt idx="102">
                  <c:v>107577.12716170773</c:v>
                </c:pt>
                <c:pt idx="103">
                  <c:v>37116.489372496675</c:v>
                </c:pt>
                <c:pt idx="104">
                  <c:v>19349.887442538922</c:v>
                </c:pt>
                <c:pt idx="105">
                  <c:v>11969.716469014438</c:v>
                </c:pt>
                <c:pt idx="106">
                  <c:v>8034.9172073048803</c:v>
                </c:pt>
                <c:pt idx="107">
                  <c:v>6175.1488597633042</c:v>
                </c:pt>
                <c:pt idx="108">
                  <c:v>4664.9277138344896</c:v>
                </c:pt>
                <c:pt idx="109">
                  <c:v>3495.8595301704768</c:v>
                </c:pt>
                <c:pt idx="110">
                  <c:v>2911.9415300202131</c:v>
                </c:pt>
                <c:pt idx="111">
                  <c:v>2454.6382227991571</c:v>
                </c:pt>
                <c:pt idx="112">
                  <c:v>2043.1974825139437</c:v>
                </c:pt>
                <c:pt idx="113">
                  <c:v>1725.2372468690705</c:v>
                </c:pt>
                <c:pt idx="114">
                  <c:v>1411.6051357769074</c:v>
                </c:pt>
                <c:pt idx="115">
                  <c:v>1205.7647452393578</c:v>
                </c:pt>
                <c:pt idx="116">
                  <c:v>1070.7471572744951</c:v>
                </c:pt>
                <c:pt idx="117">
                  <c:v>945.2298567332582</c:v>
                </c:pt>
                <c:pt idx="118">
                  <c:v>818.88376045535722</c:v>
                </c:pt>
                <c:pt idx="119">
                  <c:v>768.01219402221773</c:v>
                </c:pt>
                <c:pt idx="120">
                  <c:v>707.33854440336529</c:v>
                </c:pt>
                <c:pt idx="121">
                  <c:v>644.26306952461948</c:v>
                </c:pt>
                <c:pt idx="122">
                  <c:v>633.294745446158</c:v>
                </c:pt>
                <c:pt idx="123">
                  <c:v>491.82377257329756</c:v>
                </c:pt>
                <c:pt idx="124">
                  <c:v>505.32485964588778</c:v>
                </c:pt>
                <c:pt idx="125">
                  <c:v>438.81476576038801</c:v>
                </c:pt>
                <c:pt idx="126">
                  <c:v>418.00204749964513</c:v>
                </c:pt>
                <c:pt idx="127">
                  <c:v>381.34050273051702</c:v>
                </c:pt>
                <c:pt idx="128">
                  <c:v>334.49985941963001</c:v>
                </c:pt>
                <c:pt idx="129">
                  <c:v>305.45151607093726</c:v>
                </c:pt>
                <c:pt idx="130">
                  <c:v>296.01885726013126</c:v>
                </c:pt>
                <c:pt idx="131">
                  <c:v>260.49255132626502</c:v>
                </c:pt>
                <c:pt idx="132">
                  <c:v>250.32693468218466</c:v>
                </c:pt>
                <c:pt idx="133">
                  <c:v>231.80492217326611</c:v>
                </c:pt>
                <c:pt idx="134">
                  <c:v>209.75690344476439</c:v>
                </c:pt>
                <c:pt idx="135">
                  <c:v>202.87781872178482</c:v>
                </c:pt>
                <c:pt idx="136">
                  <c:v>191.48545162417315</c:v>
                </c:pt>
                <c:pt idx="137">
                  <c:v>200.80372285174144</c:v>
                </c:pt>
                <c:pt idx="138">
                  <c:v>128.16358354477467</c:v>
                </c:pt>
                <c:pt idx="139">
                  <c:v>172.35359074659465</c:v>
                </c:pt>
                <c:pt idx="140">
                  <c:v>147.13047292430352</c:v>
                </c:pt>
                <c:pt idx="141">
                  <c:v>142.75657175479802</c:v>
                </c:pt>
                <c:pt idx="142">
                  <c:v>148.62246839511766</c:v>
                </c:pt>
                <c:pt idx="143">
                  <c:v>115.6103662390357</c:v>
                </c:pt>
                <c:pt idx="144">
                  <c:v>107.32199835370739</c:v>
                </c:pt>
                <c:pt idx="145">
                  <c:v>107.41058730302224</c:v>
                </c:pt>
                <c:pt idx="146">
                  <c:v>100.56237886880473</c:v>
                </c:pt>
                <c:pt idx="147">
                  <c:v>92.659107133397839</c:v>
                </c:pt>
                <c:pt idx="148">
                  <c:v>101.16096852186219</c:v>
                </c:pt>
                <c:pt idx="149">
                  <c:v>84.652807452118722</c:v>
                </c:pt>
                <c:pt idx="150">
                  <c:v>82.150891113700098</c:v>
                </c:pt>
                <c:pt idx="151">
                  <c:v>66.72996419136625</c:v>
                </c:pt>
                <c:pt idx="152">
                  <c:v>85.406207337976724</c:v>
                </c:pt>
                <c:pt idx="153">
                  <c:v>65.554364389552234</c:v>
                </c:pt>
                <c:pt idx="154">
                  <c:v>63.286759183079084</c:v>
                </c:pt>
                <c:pt idx="155">
                  <c:v>78.870364690840887</c:v>
                </c:pt>
                <c:pt idx="156">
                  <c:v>62.509037116813737</c:v>
                </c:pt>
                <c:pt idx="157">
                  <c:v>51.834305147030136</c:v>
                </c:pt>
                <c:pt idx="158">
                  <c:v>62.304450516386879</c:v>
                </c:pt>
                <c:pt idx="159">
                  <c:v>50.572976318888216</c:v>
                </c:pt>
                <c:pt idx="160">
                  <c:v>52.918106289768119</c:v>
                </c:pt>
                <c:pt idx="161">
                  <c:v>51.729092487237537</c:v>
                </c:pt>
                <c:pt idx="162">
                  <c:v>54.187602439976629</c:v>
                </c:pt>
                <c:pt idx="163">
                  <c:v>46.035946737668603</c:v>
                </c:pt>
                <c:pt idx="164">
                  <c:v>46.095048256350367</c:v>
                </c:pt>
                <c:pt idx="165">
                  <c:v>36.741407651935987</c:v>
                </c:pt>
                <c:pt idx="166">
                  <c:v>34.470078057199167</c:v>
                </c:pt>
                <c:pt idx="167">
                  <c:v>29.678961406819113</c:v>
                </c:pt>
                <c:pt idx="168">
                  <c:v>37.820045607728382</c:v>
                </c:pt>
                <c:pt idx="169">
                  <c:v>38.98213127904426</c:v>
                </c:pt>
                <c:pt idx="170">
                  <c:v>34.293229540898167</c:v>
                </c:pt>
                <c:pt idx="171">
                  <c:v>32.003870012532239</c:v>
                </c:pt>
                <c:pt idx="172">
                  <c:v>32.04148022630919</c:v>
                </c:pt>
                <c:pt idx="173">
                  <c:v>26.118679098574518</c:v>
                </c:pt>
                <c:pt idx="174">
                  <c:v>30.875684843385727</c:v>
                </c:pt>
                <c:pt idx="175">
                  <c:v>32.082908570730233</c:v>
                </c:pt>
                <c:pt idx="176">
                  <c:v>21.407020665581019</c:v>
                </c:pt>
                <c:pt idx="177">
                  <c:v>28.526130351119072</c:v>
                </c:pt>
                <c:pt idx="178">
                  <c:v>19.032391601791993</c:v>
                </c:pt>
                <c:pt idx="179">
                  <c:v>21.417802596011789</c:v>
                </c:pt>
                <c:pt idx="180">
                  <c:v>17.828929596541396</c:v>
                </c:pt>
                <c:pt idx="181">
                  <c:v>14.240942127867976</c:v>
                </c:pt>
                <c:pt idx="182">
                  <c:v>14.251078648368757</c:v>
                </c:pt>
                <c:pt idx="183">
                  <c:v>27.347905712632393</c:v>
                </c:pt>
                <c:pt idx="184">
                  <c:v>14.297248123686959</c:v>
                </c:pt>
                <c:pt idx="185">
                  <c:v>14.325723074264149</c:v>
                </c:pt>
                <c:pt idx="186">
                  <c:v>11.945904979493006</c:v>
                </c:pt>
                <c:pt idx="187">
                  <c:v>14.33755417780838</c:v>
                </c:pt>
                <c:pt idx="188">
                  <c:v>8.3581117700030809</c:v>
                </c:pt>
                <c:pt idx="189">
                  <c:v>8.3638311977337167</c:v>
                </c:pt>
                <c:pt idx="190">
                  <c:v>9.5684922849991327</c:v>
                </c:pt>
                <c:pt idx="191">
                  <c:v>16.759838045118606</c:v>
                </c:pt>
                <c:pt idx="192">
                  <c:v>15.590371865765588</c:v>
                </c:pt>
                <c:pt idx="193">
                  <c:v>5.9936040161197184</c:v>
                </c:pt>
                <c:pt idx="194">
                  <c:v>5.9804434345147062</c:v>
                </c:pt>
                <c:pt idx="195">
                  <c:v>16.784792694920235</c:v>
                </c:pt>
                <c:pt idx="196">
                  <c:v>4.8041637927192538</c:v>
                </c:pt>
                <c:pt idx="197">
                  <c:v>8.4040402786363995</c:v>
                </c:pt>
                <c:pt idx="198">
                  <c:v>7.1852079131976918</c:v>
                </c:pt>
                <c:pt idx="199">
                  <c:v>9.5719543256740227</c:v>
                </c:pt>
                <c:pt idx="200">
                  <c:v>5.9905010256318914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C9-4122-A521-59D6EF737AD7}"/>
            </c:ext>
          </c:extLst>
        </c:ser>
        <c:ser>
          <c:idx val="1"/>
          <c:order val="1"/>
          <c:tx>
            <c:strRef>
              <c:f>Si_Thermo_01!$A$3</c:f>
              <c:strCache>
                <c:ptCount val="1"/>
                <c:pt idx="0">
                  <c:v>Si_Thermo_01.dat</c:v>
                </c:pt>
              </c:strCache>
            </c:strRef>
          </c:tx>
          <c:spPr>
            <a:ln w="12700" cap="rnd">
              <a:solidFill>
                <a:srgbClr val="FF9999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Si_Thermo_01!$A$22:$A$222</c:f>
              <c:numCache>
                <c:formatCode>General</c:formatCode>
                <c:ptCount val="201"/>
                <c:pt idx="0">
                  <c:v>68.5929</c:v>
                </c:pt>
                <c:pt idx="1">
                  <c:v>68.602900000000005</c:v>
                </c:pt>
                <c:pt idx="2">
                  <c:v>68.612899999999996</c:v>
                </c:pt>
                <c:pt idx="3">
                  <c:v>68.622900000000001</c:v>
                </c:pt>
                <c:pt idx="4">
                  <c:v>68.632900000000006</c:v>
                </c:pt>
                <c:pt idx="5">
                  <c:v>68.642899999999997</c:v>
                </c:pt>
                <c:pt idx="6">
                  <c:v>68.652900000000002</c:v>
                </c:pt>
                <c:pt idx="7">
                  <c:v>68.662899999999993</c:v>
                </c:pt>
                <c:pt idx="8">
                  <c:v>68.672899999999998</c:v>
                </c:pt>
                <c:pt idx="9">
                  <c:v>68.682900000000004</c:v>
                </c:pt>
                <c:pt idx="10">
                  <c:v>68.692899999999995</c:v>
                </c:pt>
                <c:pt idx="11">
                  <c:v>68.7029</c:v>
                </c:pt>
                <c:pt idx="12">
                  <c:v>68.712900000000005</c:v>
                </c:pt>
                <c:pt idx="13">
                  <c:v>68.722899999999996</c:v>
                </c:pt>
                <c:pt idx="14">
                  <c:v>68.732900000000001</c:v>
                </c:pt>
                <c:pt idx="15">
                  <c:v>68.742900000000006</c:v>
                </c:pt>
                <c:pt idx="16">
                  <c:v>68.752899999999997</c:v>
                </c:pt>
                <c:pt idx="17">
                  <c:v>68.762900000000002</c:v>
                </c:pt>
                <c:pt idx="18">
                  <c:v>68.772900000000007</c:v>
                </c:pt>
                <c:pt idx="19">
                  <c:v>68.782899999999998</c:v>
                </c:pt>
                <c:pt idx="20">
                  <c:v>68.792900000000003</c:v>
                </c:pt>
                <c:pt idx="21">
                  <c:v>68.802899999999994</c:v>
                </c:pt>
                <c:pt idx="22">
                  <c:v>68.812899999999999</c:v>
                </c:pt>
                <c:pt idx="23">
                  <c:v>68.822900000000004</c:v>
                </c:pt>
                <c:pt idx="24">
                  <c:v>68.832899999999995</c:v>
                </c:pt>
                <c:pt idx="25">
                  <c:v>68.8429</c:v>
                </c:pt>
                <c:pt idx="26">
                  <c:v>68.852900000000005</c:v>
                </c:pt>
                <c:pt idx="27">
                  <c:v>68.862899999999996</c:v>
                </c:pt>
                <c:pt idx="28">
                  <c:v>68.872900000000001</c:v>
                </c:pt>
                <c:pt idx="29">
                  <c:v>68.882900000000006</c:v>
                </c:pt>
                <c:pt idx="30">
                  <c:v>68.892899999999997</c:v>
                </c:pt>
                <c:pt idx="31">
                  <c:v>68.902900000000002</c:v>
                </c:pt>
                <c:pt idx="32">
                  <c:v>68.912899999999993</c:v>
                </c:pt>
                <c:pt idx="33">
                  <c:v>68.922899999999998</c:v>
                </c:pt>
                <c:pt idx="34">
                  <c:v>68.932900000000004</c:v>
                </c:pt>
                <c:pt idx="35">
                  <c:v>68.942899999999995</c:v>
                </c:pt>
                <c:pt idx="36">
                  <c:v>68.9529</c:v>
                </c:pt>
                <c:pt idx="37">
                  <c:v>68.962900000000005</c:v>
                </c:pt>
                <c:pt idx="38">
                  <c:v>68.972899999999996</c:v>
                </c:pt>
                <c:pt idx="39">
                  <c:v>68.982900000000001</c:v>
                </c:pt>
                <c:pt idx="40">
                  <c:v>68.992900000000006</c:v>
                </c:pt>
                <c:pt idx="41">
                  <c:v>69.002899999999997</c:v>
                </c:pt>
                <c:pt idx="42">
                  <c:v>69.012900000000002</c:v>
                </c:pt>
                <c:pt idx="43">
                  <c:v>69.022900000000007</c:v>
                </c:pt>
                <c:pt idx="44">
                  <c:v>69.032899999999998</c:v>
                </c:pt>
                <c:pt idx="45">
                  <c:v>69.042900000000003</c:v>
                </c:pt>
                <c:pt idx="46">
                  <c:v>69.052899999999994</c:v>
                </c:pt>
                <c:pt idx="47">
                  <c:v>69.062899999999999</c:v>
                </c:pt>
                <c:pt idx="48">
                  <c:v>69.072900000000004</c:v>
                </c:pt>
                <c:pt idx="49">
                  <c:v>69.082899999999995</c:v>
                </c:pt>
                <c:pt idx="50">
                  <c:v>69.0929</c:v>
                </c:pt>
                <c:pt idx="51">
                  <c:v>69.102900000000005</c:v>
                </c:pt>
                <c:pt idx="52">
                  <c:v>69.112899999999996</c:v>
                </c:pt>
                <c:pt idx="53">
                  <c:v>69.122900000000001</c:v>
                </c:pt>
                <c:pt idx="54">
                  <c:v>69.132900000000006</c:v>
                </c:pt>
                <c:pt idx="55">
                  <c:v>69.142899999999997</c:v>
                </c:pt>
                <c:pt idx="56">
                  <c:v>69.152900000000002</c:v>
                </c:pt>
                <c:pt idx="57">
                  <c:v>69.162899999999993</c:v>
                </c:pt>
                <c:pt idx="58">
                  <c:v>69.172899999999998</c:v>
                </c:pt>
                <c:pt idx="59">
                  <c:v>69.182900000000004</c:v>
                </c:pt>
                <c:pt idx="60">
                  <c:v>69.192899999999995</c:v>
                </c:pt>
                <c:pt idx="61">
                  <c:v>69.2029</c:v>
                </c:pt>
                <c:pt idx="62">
                  <c:v>69.212900000000005</c:v>
                </c:pt>
                <c:pt idx="63">
                  <c:v>69.222899999999996</c:v>
                </c:pt>
                <c:pt idx="64">
                  <c:v>69.232900000000001</c:v>
                </c:pt>
                <c:pt idx="65">
                  <c:v>69.242900000000006</c:v>
                </c:pt>
                <c:pt idx="66">
                  <c:v>69.252899999999997</c:v>
                </c:pt>
                <c:pt idx="67">
                  <c:v>69.262900000000002</c:v>
                </c:pt>
                <c:pt idx="68">
                  <c:v>69.272900000000007</c:v>
                </c:pt>
                <c:pt idx="69">
                  <c:v>69.282899999999998</c:v>
                </c:pt>
                <c:pt idx="70">
                  <c:v>69.292900000000003</c:v>
                </c:pt>
                <c:pt idx="71">
                  <c:v>69.302899999999994</c:v>
                </c:pt>
                <c:pt idx="72">
                  <c:v>69.312899999999999</c:v>
                </c:pt>
                <c:pt idx="73">
                  <c:v>69.322900000000004</c:v>
                </c:pt>
                <c:pt idx="74">
                  <c:v>69.332899999999995</c:v>
                </c:pt>
                <c:pt idx="75">
                  <c:v>69.3429</c:v>
                </c:pt>
                <c:pt idx="76">
                  <c:v>69.352900000000005</c:v>
                </c:pt>
                <c:pt idx="77">
                  <c:v>69.362899999999996</c:v>
                </c:pt>
                <c:pt idx="78">
                  <c:v>69.372900000000001</c:v>
                </c:pt>
                <c:pt idx="79">
                  <c:v>69.382900000000006</c:v>
                </c:pt>
                <c:pt idx="80">
                  <c:v>69.392899999999997</c:v>
                </c:pt>
                <c:pt idx="81">
                  <c:v>69.402900000000002</c:v>
                </c:pt>
                <c:pt idx="82">
                  <c:v>69.412899999999993</c:v>
                </c:pt>
                <c:pt idx="83">
                  <c:v>69.422899999999998</c:v>
                </c:pt>
                <c:pt idx="84">
                  <c:v>69.432900000000004</c:v>
                </c:pt>
                <c:pt idx="85">
                  <c:v>69.442899999999995</c:v>
                </c:pt>
                <c:pt idx="86">
                  <c:v>69.4529</c:v>
                </c:pt>
                <c:pt idx="87">
                  <c:v>69.462900000000005</c:v>
                </c:pt>
                <c:pt idx="88">
                  <c:v>69.472899999999996</c:v>
                </c:pt>
                <c:pt idx="89">
                  <c:v>69.482900000000001</c:v>
                </c:pt>
                <c:pt idx="90">
                  <c:v>69.492900000000006</c:v>
                </c:pt>
                <c:pt idx="91">
                  <c:v>69.502899999999997</c:v>
                </c:pt>
                <c:pt idx="92">
                  <c:v>69.512900000000002</c:v>
                </c:pt>
                <c:pt idx="93">
                  <c:v>69.522900000000007</c:v>
                </c:pt>
                <c:pt idx="94">
                  <c:v>69.532899999999998</c:v>
                </c:pt>
                <c:pt idx="95">
                  <c:v>69.542900000000003</c:v>
                </c:pt>
                <c:pt idx="96">
                  <c:v>69.552899999999994</c:v>
                </c:pt>
                <c:pt idx="97">
                  <c:v>69.562899999999999</c:v>
                </c:pt>
                <c:pt idx="98">
                  <c:v>69.572900000000004</c:v>
                </c:pt>
                <c:pt idx="99">
                  <c:v>69.582899999999995</c:v>
                </c:pt>
                <c:pt idx="100">
                  <c:v>69.5929</c:v>
                </c:pt>
                <c:pt idx="101">
                  <c:v>69.602900000000005</c:v>
                </c:pt>
                <c:pt idx="102">
                  <c:v>69.612899999999996</c:v>
                </c:pt>
                <c:pt idx="103">
                  <c:v>69.622900000000001</c:v>
                </c:pt>
                <c:pt idx="104">
                  <c:v>69.632900000000006</c:v>
                </c:pt>
                <c:pt idx="105">
                  <c:v>69.642899999999997</c:v>
                </c:pt>
                <c:pt idx="106">
                  <c:v>69.652900000000002</c:v>
                </c:pt>
                <c:pt idx="107">
                  <c:v>69.662899999999993</c:v>
                </c:pt>
                <c:pt idx="108">
                  <c:v>69.672899999999998</c:v>
                </c:pt>
                <c:pt idx="109">
                  <c:v>69.682900000000004</c:v>
                </c:pt>
                <c:pt idx="110">
                  <c:v>69.692899999999995</c:v>
                </c:pt>
                <c:pt idx="111">
                  <c:v>69.7029</c:v>
                </c:pt>
                <c:pt idx="112">
                  <c:v>69.712900000000005</c:v>
                </c:pt>
                <c:pt idx="113">
                  <c:v>69.722899999999996</c:v>
                </c:pt>
                <c:pt idx="114">
                  <c:v>69.732900000000001</c:v>
                </c:pt>
                <c:pt idx="115">
                  <c:v>69.742900000000006</c:v>
                </c:pt>
                <c:pt idx="116">
                  <c:v>69.752899999999997</c:v>
                </c:pt>
                <c:pt idx="117">
                  <c:v>69.762900000000002</c:v>
                </c:pt>
                <c:pt idx="118">
                  <c:v>69.772900000000007</c:v>
                </c:pt>
                <c:pt idx="119">
                  <c:v>69.782899999999998</c:v>
                </c:pt>
                <c:pt idx="120">
                  <c:v>69.792900000000003</c:v>
                </c:pt>
                <c:pt idx="121">
                  <c:v>69.802899999999994</c:v>
                </c:pt>
                <c:pt idx="122">
                  <c:v>69.812899999999999</c:v>
                </c:pt>
                <c:pt idx="123">
                  <c:v>69.822900000000004</c:v>
                </c:pt>
                <c:pt idx="124">
                  <c:v>69.832899999999995</c:v>
                </c:pt>
                <c:pt idx="125">
                  <c:v>69.8429</c:v>
                </c:pt>
                <c:pt idx="126">
                  <c:v>69.852900000000005</c:v>
                </c:pt>
                <c:pt idx="127">
                  <c:v>69.862899999999996</c:v>
                </c:pt>
                <c:pt idx="128">
                  <c:v>69.872900000000001</c:v>
                </c:pt>
                <c:pt idx="129">
                  <c:v>69.882900000000006</c:v>
                </c:pt>
                <c:pt idx="130">
                  <c:v>69.892899999999997</c:v>
                </c:pt>
                <c:pt idx="131">
                  <c:v>69.902900000000002</c:v>
                </c:pt>
                <c:pt idx="132">
                  <c:v>69.912899999999993</c:v>
                </c:pt>
                <c:pt idx="133">
                  <c:v>69.922899999999998</c:v>
                </c:pt>
                <c:pt idx="134">
                  <c:v>69.932900000000004</c:v>
                </c:pt>
                <c:pt idx="135">
                  <c:v>69.942899999999995</c:v>
                </c:pt>
                <c:pt idx="136">
                  <c:v>69.9529</c:v>
                </c:pt>
                <c:pt idx="137">
                  <c:v>69.962900000000005</c:v>
                </c:pt>
                <c:pt idx="138">
                  <c:v>69.972899999999996</c:v>
                </c:pt>
                <c:pt idx="139">
                  <c:v>69.982900000000001</c:v>
                </c:pt>
                <c:pt idx="140">
                  <c:v>69.992900000000006</c:v>
                </c:pt>
                <c:pt idx="141">
                  <c:v>70.002899999999997</c:v>
                </c:pt>
                <c:pt idx="142">
                  <c:v>70.012900000000002</c:v>
                </c:pt>
                <c:pt idx="143">
                  <c:v>70.022900000000007</c:v>
                </c:pt>
                <c:pt idx="144">
                  <c:v>70.032899999999998</c:v>
                </c:pt>
                <c:pt idx="145">
                  <c:v>70.042900000000003</c:v>
                </c:pt>
                <c:pt idx="146">
                  <c:v>70.052899999999994</c:v>
                </c:pt>
                <c:pt idx="147">
                  <c:v>70.062899999999999</c:v>
                </c:pt>
                <c:pt idx="148">
                  <c:v>70.072900000000004</c:v>
                </c:pt>
                <c:pt idx="149">
                  <c:v>70.082899999999995</c:v>
                </c:pt>
                <c:pt idx="150">
                  <c:v>70.0929</c:v>
                </c:pt>
                <c:pt idx="151">
                  <c:v>70.102900000000005</c:v>
                </c:pt>
                <c:pt idx="152">
                  <c:v>70.112899999999996</c:v>
                </c:pt>
                <c:pt idx="153">
                  <c:v>70.122900000000001</c:v>
                </c:pt>
                <c:pt idx="154">
                  <c:v>70.132900000000006</c:v>
                </c:pt>
                <c:pt idx="155">
                  <c:v>70.142899999999997</c:v>
                </c:pt>
                <c:pt idx="156">
                  <c:v>70.152900000000002</c:v>
                </c:pt>
                <c:pt idx="157">
                  <c:v>70.162899999999993</c:v>
                </c:pt>
                <c:pt idx="158">
                  <c:v>70.172899999999998</c:v>
                </c:pt>
                <c:pt idx="159">
                  <c:v>70.182900000000004</c:v>
                </c:pt>
                <c:pt idx="160">
                  <c:v>70.192899999999995</c:v>
                </c:pt>
                <c:pt idx="161">
                  <c:v>70.2029</c:v>
                </c:pt>
                <c:pt idx="162">
                  <c:v>70.212900000000005</c:v>
                </c:pt>
                <c:pt idx="163">
                  <c:v>70.222899999999996</c:v>
                </c:pt>
                <c:pt idx="164">
                  <c:v>70.232900000000001</c:v>
                </c:pt>
                <c:pt idx="165">
                  <c:v>70.242900000000006</c:v>
                </c:pt>
                <c:pt idx="166">
                  <c:v>70.252899999999997</c:v>
                </c:pt>
                <c:pt idx="167">
                  <c:v>70.262900000000002</c:v>
                </c:pt>
                <c:pt idx="168">
                  <c:v>70.272900000000007</c:v>
                </c:pt>
                <c:pt idx="169">
                  <c:v>70.282899999999998</c:v>
                </c:pt>
                <c:pt idx="170">
                  <c:v>70.292900000000003</c:v>
                </c:pt>
                <c:pt idx="171">
                  <c:v>70.302899999999994</c:v>
                </c:pt>
                <c:pt idx="172">
                  <c:v>70.312899999999999</c:v>
                </c:pt>
                <c:pt idx="173">
                  <c:v>70.322900000000004</c:v>
                </c:pt>
                <c:pt idx="174">
                  <c:v>70.332899999999995</c:v>
                </c:pt>
                <c:pt idx="175">
                  <c:v>70.3429</c:v>
                </c:pt>
                <c:pt idx="176">
                  <c:v>70.352900000000005</c:v>
                </c:pt>
                <c:pt idx="177">
                  <c:v>70.362899999999996</c:v>
                </c:pt>
                <c:pt idx="178">
                  <c:v>70.372900000000001</c:v>
                </c:pt>
                <c:pt idx="179">
                  <c:v>70.382900000000006</c:v>
                </c:pt>
                <c:pt idx="180">
                  <c:v>70.392899999999997</c:v>
                </c:pt>
                <c:pt idx="181">
                  <c:v>70.402900000000002</c:v>
                </c:pt>
                <c:pt idx="182">
                  <c:v>70.412899999999993</c:v>
                </c:pt>
                <c:pt idx="183">
                  <c:v>70.422899999999998</c:v>
                </c:pt>
                <c:pt idx="184">
                  <c:v>70.432900000000004</c:v>
                </c:pt>
                <c:pt idx="185">
                  <c:v>70.442899999999995</c:v>
                </c:pt>
                <c:pt idx="186">
                  <c:v>70.4529</c:v>
                </c:pt>
                <c:pt idx="187">
                  <c:v>70.462900000000005</c:v>
                </c:pt>
                <c:pt idx="188">
                  <c:v>70.472899999999996</c:v>
                </c:pt>
                <c:pt idx="189">
                  <c:v>70.482900000000001</c:v>
                </c:pt>
                <c:pt idx="190">
                  <c:v>70.492900000000006</c:v>
                </c:pt>
                <c:pt idx="191">
                  <c:v>70.502899999999997</c:v>
                </c:pt>
                <c:pt idx="192">
                  <c:v>70.512900000000002</c:v>
                </c:pt>
                <c:pt idx="193">
                  <c:v>70.522900000000007</c:v>
                </c:pt>
                <c:pt idx="194">
                  <c:v>70.532899999999998</c:v>
                </c:pt>
                <c:pt idx="195">
                  <c:v>70.542900000000003</c:v>
                </c:pt>
                <c:pt idx="196">
                  <c:v>70.552899999999994</c:v>
                </c:pt>
                <c:pt idx="197">
                  <c:v>70.562899999999999</c:v>
                </c:pt>
                <c:pt idx="198">
                  <c:v>70.572900000000004</c:v>
                </c:pt>
                <c:pt idx="199">
                  <c:v>70.582899999999995</c:v>
                </c:pt>
                <c:pt idx="200">
                  <c:v>70.5929</c:v>
                </c:pt>
              </c:numCache>
            </c:numRef>
          </c:xVal>
          <c:yVal>
            <c:numRef>
              <c:f>Si_Thermo_01!$E$22:$E$222</c:f>
              <c:numCache>
                <c:formatCode>General</c:formatCode>
                <c:ptCount val="201"/>
                <c:pt idx="0">
                  <c:v>17</c:v>
                </c:pt>
                <c:pt idx="1">
                  <c:v>8.992078282668178</c:v>
                </c:pt>
                <c:pt idx="2">
                  <c:v>8.9851723204126444</c:v>
                </c:pt>
                <c:pt idx="3">
                  <c:v>27.009758254939282</c:v>
                </c:pt>
                <c:pt idx="4">
                  <c:v>19.019368297002146</c:v>
                </c:pt>
                <c:pt idx="5">
                  <c:v>7.0262275025261207</c:v>
                </c:pt>
                <c:pt idx="6">
                  <c:v>10.043482597815929</c:v>
                </c:pt>
                <c:pt idx="7">
                  <c:v>14.076957427557263</c:v>
                </c:pt>
                <c:pt idx="8">
                  <c:v>11.055563067473425</c:v>
                </c:pt>
                <c:pt idx="9">
                  <c:v>15.074420081411523</c:v>
                </c:pt>
                <c:pt idx="10">
                  <c:v>12.052674546533897</c:v>
                </c:pt>
                <c:pt idx="11">
                  <c:v>17.07534021607642</c:v>
                </c:pt>
                <c:pt idx="12">
                  <c:v>17.094485854835</c:v>
                </c:pt>
                <c:pt idx="13">
                  <c:v>14.101383231400595</c:v>
                </c:pt>
                <c:pt idx="14">
                  <c:v>10.085730567237562</c:v>
                </c:pt>
                <c:pt idx="15">
                  <c:v>19.171474244173908</c:v>
                </c:pt>
                <c:pt idx="16">
                  <c:v>22.175945133071366</c:v>
                </c:pt>
                <c:pt idx="17">
                  <c:v>16.110107819391267</c:v>
                </c:pt>
                <c:pt idx="18">
                  <c:v>16.145046143039558</c:v>
                </c:pt>
                <c:pt idx="19">
                  <c:v>13.141713384175249</c:v>
                </c:pt>
                <c:pt idx="20">
                  <c:v>22.266446567590979</c:v>
                </c:pt>
                <c:pt idx="21">
                  <c:v>11.140770934628522</c:v>
                </c:pt>
                <c:pt idx="22">
                  <c:v>17.22039834949728</c:v>
                </c:pt>
                <c:pt idx="23">
                  <c:v>21.274784227260618</c:v>
                </c:pt>
                <c:pt idx="24">
                  <c:v>25.320224153279497</c:v>
                </c:pt>
                <c:pt idx="25">
                  <c:v>12.159579807999181</c:v>
                </c:pt>
                <c:pt idx="26">
                  <c:v>17.248266444373783</c:v>
                </c:pt>
                <c:pt idx="27">
                  <c:v>15.227547372725988</c:v>
                </c:pt>
                <c:pt idx="28">
                  <c:v>17.22429193820486</c:v>
                </c:pt>
                <c:pt idx="29">
                  <c:v>16.208919548864763</c:v>
                </c:pt>
                <c:pt idx="30">
                  <c:v>9.130086782998184</c:v>
                </c:pt>
                <c:pt idx="31">
                  <c:v>17.288864507906517</c:v>
                </c:pt>
                <c:pt idx="32">
                  <c:v>13.231145152220437</c:v>
                </c:pt>
                <c:pt idx="33">
                  <c:v>18.329638617682569</c:v>
                </c:pt>
                <c:pt idx="34">
                  <c:v>16.302928151348809</c:v>
                </c:pt>
                <c:pt idx="35">
                  <c:v>15.27927690537029</c:v>
                </c:pt>
                <c:pt idx="36">
                  <c:v>17.328603249757105</c:v>
                </c:pt>
                <c:pt idx="37">
                  <c:v>23.461575209794187</c:v>
                </c:pt>
                <c:pt idx="38">
                  <c:v>22.455407747638997</c:v>
                </c:pt>
                <c:pt idx="39">
                  <c:v>24.510957039562509</c:v>
                </c:pt>
                <c:pt idx="40">
                  <c:v>27.553765128935066</c:v>
                </c:pt>
                <c:pt idx="41">
                  <c:v>19.393924494295852</c:v>
                </c:pt>
                <c:pt idx="42">
                  <c:v>24.520973003041668</c:v>
                </c:pt>
                <c:pt idx="43">
                  <c:v>35.772519817964444</c:v>
                </c:pt>
                <c:pt idx="44">
                  <c:v>34.73132286902252</c:v>
                </c:pt>
                <c:pt idx="45">
                  <c:v>37.781773881128323</c:v>
                </c:pt>
                <c:pt idx="46">
                  <c:v>31.719419848835948</c:v>
                </c:pt>
                <c:pt idx="47">
                  <c:v>36.934562780057455</c:v>
                </c:pt>
                <c:pt idx="48">
                  <c:v>55.418829939818487</c:v>
                </c:pt>
                <c:pt idx="49">
                  <c:v>40.026299604174206</c:v>
                </c:pt>
                <c:pt idx="50">
                  <c:v>53.432964945975179</c:v>
                </c:pt>
                <c:pt idx="51">
                  <c:v>48.274614179326448</c:v>
                </c:pt>
                <c:pt idx="52">
                  <c:v>57.561861608991016</c:v>
                </c:pt>
                <c:pt idx="53">
                  <c:v>66.815815722231804</c:v>
                </c:pt>
                <c:pt idx="54">
                  <c:v>86.353150713424654</c:v>
                </c:pt>
                <c:pt idx="55">
                  <c:v>81.208923494773629</c:v>
                </c:pt>
                <c:pt idx="56">
                  <c:v>77.035687242851722</c:v>
                </c:pt>
                <c:pt idx="57">
                  <c:v>86.340499915736487</c:v>
                </c:pt>
                <c:pt idx="58">
                  <c:v>100.93968836825839</c:v>
                </c:pt>
                <c:pt idx="59">
                  <c:v>111.44802232938935</c:v>
                </c:pt>
                <c:pt idx="60">
                  <c:v>128.1122862739193</c:v>
                </c:pt>
                <c:pt idx="61">
                  <c:v>148.63257487266137</c:v>
                </c:pt>
                <c:pt idx="62">
                  <c:v>150.49330061201471</c:v>
                </c:pt>
                <c:pt idx="63">
                  <c:v>176.47443017620418</c:v>
                </c:pt>
                <c:pt idx="64">
                  <c:v>188.05206575051969</c:v>
                </c:pt>
                <c:pt idx="65">
                  <c:v>204.54638671793302</c:v>
                </c:pt>
                <c:pt idx="66">
                  <c:v>185.03888943124571</c:v>
                </c:pt>
                <c:pt idx="67">
                  <c:v>219.45092108737924</c:v>
                </c:pt>
                <c:pt idx="68">
                  <c:v>235.11916003347596</c:v>
                </c:pt>
                <c:pt idx="69">
                  <c:v>265.11954009314621</c:v>
                </c:pt>
                <c:pt idx="70">
                  <c:v>289.07518724716283</c:v>
                </c:pt>
                <c:pt idx="71">
                  <c:v>344.4972004973427</c:v>
                </c:pt>
                <c:pt idx="72">
                  <c:v>348.50153979248142</c:v>
                </c:pt>
                <c:pt idx="73">
                  <c:v>426.0840715090373</c:v>
                </c:pt>
                <c:pt idx="74">
                  <c:v>453.07572816470372</c:v>
                </c:pt>
                <c:pt idx="75">
                  <c:v>450.38283529034948</c:v>
                </c:pt>
                <c:pt idx="76">
                  <c:v>490.97665168351006</c:v>
                </c:pt>
                <c:pt idx="77">
                  <c:v>588.41956347764449</c:v>
                </c:pt>
                <c:pt idx="78">
                  <c:v>643.24210247668555</c:v>
                </c:pt>
                <c:pt idx="79">
                  <c:v>755.38210661265498</c:v>
                </c:pt>
                <c:pt idx="80">
                  <c:v>851.38378080171765</c:v>
                </c:pt>
                <c:pt idx="81">
                  <c:v>917.29689080716059</c:v>
                </c:pt>
                <c:pt idx="82">
                  <c:v>1028.052400846296</c:v>
                </c:pt>
                <c:pt idx="83">
                  <c:v>1277.4655078774715</c:v>
                </c:pt>
                <c:pt idx="84">
                  <c:v>1454.9112371253377</c:v>
                </c:pt>
                <c:pt idx="85">
                  <c:v>1643.1703860056839</c:v>
                </c:pt>
                <c:pt idx="86">
                  <c:v>1727.4738606871285</c:v>
                </c:pt>
                <c:pt idx="87">
                  <c:v>2154.2728896301733</c:v>
                </c:pt>
                <c:pt idx="88">
                  <c:v>2569.5416676265668</c:v>
                </c:pt>
                <c:pt idx="89">
                  <c:v>3286.9588883261663</c:v>
                </c:pt>
                <c:pt idx="90">
                  <c:v>4074.6648633594805</c:v>
                </c:pt>
                <c:pt idx="91">
                  <c:v>5059.1707305606405</c:v>
                </c:pt>
                <c:pt idx="92">
                  <c:v>6835.1297777769078</c:v>
                </c:pt>
                <c:pt idx="93">
                  <c:v>9152.7399255525725</c:v>
                </c:pt>
                <c:pt idx="94">
                  <c:v>12579.598349257123</c:v>
                </c:pt>
                <c:pt idx="95">
                  <c:v>18388.935511394266</c:v>
                </c:pt>
                <c:pt idx="96">
                  <c:v>29895.931894011304</c:v>
                </c:pt>
                <c:pt idx="97">
                  <c:v>57660.116316188563</c:v>
                </c:pt>
                <c:pt idx="98">
                  <c:v>172441.21794435914</c:v>
                </c:pt>
                <c:pt idx="99">
                  <c:v>3437078.6694185119</c:v>
                </c:pt>
                <c:pt idx="100">
                  <c:v>10732462.576235933</c:v>
                </c:pt>
                <c:pt idx="101">
                  <c:v>3369272.8065355821</c:v>
                </c:pt>
                <c:pt idx="102">
                  <c:v>156108.55726173174</c:v>
                </c:pt>
                <c:pt idx="103">
                  <c:v>59001.547376670671</c:v>
                </c:pt>
                <c:pt idx="104">
                  <c:v>31612.246694891506</c:v>
                </c:pt>
                <c:pt idx="105">
                  <c:v>19634.587333355568</c:v>
                </c:pt>
                <c:pt idx="106">
                  <c:v>13415.233451631813</c:v>
                </c:pt>
                <c:pt idx="107">
                  <c:v>9902.762480532454</c:v>
                </c:pt>
                <c:pt idx="108">
                  <c:v>7700.2410490854518</c:v>
                </c:pt>
                <c:pt idx="109">
                  <c:v>6103.3401768044632</c:v>
                </c:pt>
                <c:pt idx="110">
                  <c:v>5054.4150867661137</c:v>
                </c:pt>
                <c:pt idx="111">
                  <c:v>4210.9519197939708</c:v>
                </c:pt>
                <c:pt idx="112">
                  <c:v>3467.4440660818609</c:v>
                </c:pt>
                <c:pt idx="113">
                  <c:v>2822.1571619699712</c:v>
                </c:pt>
                <c:pt idx="114">
                  <c:v>2600.6691296727822</c:v>
                </c:pt>
                <c:pt idx="115">
                  <c:v>2184.9869165657983</c:v>
                </c:pt>
                <c:pt idx="116">
                  <c:v>1972.0903647366674</c:v>
                </c:pt>
                <c:pt idx="117">
                  <c:v>1761.6973347382652</c:v>
                </c:pt>
                <c:pt idx="118">
                  <c:v>1528.7432223458725</c:v>
                </c:pt>
                <c:pt idx="119">
                  <c:v>1360.667242756469</c:v>
                </c:pt>
                <c:pt idx="120">
                  <c:v>1222.8264716459971</c:v>
                </c:pt>
                <c:pt idx="121">
                  <c:v>1130.3434932906357</c:v>
                </c:pt>
                <c:pt idx="122">
                  <c:v>1036.910818670317</c:v>
                </c:pt>
                <c:pt idx="123">
                  <c:v>920.26206915304181</c:v>
                </c:pt>
                <c:pt idx="124">
                  <c:v>894.0158368258908</c:v>
                </c:pt>
                <c:pt idx="125">
                  <c:v>838.06781817558669</c:v>
                </c:pt>
                <c:pt idx="126">
                  <c:v>698.87599720785568</c:v>
                </c:pt>
                <c:pt idx="127">
                  <c:v>671.47381902781444</c:v>
                </c:pt>
                <c:pt idx="128">
                  <c:v>688.67253504030316</c:v>
                </c:pt>
                <c:pt idx="129">
                  <c:v>648.65017257721559</c:v>
                </c:pt>
                <c:pt idx="130">
                  <c:v>560.43900190739896</c:v>
                </c:pt>
                <c:pt idx="131">
                  <c:v>516.40802815711618</c:v>
                </c:pt>
                <c:pt idx="132">
                  <c:v>508.53848967828412</c:v>
                </c:pt>
                <c:pt idx="133">
                  <c:v>466.72588152634302</c:v>
                </c:pt>
                <c:pt idx="134">
                  <c:v>455.74289730265338</c:v>
                </c:pt>
                <c:pt idx="135">
                  <c:v>398.90916599281695</c:v>
                </c:pt>
                <c:pt idx="136">
                  <c:v>374.27162882812132</c:v>
                </c:pt>
                <c:pt idx="137">
                  <c:v>374.67300883354511</c:v>
                </c:pt>
                <c:pt idx="138">
                  <c:v>385.89550845495114</c:v>
                </c:pt>
                <c:pt idx="139">
                  <c:v>348.58423846815708</c:v>
                </c:pt>
                <c:pt idx="140">
                  <c:v>326.98759949010883</c:v>
                </c:pt>
                <c:pt idx="141">
                  <c:v>310.9453316680071</c:v>
                </c:pt>
                <c:pt idx="142">
                  <c:v>313.83686376089202</c:v>
                </c:pt>
                <c:pt idx="143">
                  <c:v>263.85772537927892</c:v>
                </c:pt>
                <c:pt idx="144">
                  <c:v>257.95974839536581</c:v>
                </c:pt>
                <c:pt idx="145">
                  <c:v>249.20595755944424</c:v>
                </c:pt>
                <c:pt idx="146">
                  <c:v>230.55411432830113</c:v>
                </c:pt>
                <c:pt idx="147">
                  <c:v>234.64356838188658</c:v>
                </c:pt>
                <c:pt idx="148">
                  <c:v>232.26302213464808</c:v>
                </c:pt>
                <c:pt idx="149">
                  <c:v>201.39891075606582</c:v>
                </c:pt>
                <c:pt idx="150">
                  <c:v>211.56598203187244</c:v>
                </c:pt>
                <c:pt idx="151">
                  <c:v>182.69078301339638</c:v>
                </c:pt>
                <c:pt idx="152">
                  <c:v>220.71767590863075</c:v>
                </c:pt>
                <c:pt idx="153">
                  <c:v>165.31134534713831</c:v>
                </c:pt>
                <c:pt idx="154">
                  <c:v>167.46447431949323</c:v>
                </c:pt>
                <c:pt idx="155">
                  <c:v>149.32939035576766</c:v>
                </c:pt>
                <c:pt idx="156">
                  <c:v>162.28562358930742</c:v>
                </c:pt>
                <c:pt idx="157">
                  <c:v>142.86682624112481</c:v>
                </c:pt>
                <c:pt idx="158">
                  <c:v>153.87249228073003</c:v>
                </c:pt>
                <c:pt idx="159">
                  <c:v>148.42335121817393</c:v>
                </c:pt>
                <c:pt idx="160">
                  <c:v>123.50122261334963</c:v>
                </c:pt>
                <c:pt idx="161">
                  <c:v>141.90084694546158</c:v>
                </c:pt>
                <c:pt idx="162">
                  <c:v>121.62379820194549</c:v>
                </c:pt>
                <c:pt idx="163">
                  <c:v>115.26848294328643</c:v>
                </c:pt>
                <c:pt idx="164">
                  <c:v>98.94762397646096</c:v>
                </c:pt>
                <c:pt idx="165">
                  <c:v>104.31890815508764</c:v>
                </c:pt>
                <c:pt idx="166">
                  <c:v>104.22800575001666</c:v>
                </c:pt>
                <c:pt idx="167">
                  <c:v>106.39290561214702</c:v>
                </c:pt>
                <c:pt idx="168">
                  <c:v>125.07513438817944</c:v>
                </c:pt>
                <c:pt idx="169">
                  <c:v>97.976920944556696</c:v>
                </c:pt>
                <c:pt idx="170">
                  <c:v>115.60617667863026</c:v>
                </c:pt>
                <c:pt idx="171">
                  <c:v>91.749317427658767</c:v>
                </c:pt>
                <c:pt idx="172">
                  <c:v>85.166567534412849</c:v>
                </c:pt>
                <c:pt idx="173">
                  <c:v>81.834537190752258</c:v>
                </c:pt>
                <c:pt idx="174">
                  <c:v>69.865595534612467</c:v>
                </c:pt>
                <c:pt idx="175">
                  <c:v>82.973290409615984</c:v>
                </c:pt>
                <c:pt idx="176">
                  <c:v>73.112762180004921</c:v>
                </c:pt>
                <c:pt idx="177">
                  <c:v>61.231161941507722</c:v>
                </c:pt>
                <c:pt idx="178">
                  <c:v>64.578033250877908</c:v>
                </c:pt>
                <c:pt idx="179">
                  <c:v>70.06926586869011</c:v>
                </c:pt>
                <c:pt idx="180">
                  <c:v>62.40922103676472</c:v>
                </c:pt>
                <c:pt idx="181">
                  <c:v>74.472941240146454</c:v>
                </c:pt>
                <c:pt idx="182">
                  <c:v>55.839708742985032</c:v>
                </c:pt>
                <c:pt idx="183">
                  <c:v>44.956935923286657</c:v>
                </c:pt>
                <c:pt idx="184">
                  <c:v>59.2190669055719</c:v>
                </c:pt>
                <c:pt idx="185">
                  <c:v>51.594253845317631</c:v>
                </c:pt>
                <c:pt idx="186">
                  <c:v>48.326420310579266</c:v>
                </c:pt>
                <c:pt idx="187">
                  <c:v>54.939169498529935</c:v>
                </c:pt>
                <c:pt idx="188">
                  <c:v>45.056219153315055</c:v>
                </c:pt>
                <c:pt idx="189">
                  <c:v>29.667340381419109</c:v>
                </c:pt>
                <c:pt idx="190">
                  <c:v>41.798281321454489</c:v>
                </c:pt>
                <c:pt idx="191">
                  <c:v>35.196294552677351</c:v>
                </c:pt>
                <c:pt idx="192">
                  <c:v>41.863900437794946</c:v>
                </c:pt>
                <c:pt idx="193">
                  <c:v>40.771791171263224</c:v>
                </c:pt>
                <c:pt idx="194">
                  <c:v>38.572538034253661</c:v>
                </c:pt>
                <c:pt idx="195">
                  <c:v>29.761553598642283</c:v>
                </c:pt>
                <c:pt idx="196">
                  <c:v>35.319538099646799</c:v>
                </c:pt>
                <c:pt idx="197">
                  <c:v>32.071031678097434</c:v>
                </c:pt>
                <c:pt idx="198">
                  <c:v>32.061142463876074</c:v>
                </c:pt>
                <c:pt idx="199">
                  <c:v>33.165716929190552</c:v>
                </c:pt>
                <c:pt idx="200">
                  <c:v>35.356335787184655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C9-4122-A521-59D6EF737AD7}"/>
            </c:ext>
          </c:extLst>
        </c:ser>
        <c:ser>
          <c:idx val="4"/>
          <c:order val="4"/>
          <c:tx>
            <c:strRef>
              <c:f>Si_Thermo_03!$A$3</c:f>
              <c:strCache>
                <c:ptCount val="1"/>
                <c:pt idx="0">
                  <c:v>Si_Thermo_05.dat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Si_Thermo_03!$A$22:$A$222</c:f>
              <c:numCache>
                <c:formatCode>General</c:formatCode>
                <c:ptCount val="201"/>
                <c:pt idx="0">
                  <c:v>68.590999999999994</c:v>
                </c:pt>
                <c:pt idx="1">
                  <c:v>68.600999999999999</c:v>
                </c:pt>
                <c:pt idx="2">
                  <c:v>68.611000000000004</c:v>
                </c:pt>
                <c:pt idx="3">
                  <c:v>68.620999999999995</c:v>
                </c:pt>
                <c:pt idx="4">
                  <c:v>68.631</c:v>
                </c:pt>
                <c:pt idx="5">
                  <c:v>68.641000000000005</c:v>
                </c:pt>
                <c:pt idx="6">
                  <c:v>68.650999999999996</c:v>
                </c:pt>
                <c:pt idx="7">
                  <c:v>68.661000000000001</c:v>
                </c:pt>
                <c:pt idx="8">
                  <c:v>68.671000000000006</c:v>
                </c:pt>
                <c:pt idx="9">
                  <c:v>68.680999999999997</c:v>
                </c:pt>
                <c:pt idx="10">
                  <c:v>68.691000000000003</c:v>
                </c:pt>
                <c:pt idx="11">
                  <c:v>68.700999999999993</c:v>
                </c:pt>
                <c:pt idx="12">
                  <c:v>68.710999999999999</c:v>
                </c:pt>
                <c:pt idx="13">
                  <c:v>68.721000000000004</c:v>
                </c:pt>
                <c:pt idx="14">
                  <c:v>68.730999999999995</c:v>
                </c:pt>
                <c:pt idx="15">
                  <c:v>68.741</c:v>
                </c:pt>
                <c:pt idx="16">
                  <c:v>68.751000000000005</c:v>
                </c:pt>
                <c:pt idx="17">
                  <c:v>68.760999999999996</c:v>
                </c:pt>
                <c:pt idx="18">
                  <c:v>68.771000000000001</c:v>
                </c:pt>
                <c:pt idx="19">
                  <c:v>68.781000000000006</c:v>
                </c:pt>
                <c:pt idx="20">
                  <c:v>68.790999999999997</c:v>
                </c:pt>
                <c:pt idx="21">
                  <c:v>68.801000000000002</c:v>
                </c:pt>
                <c:pt idx="22">
                  <c:v>68.811000000000007</c:v>
                </c:pt>
                <c:pt idx="23">
                  <c:v>68.820999999999998</c:v>
                </c:pt>
                <c:pt idx="24">
                  <c:v>68.831000000000003</c:v>
                </c:pt>
                <c:pt idx="25">
                  <c:v>68.840999999999994</c:v>
                </c:pt>
                <c:pt idx="26">
                  <c:v>68.850999999999999</c:v>
                </c:pt>
                <c:pt idx="27">
                  <c:v>68.861000000000004</c:v>
                </c:pt>
                <c:pt idx="28">
                  <c:v>68.870999999999995</c:v>
                </c:pt>
                <c:pt idx="29">
                  <c:v>68.881</c:v>
                </c:pt>
                <c:pt idx="30">
                  <c:v>68.891000000000005</c:v>
                </c:pt>
                <c:pt idx="31">
                  <c:v>68.900999999999996</c:v>
                </c:pt>
                <c:pt idx="32">
                  <c:v>68.911000000000001</c:v>
                </c:pt>
                <c:pt idx="33">
                  <c:v>68.921000000000006</c:v>
                </c:pt>
                <c:pt idx="34">
                  <c:v>68.930999999999997</c:v>
                </c:pt>
                <c:pt idx="35">
                  <c:v>68.941000000000003</c:v>
                </c:pt>
                <c:pt idx="36">
                  <c:v>68.950999999999993</c:v>
                </c:pt>
                <c:pt idx="37">
                  <c:v>68.960999999999999</c:v>
                </c:pt>
                <c:pt idx="38">
                  <c:v>68.971000000000004</c:v>
                </c:pt>
                <c:pt idx="39">
                  <c:v>68.980999999999995</c:v>
                </c:pt>
                <c:pt idx="40">
                  <c:v>68.991</c:v>
                </c:pt>
                <c:pt idx="41">
                  <c:v>69.001000000000005</c:v>
                </c:pt>
                <c:pt idx="42">
                  <c:v>69.010999999999996</c:v>
                </c:pt>
                <c:pt idx="43">
                  <c:v>69.021000000000001</c:v>
                </c:pt>
                <c:pt idx="44">
                  <c:v>69.031000000000006</c:v>
                </c:pt>
                <c:pt idx="45">
                  <c:v>69.040999999999997</c:v>
                </c:pt>
                <c:pt idx="46">
                  <c:v>69.051000000000002</c:v>
                </c:pt>
                <c:pt idx="47">
                  <c:v>69.061000000000007</c:v>
                </c:pt>
                <c:pt idx="48">
                  <c:v>69.070999999999998</c:v>
                </c:pt>
                <c:pt idx="49">
                  <c:v>69.081000000000003</c:v>
                </c:pt>
                <c:pt idx="50">
                  <c:v>69.090999999999994</c:v>
                </c:pt>
                <c:pt idx="51">
                  <c:v>69.100999999999999</c:v>
                </c:pt>
                <c:pt idx="52">
                  <c:v>69.111000000000004</c:v>
                </c:pt>
                <c:pt idx="53">
                  <c:v>69.120999999999995</c:v>
                </c:pt>
                <c:pt idx="54">
                  <c:v>69.131</c:v>
                </c:pt>
                <c:pt idx="55">
                  <c:v>69.141000000000005</c:v>
                </c:pt>
                <c:pt idx="56">
                  <c:v>69.150999999999996</c:v>
                </c:pt>
                <c:pt idx="57">
                  <c:v>69.161000000000001</c:v>
                </c:pt>
                <c:pt idx="58">
                  <c:v>69.171000000000006</c:v>
                </c:pt>
                <c:pt idx="59">
                  <c:v>69.180999999999997</c:v>
                </c:pt>
                <c:pt idx="60">
                  <c:v>69.191000000000003</c:v>
                </c:pt>
                <c:pt idx="61">
                  <c:v>69.200999999999993</c:v>
                </c:pt>
                <c:pt idx="62">
                  <c:v>69.210999999999999</c:v>
                </c:pt>
                <c:pt idx="63">
                  <c:v>69.221000000000004</c:v>
                </c:pt>
                <c:pt idx="64">
                  <c:v>69.230999999999995</c:v>
                </c:pt>
                <c:pt idx="65">
                  <c:v>69.241</c:v>
                </c:pt>
                <c:pt idx="66">
                  <c:v>69.251000000000005</c:v>
                </c:pt>
                <c:pt idx="67">
                  <c:v>69.260999999999996</c:v>
                </c:pt>
                <c:pt idx="68">
                  <c:v>69.271000000000001</c:v>
                </c:pt>
                <c:pt idx="69">
                  <c:v>69.281000000000006</c:v>
                </c:pt>
                <c:pt idx="70">
                  <c:v>69.290999999999997</c:v>
                </c:pt>
                <c:pt idx="71">
                  <c:v>69.301000000000002</c:v>
                </c:pt>
                <c:pt idx="72">
                  <c:v>69.311000000000007</c:v>
                </c:pt>
                <c:pt idx="73">
                  <c:v>69.320999999999998</c:v>
                </c:pt>
                <c:pt idx="74">
                  <c:v>69.331000000000003</c:v>
                </c:pt>
                <c:pt idx="75">
                  <c:v>69.340999999999994</c:v>
                </c:pt>
                <c:pt idx="76">
                  <c:v>69.350999999999999</c:v>
                </c:pt>
                <c:pt idx="77">
                  <c:v>69.361000000000004</c:v>
                </c:pt>
                <c:pt idx="78">
                  <c:v>69.370999999999995</c:v>
                </c:pt>
                <c:pt idx="79">
                  <c:v>69.381</c:v>
                </c:pt>
                <c:pt idx="80">
                  <c:v>69.391000000000005</c:v>
                </c:pt>
                <c:pt idx="81">
                  <c:v>69.400999999999996</c:v>
                </c:pt>
                <c:pt idx="82">
                  <c:v>69.411000000000001</c:v>
                </c:pt>
                <c:pt idx="83">
                  <c:v>69.421000000000006</c:v>
                </c:pt>
                <c:pt idx="84">
                  <c:v>69.430999999999997</c:v>
                </c:pt>
                <c:pt idx="85">
                  <c:v>69.441000000000003</c:v>
                </c:pt>
                <c:pt idx="86">
                  <c:v>69.450999999999993</c:v>
                </c:pt>
                <c:pt idx="87">
                  <c:v>69.460999999999999</c:v>
                </c:pt>
                <c:pt idx="88">
                  <c:v>69.471000000000004</c:v>
                </c:pt>
                <c:pt idx="89">
                  <c:v>69.480999999999995</c:v>
                </c:pt>
                <c:pt idx="90">
                  <c:v>69.491</c:v>
                </c:pt>
                <c:pt idx="91">
                  <c:v>69.501000000000005</c:v>
                </c:pt>
                <c:pt idx="92">
                  <c:v>69.510999999999996</c:v>
                </c:pt>
                <c:pt idx="93">
                  <c:v>69.521000000000001</c:v>
                </c:pt>
                <c:pt idx="94">
                  <c:v>69.531000000000006</c:v>
                </c:pt>
                <c:pt idx="95">
                  <c:v>69.540999999999997</c:v>
                </c:pt>
                <c:pt idx="96">
                  <c:v>69.551000000000002</c:v>
                </c:pt>
                <c:pt idx="97">
                  <c:v>69.561000000000007</c:v>
                </c:pt>
                <c:pt idx="98">
                  <c:v>69.570999999999998</c:v>
                </c:pt>
                <c:pt idx="99">
                  <c:v>69.581000000000003</c:v>
                </c:pt>
                <c:pt idx="100">
                  <c:v>69.590999999999994</c:v>
                </c:pt>
                <c:pt idx="101">
                  <c:v>69.600999999999999</c:v>
                </c:pt>
                <c:pt idx="102">
                  <c:v>69.611000000000004</c:v>
                </c:pt>
                <c:pt idx="103">
                  <c:v>69.620999999999995</c:v>
                </c:pt>
                <c:pt idx="104">
                  <c:v>69.631</c:v>
                </c:pt>
                <c:pt idx="105">
                  <c:v>69.641000000000005</c:v>
                </c:pt>
                <c:pt idx="106">
                  <c:v>69.650999999999996</c:v>
                </c:pt>
                <c:pt idx="107">
                  <c:v>69.661000000000001</c:v>
                </c:pt>
                <c:pt idx="108">
                  <c:v>69.671000000000006</c:v>
                </c:pt>
                <c:pt idx="109">
                  <c:v>69.680999999999997</c:v>
                </c:pt>
                <c:pt idx="110">
                  <c:v>69.691000000000003</c:v>
                </c:pt>
                <c:pt idx="111">
                  <c:v>69.700999999999993</c:v>
                </c:pt>
                <c:pt idx="112">
                  <c:v>69.710999999999999</c:v>
                </c:pt>
                <c:pt idx="113">
                  <c:v>69.721000000000004</c:v>
                </c:pt>
                <c:pt idx="114">
                  <c:v>69.730999999999995</c:v>
                </c:pt>
                <c:pt idx="115">
                  <c:v>69.741</c:v>
                </c:pt>
                <c:pt idx="116">
                  <c:v>69.751000000000005</c:v>
                </c:pt>
                <c:pt idx="117">
                  <c:v>69.760999999999996</c:v>
                </c:pt>
                <c:pt idx="118">
                  <c:v>69.771000000000001</c:v>
                </c:pt>
                <c:pt idx="119">
                  <c:v>69.781000000000006</c:v>
                </c:pt>
                <c:pt idx="120">
                  <c:v>69.790999999999997</c:v>
                </c:pt>
                <c:pt idx="121">
                  <c:v>69.801000000000002</c:v>
                </c:pt>
                <c:pt idx="122">
                  <c:v>69.811000000000007</c:v>
                </c:pt>
                <c:pt idx="123">
                  <c:v>69.820999999999998</c:v>
                </c:pt>
                <c:pt idx="124">
                  <c:v>69.831000000000003</c:v>
                </c:pt>
                <c:pt idx="125">
                  <c:v>69.840999999999994</c:v>
                </c:pt>
                <c:pt idx="126">
                  <c:v>69.850999999999999</c:v>
                </c:pt>
                <c:pt idx="127">
                  <c:v>69.861000000000004</c:v>
                </c:pt>
                <c:pt idx="128">
                  <c:v>69.870999999999995</c:v>
                </c:pt>
                <c:pt idx="129">
                  <c:v>69.881</c:v>
                </c:pt>
                <c:pt idx="130">
                  <c:v>69.891000000000005</c:v>
                </c:pt>
                <c:pt idx="131">
                  <c:v>69.900999999999996</c:v>
                </c:pt>
                <c:pt idx="132">
                  <c:v>69.911000000000001</c:v>
                </c:pt>
                <c:pt idx="133">
                  <c:v>69.921000000000006</c:v>
                </c:pt>
                <c:pt idx="134">
                  <c:v>69.930999999999997</c:v>
                </c:pt>
                <c:pt idx="135">
                  <c:v>69.941000000000003</c:v>
                </c:pt>
                <c:pt idx="136">
                  <c:v>69.950999999999993</c:v>
                </c:pt>
                <c:pt idx="137">
                  <c:v>69.960999999999999</c:v>
                </c:pt>
                <c:pt idx="138">
                  <c:v>69.971000000000004</c:v>
                </c:pt>
                <c:pt idx="139">
                  <c:v>69.980999999999995</c:v>
                </c:pt>
                <c:pt idx="140">
                  <c:v>69.991</c:v>
                </c:pt>
                <c:pt idx="141">
                  <c:v>70.001000000000005</c:v>
                </c:pt>
                <c:pt idx="142">
                  <c:v>70.010999999999996</c:v>
                </c:pt>
                <c:pt idx="143">
                  <c:v>70.021000000000001</c:v>
                </c:pt>
                <c:pt idx="144">
                  <c:v>70.031000000000006</c:v>
                </c:pt>
                <c:pt idx="145">
                  <c:v>70.040999999999997</c:v>
                </c:pt>
                <c:pt idx="146">
                  <c:v>70.051000000000002</c:v>
                </c:pt>
                <c:pt idx="147">
                  <c:v>70.061000000000007</c:v>
                </c:pt>
                <c:pt idx="148">
                  <c:v>70.070999999999998</c:v>
                </c:pt>
                <c:pt idx="149">
                  <c:v>70.081000000000003</c:v>
                </c:pt>
                <c:pt idx="150">
                  <c:v>70.090999999999994</c:v>
                </c:pt>
                <c:pt idx="151">
                  <c:v>70.100999999999999</c:v>
                </c:pt>
                <c:pt idx="152">
                  <c:v>70.111000000000004</c:v>
                </c:pt>
                <c:pt idx="153">
                  <c:v>70.120999999999995</c:v>
                </c:pt>
                <c:pt idx="154">
                  <c:v>70.131</c:v>
                </c:pt>
                <c:pt idx="155">
                  <c:v>70.141000000000005</c:v>
                </c:pt>
                <c:pt idx="156">
                  <c:v>70.150999999999996</c:v>
                </c:pt>
                <c:pt idx="157">
                  <c:v>70.161000000000001</c:v>
                </c:pt>
                <c:pt idx="158">
                  <c:v>70.171000000000006</c:v>
                </c:pt>
                <c:pt idx="159">
                  <c:v>70.180999999999997</c:v>
                </c:pt>
                <c:pt idx="160">
                  <c:v>70.191000000000003</c:v>
                </c:pt>
                <c:pt idx="161">
                  <c:v>70.200999999999993</c:v>
                </c:pt>
                <c:pt idx="162">
                  <c:v>70.210999999999999</c:v>
                </c:pt>
                <c:pt idx="163">
                  <c:v>70.221000000000004</c:v>
                </c:pt>
                <c:pt idx="164">
                  <c:v>70.230999999999995</c:v>
                </c:pt>
                <c:pt idx="165">
                  <c:v>70.241</c:v>
                </c:pt>
                <c:pt idx="166">
                  <c:v>70.251000000000005</c:v>
                </c:pt>
                <c:pt idx="167">
                  <c:v>70.260999999999996</c:v>
                </c:pt>
                <c:pt idx="168">
                  <c:v>70.271000000000001</c:v>
                </c:pt>
                <c:pt idx="169">
                  <c:v>70.281000000000006</c:v>
                </c:pt>
                <c:pt idx="170">
                  <c:v>70.290999999999997</c:v>
                </c:pt>
                <c:pt idx="171">
                  <c:v>70.301000000000002</c:v>
                </c:pt>
                <c:pt idx="172">
                  <c:v>70.311000000000007</c:v>
                </c:pt>
                <c:pt idx="173">
                  <c:v>70.320999999999998</c:v>
                </c:pt>
                <c:pt idx="174">
                  <c:v>70.331000000000003</c:v>
                </c:pt>
                <c:pt idx="175">
                  <c:v>70.340999999999994</c:v>
                </c:pt>
                <c:pt idx="176">
                  <c:v>70.350999999999999</c:v>
                </c:pt>
                <c:pt idx="177">
                  <c:v>70.361000000000004</c:v>
                </c:pt>
                <c:pt idx="178">
                  <c:v>70.370999999999995</c:v>
                </c:pt>
                <c:pt idx="179">
                  <c:v>70.381</c:v>
                </c:pt>
                <c:pt idx="180">
                  <c:v>70.391000000000005</c:v>
                </c:pt>
                <c:pt idx="181">
                  <c:v>70.400999999999996</c:v>
                </c:pt>
                <c:pt idx="182">
                  <c:v>70.411000000000001</c:v>
                </c:pt>
                <c:pt idx="183">
                  <c:v>70.421000000000006</c:v>
                </c:pt>
                <c:pt idx="184">
                  <c:v>70.430999999999997</c:v>
                </c:pt>
                <c:pt idx="185">
                  <c:v>70.441000000000003</c:v>
                </c:pt>
                <c:pt idx="186">
                  <c:v>70.450999999999993</c:v>
                </c:pt>
                <c:pt idx="187">
                  <c:v>70.460999999999999</c:v>
                </c:pt>
                <c:pt idx="188">
                  <c:v>70.471000000000004</c:v>
                </c:pt>
                <c:pt idx="189">
                  <c:v>70.480999999999995</c:v>
                </c:pt>
                <c:pt idx="190">
                  <c:v>70.491</c:v>
                </c:pt>
                <c:pt idx="191">
                  <c:v>70.501000000000005</c:v>
                </c:pt>
                <c:pt idx="192">
                  <c:v>70.510999999999996</c:v>
                </c:pt>
                <c:pt idx="193">
                  <c:v>70.521000000000001</c:v>
                </c:pt>
                <c:pt idx="194">
                  <c:v>70.531000000000006</c:v>
                </c:pt>
                <c:pt idx="195">
                  <c:v>70.540999999999997</c:v>
                </c:pt>
                <c:pt idx="196">
                  <c:v>70.551000000000002</c:v>
                </c:pt>
                <c:pt idx="197">
                  <c:v>70.561000000000007</c:v>
                </c:pt>
                <c:pt idx="198">
                  <c:v>70.570999999999998</c:v>
                </c:pt>
                <c:pt idx="199">
                  <c:v>70.581000000000003</c:v>
                </c:pt>
                <c:pt idx="200">
                  <c:v>70.590999999999994</c:v>
                </c:pt>
              </c:numCache>
            </c:numRef>
          </c:xVal>
          <c:yVal>
            <c:numRef>
              <c:f>Si_Thermo_03!$E$22:$E$222</c:f>
              <c:numCache>
                <c:formatCode>General</c:formatCode>
                <c:ptCount val="201"/>
                <c:pt idx="0">
                  <c:v>43.749816946319399</c:v>
                </c:pt>
                <c:pt idx="1">
                  <c:v>43.762538961334002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65.86223201028811</c:v>
                </c:pt>
                <c:pt idx="6">
                  <c:v>43.932107434529662</c:v>
                </c:pt>
                <c:pt idx="7">
                  <c:v>43.998072282992517</c:v>
                </c:pt>
                <c:pt idx="8">
                  <c:v>65.933979063660601</c:v>
                </c:pt>
                <c:pt idx="9">
                  <c:v>87.927702022345954</c:v>
                </c:pt>
                <c:pt idx="10">
                  <c:v>43.993530482190096</c:v>
                </c:pt>
                <c:pt idx="11">
                  <c:v>43.959998429950701</c:v>
                </c:pt>
                <c:pt idx="12">
                  <c:v>0</c:v>
                </c:pt>
                <c:pt idx="13">
                  <c:v>43.954421409834929</c:v>
                </c:pt>
                <c:pt idx="14">
                  <c:v>21.995429045383901</c:v>
                </c:pt>
                <c:pt idx="15">
                  <c:v>43.969731512342456</c:v>
                </c:pt>
                <c:pt idx="16">
                  <c:v>109.78034578248767</c:v>
                </c:pt>
                <c:pt idx="17">
                  <c:v>65.887792954053126</c:v>
                </c:pt>
                <c:pt idx="18">
                  <c:v>65.938372519702725</c:v>
                </c:pt>
                <c:pt idx="19">
                  <c:v>0</c:v>
                </c:pt>
                <c:pt idx="20">
                  <c:v>109.91655117762308</c:v>
                </c:pt>
                <c:pt idx="21">
                  <c:v>65.899543824711188</c:v>
                </c:pt>
                <c:pt idx="22">
                  <c:v>43.931305916454008</c:v>
                </c:pt>
                <c:pt idx="23">
                  <c:v>43.955364187938819</c:v>
                </c:pt>
                <c:pt idx="24">
                  <c:v>65.926337048955304</c:v>
                </c:pt>
                <c:pt idx="25">
                  <c:v>43.935193552198179</c:v>
                </c:pt>
                <c:pt idx="26">
                  <c:v>21.966434451896056</c:v>
                </c:pt>
                <c:pt idx="27">
                  <c:v>65.861031043821669</c:v>
                </c:pt>
                <c:pt idx="28">
                  <c:v>0</c:v>
                </c:pt>
                <c:pt idx="29">
                  <c:v>175.78054481454362</c:v>
                </c:pt>
                <c:pt idx="30">
                  <c:v>131.8285517975755</c:v>
                </c:pt>
                <c:pt idx="31">
                  <c:v>109.92277317215689</c:v>
                </c:pt>
                <c:pt idx="32">
                  <c:v>65.924802842229525</c:v>
                </c:pt>
                <c:pt idx="33">
                  <c:v>153.8448980001634</c:v>
                </c:pt>
                <c:pt idx="34">
                  <c:v>87.982519866798029</c:v>
                </c:pt>
                <c:pt idx="35">
                  <c:v>175.9395663662095</c:v>
                </c:pt>
                <c:pt idx="36">
                  <c:v>131.78393978685685</c:v>
                </c:pt>
                <c:pt idx="37">
                  <c:v>109.72556809145787</c:v>
                </c:pt>
                <c:pt idx="38">
                  <c:v>65.863012661978743</c:v>
                </c:pt>
                <c:pt idx="39">
                  <c:v>197.76240662294927</c:v>
                </c:pt>
                <c:pt idx="40">
                  <c:v>65.924351618546638</c:v>
                </c:pt>
                <c:pt idx="41">
                  <c:v>153.72058745071254</c:v>
                </c:pt>
                <c:pt idx="42">
                  <c:v>87.790295640744844</c:v>
                </c:pt>
                <c:pt idx="43">
                  <c:v>197.664009872566</c:v>
                </c:pt>
                <c:pt idx="44">
                  <c:v>153.81457351296575</c:v>
                </c:pt>
                <c:pt idx="45">
                  <c:v>197.61273088370464</c:v>
                </c:pt>
                <c:pt idx="46">
                  <c:v>131.81790710596403</c:v>
                </c:pt>
                <c:pt idx="47">
                  <c:v>241.90640901350721</c:v>
                </c:pt>
                <c:pt idx="48">
                  <c:v>351.94518953686531</c:v>
                </c:pt>
                <c:pt idx="49">
                  <c:v>198.17455216831101</c:v>
                </c:pt>
                <c:pt idx="50">
                  <c:v>440.5254638766454</c:v>
                </c:pt>
                <c:pt idx="51">
                  <c:v>374.2566411933874</c:v>
                </c:pt>
                <c:pt idx="52">
                  <c:v>264.15773169722746</c:v>
                </c:pt>
                <c:pt idx="53">
                  <c:v>286.68417042235598</c:v>
                </c:pt>
                <c:pt idx="54">
                  <c:v>330.49144304951079</c:v>
                </c:pt>
                <c:pt idx="55">
                  <c:v>374.50128448391013</c:v>
                </c:pt>
                <c:pt idx="56">
                  <c:v>352.93821783865269</c:v>
                </c:pt>
                <c:pt idx="57">
                  <c:v>440.95342695037152</c:v>
                </c:pt>
                <c:pt idx="58">
                  <c:v>330.72642607363565</c:v>
                </c:pt>
                <c:pt idx="59">
                  <c:v>507.15820208853114</c:v>
                </c:pt>
                <c:pt idx="60">
                  <c:v>485.03766677241953</c:v>
                </c:pt>
                <c:pt idx="61">
                  <c:v>419.03275330447929</c:v>
                </c:pt>
                <c:pt idx="62">
                  <c:v>418.88446896172866</c:v>
                </c:pt>
                <c:pt idx="63">
                  <c:v>639.12439529904077</c:v>
                </c:pt>
                <c:pt idx="64">
                  <c:v>507.04885341868646</c:v>
                </c:pt>
                <c:pt idx="65">
                  <c:v>682.90848401955998</c:v>
                </c:pt>
                <c:pt idx="66">
                  <c:v>462.96379479643764</c:v>
                </c:pt>
                <c:pt idx="67">
                  <c:v>440.08184171268135</c:v>
                </c:pt>
                <c:pt idx="68">
                  <c:v>770.90686854060493</c:v>
                </c:pt>
                <c:pt idx="69">
                  <c:v>859.29858801288742</c:v>
                </c:pt>
                <c:pt idx="70">
                  <c:v>969.63365050834341</c:v>
                </c:pt>
                <c:pt idx="71">
                  <c:v>704.69989317959005</c:v>
                </c:pt>
                <c:pt idx="72">
                  <c:v>924.31250268475458</c:v>
                </c:pt>
                <c:pt idx="73">
                  <c:v>923.57601618610181</c:v>
                </c:pt>
                <c:pt idx="74">
                  <c:v>1341.0449766523127</c:v>
                </c:pt>
                <c:pt idx="75">
                  <c:v>1076.9059311460239</c:v>
                </c:pt>
                <c:pt idx="76">
                  <c:v>1627.4595691104323</c:v>
                </c:pt>
                <c:pt idx="77">
                  <c:v>1473.6607658461239</c:v>
                </c:pt>
                <c:pt idx="78">
                  <c:v>1363.8467889723872</c:v>
                </c:pt>
                <c:pt idx="79">
                  <c:v>1629.5335556813516</c:v>
                </c:pt>
                <c:pt idx="80">
                  <c:v>1914.1294939772688</c:v>
                </c:pt>
                <c:pt idx="81">
                  <c:v>1828.595502569862</c:v>
                </c:pt>
                <c:pt idx="82">
                  <c:v>2469.527998893835</c:v>
                </c:pt>
                <c:pt idx="83">
                  <c:v>2753.0877169553919</c:v>
                </c:pt>
                <c:pt idx="84">
                  <c:v>3174.4693711917407</c:v>
                </c:pt>
                <c:pt idx="85">
                  <c:v>3707.1757619856467</c:v>
                </c:pt>
                <c:pt idx="86">
                  <c:v>3622.0297898275799</c:v>
                </c:pt>
                <c:pt idx="87">
                  <c:v>4371.6011883312476</c:v>
                </c:pt>
                <c:pt idx="88">
                  <c:v>6094.7781777763721</c:v>
                </c:pt>
                <c:pt idx="89">
                  <c:v>6677.7363857880055</c:v>
                </c:pt>
                <c:pt idx="90">
                  <c:v>8973.563663583589</c:v>
                </c:pt>
                <c:pt idx="91">
                  <c:v>9158.5959872830026</c:v>
                </c:pt>
                <c:pt idx="92">
                  <c:v>12455.023066382286</c:v>
                </c:pt>
                <c:pt idx="93">
                  <c:v>16225.755821478937</c:v>
                </c:pt>
                <c:pt idx="94">
                  <c:v>22407.279490752695</c:v>
                </c:pt>
                <c:pt idx="95">
                  <c:v>35163.197956665186</c:v>
                </c:pt>
                <c:pt idx="96">
                  <c:v>57823.592386712327</c:v>
                </c:pt>
                <c:pt idx="97">
                  <c:v>115239.06262303985</c:v>
                </c:pt>
                <c:pt idx="98">
                  <c:v>396136.42415496742</c:v>
                </c:pt>
                <c:pt idx="99">
                  <c:v>23210386.39656442</c:v>
                </c:pt>
                <c:pt idx="100">
                  <c:v>48484087.715277337</c:v>
                </c:pt>
                <c:pt idx="101">
                  <c:v>743472.37684981013</c:v>
                </c:pt>
                <c:pt idx="102">
                  <c:v>127330.85251298654</c:v>
                </c:pt>
                <c:pt idx="103">
                  <c:v>55880.389989694464</c:v>
                </c:pt>
                <c:pt idx="104">
                  <c:v>32610.147745695653</c:v>
                </c:pt>
                <c:pt idx="105">
                  <c:v>20236.522862260688</c:v>
                </c:pt>
                <c:pt idx="106">
                  <c:v>15334.669619131168</c:v>
                </c:pt>
                <c:pt idx="107">
                  <c:v>10650.655271915432</c:v>
                </c:pt>
                <c:pt idx="108">
                  <c:v>6899.8302639059621</c:v>
                </c:pt>
                <c:pt idx="109">
                  <c:v>5603.728420897005</c:v>
                </c:pt>
                <c:pt idx="110">
                  <c:v>4839.6729902200377</c:v>
                </c:pt>
                <c:pt idx="111">
                  <c:v>4292.6494751724558</c:v>
                </c:pt>
                <c:pt idx="112">
                  <c:v>3256.6815171957501</c:v>
                </c:pt>
                <c:pt idx="113">
                  <c:v>3083.5329844675134</c:v>
                </c:pt>
                <c:pt idx="114">
                  <c:v>2518.8440272013463</c:v>
                </c:pt>
                <c:pt idx="115">
                  <c:v>2277.3764583324728</c:v>
                </c:pt>
                <c:pt idx="116">
                  <c:v>1635.0878669880199</c:v>
                </c:pt>
                <c:pt idx="117">
                  <c:v>1280.0882242277953</c:v>
                </c:pt>
                <c:pt idx="118">
                  <c:v>1438.2543342190229</c:v>
                </c:pt>
                <c:pt idx="119">
                  <c:v>1415.2501524468641</c:v>
                </c:pt>
                <c:pt idx="120">
                  <c:v>1081.824693998899</c:v>
                </c:pt>
                <c:pt idx="121">
                  <c:v>1326.2538027263965</c:v>
                </c:pt>
                <c:pt idx="122">
                  <c:v>1039.0809982748158</c:v>
                </c:pt>
                <c:pt idx="123">
                  <c:v>1037.6662054712629</c:v>
                </c:pt>
                <c:pt idx="124">
                  <c:v>729.29063371184577</c:v>
                </c:pt>
                <c:pt idx="125">
                  <c:v>817.18437031642395</c:v>
                </c:pt>
                <c:pt idx="126">
                  <c:v>663.49721972698774</c:v>
                </c:pt>
                <c:pt idx="127">
                  <c:v>641.28787551100913</c:v>
                </c:pt>
                <c:pt idx="128">
                  <c:v>354.04842863555933</c:v>
                </c:pt>
                <c:pt idx="129">
                  <c:v>354.04094554179534</c:v>
                </c:pt>
                <c:pt idx="130">
                  <c:v>508.80294152909352</c:v>
                </c:pt>
                <c:pt idx="131">
                  <c:v>464.80068589854363</c:v>
                </c:pt>
                <c:pt idx="132">
                  <c:v>375.58676358191263</c:v>
                </c:pt>
                <c:pt idx="133">
                  <c:v>530.14188015840909</c:v>
                </c:pt>
                <c:pt idx="134">
                  <c:v>198.91186776240519</c:v>
                </c:pt>
                <c:pt idx="135">
                  <c:v>375.90856087584967</c:v>
                </c:pt>
                <c:pt idx="136">
                  <c:v>287.35947501819925</c:v>
                </c:pt>
                <c:pt idx="137">
                  <c:v>110.34899424819865</c:v>
                </c:pt>
                <c:pt idx="138">
                  <c:v>220.79836523380101</c:v>
                </c:pt>
                <c:pt idx="139">
                  <c:v>154.42518283367579</c:v>
                </c:pt>
                <c:pt idx="140">
                  <c:v>220.60619136814498</c:v>
                </c:pt>
                <c:pt idx="141">
                  <c:v>88.054106707708684</c:v>
                </c:pt>
                <c:pt idx="142">
                  <c:v>176.19954787077134</c:v>
                </c:pt>
                <c:pt idx="143">
                  <c:v>176.20027312632689</c:v>
                </c:pt>
                <c:pt idx="144">
                  <c:v>308.0012791152908</c:v>
                </c:pt>
                <c:pt idx="145">
                  <c:v>198.21986797731998</c:v>
                </c:pt>
                <c:pt idx="146">
                  <c:v>88.094939183587044</c:v>
                </c:pt>
                <c:pt idx="147">
                  <c:v>44.053130697197467</c:v>
                </c:pt>
                <c:pt idx="148">
                  <c:v>110.1264298477619</c:v>
                </c:pt>
                <c:pt idx="149">
                  <c:v>176.40390291253246</c:v>
                </c:pt>
                <c:pt idx="150">
                  <c:v>44.036675217938566</c:v>
                </c:pt>
                <c:pt idx="151">
                  <c:v>154.44308214163655</c:v>
                </c:pt>
                <c:pt idx="152">
                  <c:v>132.32346630971423</c:v>
                </c:pt>
                <c:pt idx="153">
                  <c:v>22.05991176674025</c:v>
                </c:pt>
                <c:pt idx="154">
                  <c:v>44.161880020064217</c:v>
                </c:pt>
                <c:pt idx="155">
                  <c:v>44.149147402374467</c:v>
                </c:pt>
                <c:pt idx="156">
                  <c:v>44.216821650764274</c:v>
                </c:pt>
                <c:pt idx="157">
                  <c:v>44.218465921742059</c:v>
                </c:pt>
                <c:pt idx="158">
                  <c:v>66.281355030210165</c:v>
                </c:pt>
                <c:pt idx="159">
                  <c:v>44.252312269789542</c:v>
                </c:pt>
                <c:pt idx="160">
                  <c:v>0</c:v>
                </c:pt>
                <c:pt idx="161">
                  <c:v>44.310862989467097</c:v>
                </c:pt>
                <c:pt idx="162">
                  <c:v>88.600285807456672</c:v>
                </c:pt>
                <c:pt idx="163">
                  <c:v>22.146485951301035</c:v>
                </c:pt>
                <c:pt idx="164">
                  <c:v>22.180155873919169</c:v>
                </c:pt>
                <c:pt idx="165">
                  <c:v>66.503712412115021</c:v>
                </c:pt>
                <c:pt idx="166">
                  <c:v>88.728347027916868</c:v>
                </c:pt>
                <c:pt idx="167">
                  <c:v>44.316000686477906</c:v>
                </c:pt>
                <c:pt idx="168">
                  <c:v>0</c:v>
                </c:pt>
                <c:pt idx="169">
                  <c:v>22.162303479397753</c:v>
                </c:pt>
                <c:pt idx="170">
                  <c:v>22.174089572140804</c:v>
                </c:pt>
                <c:pt idx="171">
                  <c:v>132.95479229301773</c:v>
                </c:pt>
                <c:pt idx="172">
                  <c:v>22.155176681127486</c:v>
                </c:pt>
                <c:pt idx="173">
                  <c:v>66.407544994732461</c:v>
                </c:pt>
                <c:pt idx="174">
                  <c:v>44.235281042023466</c:v>
                </c:pt>
                <c:pt idx="175">
                  <c:v>0</c:v>
                </c:pt>
                <c:pt idx="176">
                  <c:v>44.171763486523801</c:v>
                </c:pt>
                <c:pt idx="177">
                  <c:v>22.093592427384991</c:v>
                </c:pt>
                <c:pt idx="178">
                  <c:v>22.104595293262292</c:v>
                </c:pt>
                <c:pt idx="179">
                  <c:v>0</c:v>
                </c:pt>
                <c:pt idx="180">
                  <c:v>22.099635041688217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22.154534576835548</c:v>
                </c:pt>
                <c:pt idx="187">
                  <c:v>22.131179151920893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44.322546859497898</c:v>
                </c:pt>
                <c:pt idx="192">
                  <c:v>0</c:v>
                </c:pt>
                <c:pt idx="193">
                  <c:v>0</c:v>
                </c:pt>
                <c:pt idx="194">
                  <c:v>66.500406434834645</c:v>
                </c:pt>
                <c:pt idx="195">
                  <c:v>44.333298198212717</c:v>
                </c:pt>
                <c:pt idx="196">
                  <c:v>0</c:v>
                </c:pt>
                <c:pt idx="197">
                  <c:v>22.174732810473287</c:v>
                </c:pt>
                <c:pt idx="198">
                  <c:v>0</c:v>
                </c:pt>
                <c:pt idx="199">
                  <c:v>0</c:v>
                </c:pt>
                <c:pt idx="200">
                  <c:v>22.157123605761956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C9-4122-A521-59D6EF737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RoughTEOS_02!$A$3</c15:sqref>
                        </c15:formulaRef>
                      </c:ext>
                    </c:extLst>
                    <c:strCache>
                      <c:ptCount val="1"/>
                      <c:pt idx="0">
                        <c:v>RoughTEOS_02.dat</c:v>
                      </c:pt>
                    </c:strCache>
                  </c:strRef>
                </c:tx>
                <c:spPr>
                  <a:ln w="1270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rgbClr val="00B050"/>
                    </a:solidFill>
                    <a:ln w="9525">
                      <a:solidFill>
                        <a:srgbClr val="00B05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RoughTEOS_02!$A$22:$A$222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68.588399999999993</c:v>
                      </c:pt>
                      <c:pt idx="1">
                        <c:v>68.598399999999998</c:v>
                      </c:pt>
                      <c:pt idx="2">
                        <c:v>68.608400000000003</c:v>
                      </c:pt>
                      <c:pt idx="3">
                        <c:v>68.618399999999994</c:v>
                      </c:pt>
                      <c:pt idx="4">
                        <c:v>68.628399999999999</c:v>
                      </c:pt>
                      <c:pt idx="5">
                        <c:v>68.638400000000004</c:v>
                      </c:pt>
                      <c:pt idx="6">
                        <c:v>68.648399999999995</c:v>
                      </c:pt>
                      <c:pt idx="7">
                        <c:v>68.6584</c:v>
                      </c:pt>
                      <c:pt idx="8">
                        <c:v>68.668400000000005</c:v>
                      </c:pt>
                      <c:pt idx="9">
                        <c:v>68.678399999999996</c:v>
                      </c:pt>
                      <c:pt idx="10">
                        <c:v>68.688400000000001</c:v>
                      </c:pt>
                      <c:pt idx="11">
                        <c:v>68.698400000000007</c:v>
                      </c:pt>
                      <c:pt idx="12">
                        <c:v>68.708399999999997</c:v>
                      </c:pt>
                      <c:pt idx="13">
                        <c:v>68.718400000000003</c:v>
                      </c:pt>
                      <c:pt idx="14">
                        <c:v>68.728399999999993</c:v>
                      </c:pt>
                      <c:pt idx="15">
                        <c:v>68.738399999999999</c:v>
                      </c:pt>
                      <c:pt idx="16">
                        <c:v>68.748400000000004</c:v>
                      </c:pt>
                      <c:pt idx="17">
                        <c:v>68.758399999999995</c:v>
                      </c:pt>
                      <c:pt idx="18">
                        <c:v>68.7684</c:v>
                      </c:pt>
                      <c:pt idx="19">
                        <c:v>68.778400000000005</c:v>
                      </c:pt>
                      <c:pt idx="20">
                        <c:v>68.788399999999996</c:v>
                      </c:pt>
                      <c:pt idx="21">
                        <c:v>68.798400000000001</c:v>
                      </c:pt>
                      <c:pt idx="22">
                        <c:v>68.808400000000006</c:v>
                      </c:pt>
                      <c:pt idx="23">
                        <c:v>68.818399999999997</c:v>
                      </c:pt>
                      <c:pt idx="24">
                        <c:v>68.828400000000002</c:v>
                      </c:pt>
                      <c:pt idx="25">
                        <c:v>68.838399999999993</c:v>
                      </c:pt>
                      <c:pt idx="26">
                        <c:v>68.848399999999998</c:v>
                      </c:pt>
                      <c:pt idx="27">
                        <c:v>68.858400000000003</c:v>
                      </c:pt>
                      <c:pt idx="28">
                        <c:v>68.868399999999994</c:v>
                      </c:pt>
                      <c:pt idx="29">
                        <c:v>68.878399999999999</c:v>
                      </c:pt>
                      <c:pt idx="30">
                        <c:v>68.888400000000004</c:v>
                      </c:pt>
                      <c:pt idx="31">
                        <c:v>68.898399999999995</c:v>
                      </c:pt>
                      <c:pt idx="32">
                        <c:v>68.9084</c:v>
                      </c:pt>
                      <c:pt idx="33">
                        <c:v>68.918400000000005</c:v>
                      </c:pt>
                      <c:pt idx="34">
                        <c:v>68.928399999999996</c:v>
                      </c:pt>
                      <c:pt idx="35">
                        <c:v>68.938400000000001</c:v>
                      </c:pt>
                      <c:pt idx="36">
                        <c:v>68.948400000000007</c:v>
                      </c:pt>
                      <c:pt idx="37">
                        <c:v>68.958399999999997</c:v>
                      </c:pt>
                      <c:pt idx="38">
                        <c:v>68.968400000000003</c:v>
                      </c:pt>
                      <c:pt idx="39">
                        <c:v>68.978399999999993</c:v>
                      </c:pt>
                      <c:pt idx="40">
                        <c:v>68.988399999999999</c:v>
                      </c:pt>
                      <c:pt idx="41">
                        <c:v>68.998400000000004</c:v>
                      </c:pt>
                      <c:pt idx="42">
                        <c:v>69.008399999999995</c:v>
                      </c:pt>
                      <c:pt idx="43">
                        <c:v>69.0184</c:v>
                      </c:pt>
                      <c:pt idx="44">
                        <c:v>69.028400000000005</c:v>
                      </c:pt>
                      <c:pt idx="45">
                        <c:v>69.038399999999996</c:v>
                      </c:pt>
                      <c:pt idx="46">
                        <c:v>69.048400000000001</c:v>
                      </c:pt>
                      <c:pt idx="47">
                        <c:v>69.058400000000006</c:v>
                      </c:pt>
                      <c:pt idx="48">
                        <c:v>69.068399999999997</c:v>
                      </c:pt>
                      <c:pt idx="49">
                        <c:v>69.078400000000002</c:v>
                      </c:pt>
                      <c:pt idx="50">
                        <c:v>69.088399999999993</c:v>
                      </c:pt>
                      <c:pt idx="51">
                        <c:v>69.098399999999998</c:v>
                      </c:pt>
                      <c:pt idx="52">
                        <c:v>69.108400000000003</c:v>
                      </c:pt>
                      <c:pt idx="53">
                        <c:v>69.118399999999994</c:v>
                      </c:pt>
                      <c:pt idx="54">
                        <c:v>69.128399999999999</c:v>
                      </c:pt>
                      <c:pt idx="55">
                        <c:v>69.138400000000004</c:v>
                      </c:pt>
                      <c:pt idx="56">
                        <c:v>69.148399999999995</c:v>
                      </c:pt>
                      <c:pt idx="57">
                        <c:v>69.1584</c:v>
                      </c:pt>
                      <c:pt idx="58">
                        <c:v>69.168400000000005</c:v>
                      </c:pt>
                      <c:pt idx="59">
                        <c:v>69.178399999999996</c:v>
                      </c:pt>
                      <c:pt idx="60">
                        <c:v>69.188400000000001</c:v>
                      </c:pt>
                      <c:pt idx="61">
                        <c:v>69.198400000000007</c:v>
                      </c:pt>
                      <c:pt idx="62">
                        <c:v>69.208399999999997</c:v>
                      </c:pt>
                      <c:pt idx="63">
                        <c:v>69.218400000000003</c:v>
                      </c:pt>
                      <c:pt idx="64">
                        <c:v>69.228399999999993</c:v>
                      </c:pt>
                      <c:pt idx="65">
                        <c:v>69.238399999999999</c:v>
                      </c:pt>
                      <c:pt idx="66">
                        <c:v>69.248400000000004</c:v>
                      </c:pt>
                      <c:pt idx="67">
                        <c:v>69.258399999999995</c:v>
                      </c:pt>
                      <c:pt idx="68">
                        <c:v>69.2684</c:v>
                      </c:pt>
                      <c:pt idx="69">
                        <c:v>69.278400000000005</c:v>
                      </c:pt>
                      <c:pt idx="70">
                        <c:v>69.288399999999996</c:v>
                      </c:pt>
                      <c:pt idx="71">
                        <c:v>69.298400000000001</c:v>
                      </c:pt>
                      <c:pt idx="72">
                        <c:v>69.308400000000006</c:v>
                      </c:pt>
                      <c:pt idx="73">
                        <c:v>69.318399999999997</c:v>
                      </c:pt>
                      <c:pt idx="74">
                        <c:v>69.328400000000002</c:v>
                      </c:pt>
                      <c:pt idx="75">
                        <c:v>69.338399999999993</c:v>
                      </c:pt>
                      <c:pt idx="76">
                        <c:v>69.348399999999998</c:v>
                      </c:pt>
                      <c:pt idx="77">
                        <c:v>69.358400000000003</c:v>
                      </c:pt>
                      <c:pt idx="78">
                        <c:v>69.368399999999994</c:v>
                      </c:pt>
                      <c:pt idx="79">
                        <c:v>69.378399999999999</c:v>
                      </c:pt>
                      <c:pt idx="80">
                        <c:v>69.388400000000004</c:v>
                      </c:pt>
                      <c:pt idx="81">
                        <c:v>69.398399999999995</c:v>
                      </c:pt>
                      <c:pt idx="82">
                        <c:v>69.4084</c:v>
                      </c:pt>
                      <c:pt idx="83">
                        <c:v>69.418400000000005</c:v>
                      </c:pt>
                      <c:pt idx="84">
                        <c:v>69.428399999999996</c:v>
                      </c:pt>
                      <c:pt idx="85">
                        <c:v>69.438400000000001</c:v>
                      </c:pt>
                      <c:pt idx="86">
                        <c:v>69.448400000000007</c:v>
                      </c:pt>
                      <c:pt idx="87">
                        <c:v>69.458399999999997</c:v>
                      </c:pt>
                      <c:pt idx="88">
                        <c:v>69.468400000000003</c:v>
                      </c:pt>
                      <c:pt idx="89">
                        <c:v>69.478399999999993</c:v>
                      </c:pt>
                      <c:pt idx="90">
                        <c:v>69.488399999999999</c:v>
                      </c:pt>
                      <c:pt idx="91">
                        <c:v>69.498400000000004</c:v>
                      </c:pt>
                      <c:pt idx="92">
                        <c:v>69.508399999999995</c:v>
                      </c:pt>
                      <c:pt idx="93">
                        <c:v>69.5184</c:v>
                      </c:pt>
                      <c:pt idx="94">
                        <c:v>69.528400000000005</c:v>
                      </c:pt>
                      <c:pt idx="95">
                        <c:v>69.538399999999996</c:v>
                      </c:pt>
                      <c:pt idx="96">
                        <c:v>69.548400000000001</c:v>
                      </c:pt>
                      <c:pt idx="97">
                        <c:v>69.558400000000006</c:v>
                      </c:pt>
                      <c:pt idx="98">
                        <c:v>69.568399999999997</c:v>
                      </c:pt>
                      <c:pt idx="99">
                        <c:v>69.578400000000002</c:v>
                      </c:pt>
                      <c:pt idx="100">
                        <c:v>69.588399999999993</c:v>
                      </c:pt>
                      <c:pt idx="101">
                        <c:v>69.598399999999998</c:v>
                      </c:pt>
                      <c:pt idx="102">
                        <c:v>69.608400000000003</c:v>
                      </c:pt>
                      <c:pt idx="103">
                        <c:v>69.618399999999994</c:v>
                      </c:pt>
                      <c:pt idx="104">
                        <c:v>69.628399999999999</c:v>
                      </c:pt>
                      <c:pt idx="105">
                        <c:v>69.638400000000004</c:v>
                      </c:pt>
                      <c:pt idx="106">
                        <c:v>69.648399999999995</c:v>
                      </c:pt>
                      <c:pt idx="107">
                        <c:v>69.6584</c:v>
                      </c:pt>
                      <c:pt idx="108">
                        <c:v>69.668400000000005</c:v>
                      </c:pt>
                      <c:pt idx="109">
                        <c:v>69.678399999999996</c:v>
                      </c:pt>
                      <c:pt idx="110">
                        <c:v>69.688400000000001</c:v>
                      </c:pt>
                      <c:pt idx="111">
                        <c:v>69.698400000000007</c:v>
                      </c:pt>
                      <c:pt idx="112">
                        <c:v>69.708399999999997</c:v>
                      </c:pt>
                      <c:pt idx="113">
                        <c:v>69.718400000000003</c:v>
                      </c:pt>
                      <c:pt idx="114">
                        <c:v>69.728399999999993</c:v>
                      </c:pt>
                      <c:pt idx="115">
                        <c:v>69.738399999999999</c:v>
                      </c:pt>
                      <c:pt idx="116">
                        <c:v>69.748400000000004</c:v>
                      </c:pt>
                      <c:pt idx="117">
                        <c:v>69.758399999999995</c:v>
                      </c:pt>
                      <c:pt idx="118">
                        <c:v>69.7684</c:v>
                      </c:pt>
                      <c:pt idx="119">
                        <c:v>69.778400000000005</c:v>
                      </c:pt>
                      <c:pt idx="120">
                        <c:v>69.788399999999996</c:v>
                      </c:pt>
                      <c:pt idx="121">
                        <c:v>69.798400000000001</c:v>
                      </c:pt>
                      <c:pt idx="122">
                        <c:v>69.808400000000006</c:v>
                      </c:pt>
                      <c:pt idx="123">
                        <c:v>69.818399999999997</c:v>
                      </c:pt>
                      <c:pt idx="124">
                        <c:v>69.828400000000002</c:v>
                      </c:pt>
                      <c:pt idx="125">
                        <c:v>69.838399999999993</c:v>
                      </c:pt>
                      <c:pt idx="126">
                        <c:v>69.848399999999998</c:v>
                      </c:pt>
                      <c:pt idx="127">
                        <c:v>69.858400000000003</c:v>
                      </c:pt>
                      <c:pt idx="128">
                        <c:v>69.868399999999994</c:v>
                      </c:pt>
                      <c:pt idx="129">
                        <c:v>69.878399999999999</c:v>
                      </c:pt>
                      <c:pt idx="130">
                        <c:v>69.888400000000004</c:v>
                      </c:pt>
                      <c:pt idx="131">
                        <c:v>69.898399999999995</c:v>
                      </c:pt>
                      <c:pt idx="132">
                        <c:v>69.9084</c:v>
                      </c:pt>
                      <c:pt idx="133">
                        <c:v>69.918400000000005</c:v>
                      </c:pt>
                      <c:pt idx="134">
                        <c:v>69.928399999999996</c:v>
                      </c:pt>
                      <c:pt idx="135">
                        <c:v>69.938400000000001</c:v>
                      </c:pt>
                      <c:pt idx="136">
                        <c:v>69.948400000000007</c:v>
                      </c:pt>
                      <c:pt idx="137">
                        <c:v>69.958399999999997</c:v>
                      </c:pt>
                      <c:pt idx="138">
                        <c:v>69.968400000000003</c:v>
                      </c:pt>
                      <c:pt idx="139">
                        <c:v>69.978399999999993</c:v>
                      </c:pt>
                      <c:pt idx="140">
                        <c:v>69.988399999999999</c:v>
                      </c:pt>
                      <c:pt idx="141">
                        <c:v>69.998400000000004</c:v>
                      </c:pt>
                      <c:pt idx="142">
                        <c:v>70.008399999999995</c:v>
                      </c:pt>
                      <c:pt idx="143">
                        <c:v>70.0184</c:v>
                      </c:pt>
                      <c:pt idx="144">
                        <c:v>70.028400000000005</c:v>
                      </c:pt>
                      <c:pt idx="145">
                        <c:v>70.038399999999996</c:v>
                      </c:pt>
                      <c:pt idx="146">
                        <c:v>70.048400000000001</c:v>
                      </c:pt>
                      <c:pt idx="147">
                        <c:v>70.058400000000006</c:v>
                      </c:pt>
                      <c:pt idx="148">
                        <c:v>70.068399999999997</c:v>
                      </c:pt>
                      <c:pt idx="149">
                        <c:v>70.078400000000002</c:v>
                      </c:pt>
                      <c:pt idx="150">
                        <c:v>70.088399999999993</c:v>
                      </c:pt>
                      <c:pt idx="151">
                        <c:v>70.098399999999998</c:v>
                      </c:pt>
                      <c:pt idx="152">
                        <c:v>70.108400000000003</c:v>
                      </c:pt>
                      <c:pt idx="153">
                        <c:v>70.118399999999994</c:v>
                      </c:pt>
                      <c:pt idx="154">
                        <c:v>70.128399999999999</c:v>
                      </c:pt>
                      <c:pt idx="155">
                        <c:v>70.138400000000004</c:v>
                      </c:pt>
                      <c:pt idx="156">
                        <c:v>70.148399999999995</c:v>
                      </c:pt>
                      <c:pt idx="157">
                        <c:v>70.1584</c:v>
                      </c:pt>
                      <c:pt idx="158">
                        <c:v>70.168400000000005</c:v>
                      </c:pt>
                      <c:pt idx="159">
                        <c:v>70.178399999999996</c:v>
                      </c:pt>
                      <c:pt idx="160">
                        <c:v>70.188400000000001</c:v>
                      </c:pt>
                      <c:pt idx="161">
                        <c:v>70.198400000000007</c:v>
                      </c:pt>
                      <c:pt idx="162">
                        <c:v>70.208399999999997</c:v>
                      </c:pt>
                      <c:pt idx="163">
                        <c:v>70.218400000000003</c:v>
                      </c:pt>
                      <c:pt idx="164">
                        <c:v>70.228399999999993</c:v>
                      </c:pt>
                      <c:pt idx="165">
                        <c:v>70.238399999999999</c:v>
                      </c:pt>
                      <c:pt idx="166">
                        <c:v>70.248400000000004</c:v>
                      </c:pt>
                      <c:pt idx="167">
                        <c:v>70.258399999999995</c:v>
                      </c:pt>
                      <c:pt idx="168">
                        <c:v>70.2684</c:v>
                      </c:pt>
                      <c:pt idx="169">
                        <c:v>70.278400000000005</c:v>
                      </c:pt>
                      <c:pt idx="170">
                        <c:v>70.288399999999996</c:v>
                      </c:pt>
                      <c:pt idx="171">
                        <c:v>70.298400000000001</c:v>
                      </c:pt>
                      <c:pt idx="172">
                        <c:v>70.308400000000006</c:v>
                      </c:pt>
                      <c:pt idx="173">
                        <c:v>70.318399999999997</c:v>
                      </c:pt>
                      <c:pt idx="174">
                        <c:v>70.328400000000002</c:v>
                      </c:pt>
                      <c:pt idx="175">
                        <c:v>70.338399999999993</c:v>
                      </c:pt>
                      <c:pt idx="176">
                        <c:v>70.348399999999998</c:v>
                      </c:pt>
                      <c:pt idx="177">
                        <c:v>70.358400000000003</c:v>
                      </c:pt>
                      <c:pt idx="178">
                        <c:v>70.368399999999994</c:v>
                      </c:pt>
                      <c:pt idx="179">
                        <c:v>70.378399999999999</c:v>
                      </c:pt>
                      <c:pt idx="180">
                        <c:v>70.388400000000004</c:v>
                      </c:pt>
                      <c:pt idx="181">
                        <c:v>70.398399999999995</c:v>
                      </c:pt>
                      <c:pt idx="182">
                        <c:v>70.4084</c:v>
                      </c:pt>
                      <c:pt idx="183">
                        <c:v>70.418400000000005</c:v>
                      </c:pt>
                      <c:pt idx="184">
                        <c:v>70.428399999999996</c:v>
                      </c:pt>
                      <c:pt idx="185">
                        <c:v>70.438400000000001</c:v>
                      </c:pt>
                      <c:pt idx="186">
                        <c:v>70.448400000000007</c:v>
                      </c:pt>
                      <c:pt idx="187">
                        <c:v>70.458399999999997</c:v>
                      </c:pt>
                      <c:pt idx="188">
                        <c:v>70.468400000000003</c:v>
                      </c:pt>
                      <c:pt idx="189">
                        <c:v>70.478399999999993</c:v>
                      </c:pt>
                      <c:pt idx="190">
                        <c:v>70.488399999999999</c:v>
                      </c:pt>
                      <c:pt idx="191">
                        <c:v>70.498400000000004</c:v>
                      </c:pt>
                      <c:pt idx="192">
                        <c:v>70.508399999999995</c:v>
                      </c:pt>
                      <c:pt idx="193">
                        <c:v>70.5184</c:v>
                      </c:pt>
                      <c:pt idx="194">
                        <c:v>70.528400000000005</c:v>
                      </c:pt>
                      <c:pt idx="195">
                        <c:v>70.538399999999996</c:v>
                      </c:pt>
                      <c:pt idx="196">
                        <c:v>70.548400000000001</c:v>
                      </c:pt>
                      <c:pt idx="197">
                        <c:v>70.558400000000006</c:v>
                      </c:pt>
                      <c:pt idx="198">
                        <c:v>70.568399999999997</c:v>
                      </c:pt>
                      <c:pt idx="199">
                        <c:v>70.578400000000002</c:v>
                      </c:pt>
                      <c:pt idx="200">
                        <c:v>70.588399999999993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RoughTEOS_02!$E$22:$E$222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7.1049413351808344</c:v>
                      </c:pt>
                      <c:pt idx="1">
                        <c:v>4.2670020479772841</c:v>
                      </c:pt>
                      <c:pt idx="2">
                        <c:v>8.5460803517111277</c:v>
                      </c:pt>
                      <c:pt idx="3">
                        <c:v>1.4262222340288075</c:v>
                      </c:pt>
                      <c:pt idx="4">
                        <c:v>4.2720161078521635</c:v>
                      </c:pt>
                      <c:pt idx="5">
                        <c:v>5.7003020509363331</c:v>
                      </c:pt>
                      <c:pt idx="6">
                        <c:v>7.1317944324761333</c:v>
                      </c:pt>
                      <c:pt idx="7">
                        <c:v>12.846689807480326</c:v>
                      </c:pt>
                      <c:pt idx="8">
                        <c:v>5.723662717342008</c:v>
                      </c:pt>
                      <c:pt idx="9">
                        <c:v>5.7249749004383563</c:v>
                      </c:pt>
                      <c:pt idx="10">
                        <c:v>10.006002603031572</c:v>
                      </c:pt>
                      <c:pt idx="11">
                        <c:v>10.010859950757803</c:v>
                      </c:pt>
                      <c:pt idx="12">
                        <c:v>11.457781055762082</c:v>
                      </c:pt>
                      <c:pt idx="13">
                        <c:v>8.5821910669757759</c:v>
                      </c:pt>
                      <c:pt idx="14">
                        <c:v>14.283042147539508</c:v>
                      </c:pt>
                      <c:pt idx="15">
                        <c:v>18.532598171198245</c:v>
                      </c:pt>
                      <c:pt idx="16">
                        <c:v>11.413100084196774</c:v>
                      </c:pt>
                      <c:pt idx="17">
                        <c:v>11.439664030069018</c:v>
                      </c:pt>
                      <c:pt idx="18">
                        <c:v>8.5966425271210642</c:v>
                      </c:pt>
                      <c:pt idx="19">
                        <c:v>15.800847288015586</c:v>
                      </c:pt>
                      <c:pt idx="20">
                        <c:v>12.918689132690382</c:v>
                      </c:pt>
                      <c:pt idx="21">
                        <c:v>17.221363219599787</c:v>
                      </c:pt>
                      <c:pt idx="22">
                        <c:v>7.16343038311605</c:v>
                      </c:pt>
                      <c:pt idx="23">
                        <c:v>20.017469639137428</c:v>
                      </c:pt>
                      <c:pt idx="24">
                        <c:v>17.197091614708047</c:v>
                      </c:pt>
                      <c:pt idx="25">
                        <c:v>33.005821761826937</c:v>
                      </c:pt>
                      <c:pt idx="26">
                        <c:v>18.65776395607098</c:v>
                      </c:pt>
                      <c:pt idx="27">
                        <c:v>22.980792707186463</c:v>
                      </c:pt>
                      <c:pt idx="28">
                        <c:v>17.21519787048171</c:v>
                      </c:pt>
                      <c:pt idx="29">
                        <c:v>21.504456376061896</c:v>
                      </c:pt>
                      <c:pt idx="30">
                        <c:v>25.851061853937985</c:v>
                      </c:pt>
                      <c:pt idx="31">
                        <c:v>21.548544574374827</c:v>
                      </c:pt>
                      <c:pt idx="32">
                        <c:v>28.777066777173442</c:v>
                      </c:pt>
                      <c:pt idx="33">
                        <c:v>30.206836417204126</c:v>
                      </c:pt>
                      <c:pt idx="34">
                        <c:v>17.237915227667724</c:v>
                      </c:pt>
                      <c:pt idx="35">
                        <c:v>44.457761684302213</c:v>
                      </c:pt>
                      <c:pt idx="36">
                        <c:v>20.101073320272274</c:v>
                      </c:pt>
                      <c:pt idx="37">
                        <c:v>40.3308053108004</c:v>
                      </c:pt>
                      <c:pt idx="38">
                        <c:v>37.521731694822485</c:v>
                      </c:pt>
                      <c:pt idx="39">
                        <c:v>38.942468205658109</c:v>
                      </c:pt>
                      <c:pt idx="40">
                        <c:v>60.604687392835757</c:v>
                      </c:pt>
                      <c:pt idx="41">
                        <c:v>44.74639846197703</c:v>
                      </c:pt>
                      <c:pt idx="42">
                        <c:v>67.938707785276534</c:v>
                      </c:pt>
                      <c:pt idx="43">
                        <c:v>66.686310390499671</c:v>
                      </c:pt>
                      <c:pt idx="44">
                        <c:v>68.144997708427766</c:v>
                      </c:pt>
                      <c:pt idx="45">
                        <c:v>51.983454579701743</c:v>
                      </c:pt>
                      <c:pt idx="46">
                        <c:v>57.651660672319586</c:v>
                      </c:pt>
                      <c:pt idx="47">
                        <c:v>75.066756873986634</c:v>
                      </c:pt>
                      <c:pt idx="48">
                        <c:v>92.603911110742558</c:v>
                      </c:pt>
                      <c:pt idx="49">
                        <c:v>69.496159790153285</c:v>
                      </c:pt>
                      <c:pt idx="50">
                        <c:v>117.11094925248815</c:v>
                      </c:pt>
                      <c:pt idx="51">
                        <c:v>118.57926967945008</c:v>
                      </c:pt>
                      <c:pt idx="52">
                        <c:v>124.53076677999118</c:v>
                      </c:pt>
                      <c:pt idx="53">
                        <c:v>136.45712826762599</c:v>
                      </c:pt>
                      <c:pt idx="54">
                        <c:v>133.93534201348325</c:v>
                      </c:pt>
                      <c:pt idx="55">
                        <c:v>119.38511407850663</c:v>
                      </c:pt>
                      <c:pt idx="56">
                        <c:v>173.06062971572308</c:v>
                      </c:pt>
                      <c:pt idx="57">
                        <c:v>176.04518577550931</c:v>
                      </c:pt>
                      <c:pt idx="58">
                        <c:v>174.84195127355727</c:v>
                      </c:pt>
                      <c:pt idx="59">
                        <c:v>208.22628969184453</c:v>
                      </c:pt>
                      <c:pt idx="60">
                        <c:v>223.96408158670212</c:v>
                      </c:pt>
                      <c:pt idx="61">
                        <c:v>255.68209881561535</c:v>
                      </c:pt>
                      <c:pt idx="62">
                        <c:v>325.78867320380152</c:v>
                      </c:pt>
                      <c:pt idx="63">
                        <c:v>304.32431757281284</c:v>
                      </c:pt>
                      <c:pt idx="64">
                        <c:v>353.11893614498058</c:v>
                      </c:pt>
                      <c:pt idx="65">
                        <c:v>364.42087152941724</c:v>
                      </c:pt>
                      <c:pt idx="66">
                        <c:v>447.2938471409696</c:v>
                      </c:pt>
                      <c:pt idx="67">
                        <c:v>419.35434652759528</c:v>
                      </c:pt>
                      <c:pt idx="68">
                        <c:v>464.56865958927244</c:v>
                      </c:pt>
                      <c:pt idx="69">
                        <c:v>519.98994427715445</c:v>
                      </c:pt>
                      <c:pt idx="70">
                        <c:v>669.10187226749349</c:v>
                      </c:pt>
                      <c:pt idx="71">
                        <c:v>647.59876134823435</c:v>
                      </c:pt>
                      <c:pt idx="72">
                        <c:v>774.38694721156025</c:v>
                      </c:pt>
                      <c:pt idx="73">
                        <c:v>877.96066232846101</c:v>
                      </c:pt>
                      <c:pt idx="74">
                        <c:v>988.69009983970523</c:v>
                      </c:pt>
                      <c:pt idx="75">
                        <c:v>1026.6946839078716</c:v>
                      </c:pt>
                      <c:pt idx="76">
                        <c:v>1229.4487693516076</c:v>
                      </c:pt>
                      <c:pt idx="77">
                        <c:v>1406.5124024312474</c:v>
                      </c:pt>
                      <c:pt idx="78">
                        <c:v>1645.912460686154</c:v>
                      </c:pt>
                      <c:pt idx="79">
                        <c:v>1799.1392375855062</c:v>
                      </c:pt>
                      <c:pt idx="80">
                        <c:v>2176.7549764302594</c:v>
                      </c:pt>
                      <c:pt idx="81">
                        <c:v>2597.4588761471696</c:v>
                      </c:pt>
                      <c:pt idx="82">
                        <c:v>3002.624525178051</c:v>
                      </c:pt>
                      <c:pt idx="83">
                        <c:v>3563.513446964258</c:v>
                      </c:pt>
                      <c:pt idx="84">
                        <c:v>4149.040620183494</c:v>
                      </c:pt>
                      <c:pt idx="85">
                        <c:v>4998.5505460525555</c:v>
                      </c:pt>
                      <c:pt idx="86">
                        <c:v>6444.6276585187097</c:v>
                      </c:pt>
                      <c:pt idx="87">
                        <c:v>7705.251060534154</c:v>
                      </c:pt>
                      <c:pt idx="88">
                        <c:v>9680.5233488965059</c:v>
                      </c:pt>
                      <c:pt idx="89">
                        <c:v>12809.572188379012</c:v>
                      </c:pt>
                      <c:pt idx="90">
                        <c:v>16584.224903635939</c:v>
                      </c:pt>
                      <c:pt idx="91">
                        <c:v>22678.029275086759</c:v>
                      </c:pt>
                      <c:pt idx="92">
                        <c:v>31717.466290075135</c:v>
                      </c:pt>
                      <c:pt idx="93">
                        <c:v>47002.679329627616</c:v>
                      </c:pt>
                      <c:pt idx="94">
                        <c:v>72986.544321984795</c:v>
                      </c:pt>
                      <c:pt idx="95">
                        <c:v>122627.13138996254</c:v>
                      </c:pt>
                      <c:pt idx="96">
                        <c:v>232131.81648109641</c:v>
                      </c:pt>
                      <c:pt idx="97">
                        <c:v>520675.85766726115</c:v>
                      </c:pt>
                      <c:pt idx="98">
                        <c:v>1629843.0600687561</c:v>
                      </c:pt>
                      <c:pt idx="99">
                        <c:v>9647113.8734990563</c:v>
                      </c:pt>
                      <c:pt idx="100">
                        <c:v>29293757.179899227</c:v>
                      </c:pt>
                      <c:pt idx="101">
                        <c:v>10137280.404488865</c:v>
                      </c:pt>
                      <c:pt idx="102">
                        <c:v>1606823.2804785219</c:v>
                      </c:pt>
                      <c:pt idx="103">
                        <c:v>430008.48178092879</c:v>
                      </c:pt>
                      <c:pt idx="104">
                        <c:v>166461.42256748304</c:v>
                      </c:pt>
                      <c:pt idx="105">
                        <c:v>76996.603830294291</c:v>
                      </c:pt>
                      <c:pt idx="106">
                        <c:v>40509.596512486423</c:v>
                      </c:pt>
                      <c:pt idx="107">
                        <c:v>23900.87340466613</c:v>
                      </c:pt>
                      <c:pt idx="108">
                        <c:v>14989.44499602591</c:v>
                      </c:pt>
                      <c:pt idx="109">
                        <c:v>9580.5556431137193</c:v>
                      </c:pt>
                      <c:pt idx="110">
                        <c:v>6775.9961754100377</c:v>
                      </c:pt>
                      <c:pt idx="111">
                        <c:v>4773.8360191558268</c:v>
                      </c:pt>
                      <c:pt idx="112">
                        <c:v>3310.2719590106967</c:v>
                      </c:pt>
                      <c:pt idx="113">
                        <c:v>2359.0210471665891</c:v>
                      </c:pt>
                      <c:pt idx="114">
                        <c:v>1862.5107918916924</c:v>
                      </c:pt>
                      <c:pt idx="115">
                        <c:v>1452.4256864275826</c:v>
                      </c:pt>
                      <c:pt idx="116">
                        <c:v>1092.2242897443573</c:v>
                      </c:pt>
                      <c:pt idx="117">
                        <c:v>925.73481684233207</c:v>
                      </c:pt>
                      <c:pt idx="118">
                        <c:v>754.94806023226579</c:v>
                      </c:pt>
                      <c:pt idx="119">
                        <c:v>590.17736013331103</c:v>
                      </c:pt>
                      <c:pt idx="120">
                        <c:v>546.0231627285541</c:v>
                      </c:pt>
                      <c:pt idx="121">
                        <c:v>375.17985983662464</c:v>
                      </c:pt>
                      <c:pt idx="122">
                        <c:v>358.7932347775137</c:v>
                      </c:pt>
                      <c:pt idx="123">
                        <c:v>303.63281607754578</c:v>
                      </c:pt>
                      <c:pt idx="124">
                        <c:v>252.1410604158892</c:v>
                      </c:pt>
                      <c:pt idx="125">
                        <c:v>222.20215512370862</c:v>
                      </c:pt>
                      <c:pt idx="126">
                        <c:v>203.14873112418189</c:v>
                      </c:pt>
                      <c:pt idx="127">
                        <c:v>172.03121627290531</c:v>
                      </c:pt>
                      <c:pt idx="128">
                        <c:v>136.36268163395917</c:v>
                      </c:pt>
                      <c:pt idx="129">
                        <c:v>128.98340518473682</c:v>
                      </c:pt>
                      <c:pt idx="130">
                        <c:v>169.50353378110592</c:v>
                      </c:pt>
                      <c:pt idx="131">
                        <c:v>106.5598931450555</c:v>
                      </c:pt>
                      <c:pt idx="132">
                        <c:v>88.619870607877246</c:v>
                      </c:pt>
                      <c:pt idx="133">
                        <c:v>88.681287670655692</c:v>
                      </c:pt>
                      <c:pt idx="134">
                        <c:v>66.070576734471089</c:v>
                      </c:pt>
                      <c:pt idx="135">
                        <c:v>79.610642600237796</c:v>
                      </c:pt>
                      <c:pt idx="136">
                        <c:v>61.612368706151067</c:v>
                      </c:pt>
                      <c:pt idx="137">
                        <c:v>45.105511908863278</c:v>
                      </c:pt>
                      <c:pt idx="138">
                        <c:v>64.656623376785575</c:v>
                      </c:pt>
                      <c:pt idx="139">
                        <c:v>30.08095723413393</c:v>
                      </c:pt>
                      <c:pt idx="140">
                        <c:v>43.659788881228067</c:v>
                      </c:pt>
                      <c:pt idx="141">
                        <c:v>45.143833468761805</c:v>
                      </c:pt>
                      <c:pt idx="142">
                        <c:v>27.100903391846213</c:v>
                      </c:pt>
                      <c:pt idx="143">
                        <c:v>34.668756702204242</c:v>
                      </c:pt>
                      <c:pt idx="144">
                        <c:v>36.169959088457333</c:v>
                      </c:pt>
                      <c:pt idx="145">
                        <c:v>22.59092853136335</c:v>
                      </c:pt>
                      <c:pt idx="146">
                        <c:v>21.120627087823994</c:v>
                      </c:pt>
                      <c:pt idx="147">
                        <c:v>27.217033560912036</c:v>
                      </c:pt>
                      <c:pt idx="148">
                        <c:v>13.598541273406759</c:v>
                      </c:pt>
                      <c:pt idx="149">
                        <c:v>12.077206142929489</c:v>
                      </c:pt>
                      <c:pt idx="150">
                        <c:v>19.637591423628361</c:v>
                      </c:pt>
                      <c:pt idx="151">
                        <c:v>10.606462632249873</c:v>
                      </c:pt>
                      <c:pt idx="152">
                        <c:v>24.267230618689595</c:v>
                      </c:pt>
                      <c:pt idx="153">
                        <c:v>28.823090609454724</c:v>
                      </c:pt>
                      <c:pt idx="154">
                        <c:v>16.703282318971276</c:v>
                      </c:pt>
                      <c:pt idx="155">
                        <c:v>12.154637031908882</c:v>
                      </c:pt>
                      <c:pt idx="156">
                        <c:v>13.674369162974775</c:v>
                      </c:pt>
                      <c:pt idx="157">
                        <c:v>16.687305297888287</c:v>
                      </c:pt>
                      <c:pt idx="158">
                        <c:v>10.619539843065159</c:v>
                      </c:pt>
                      <c:pt idx="159">
                        <c:v>9.1053936122029722</c:v>
                      </c:pt>
                      <c:pt idx="160">
                        <c:v>19.689007123368835</c:v>
                      </c:pt>
                      <c:pt idx="161">
                        <c:v>13.629768760860856</c:v>
                      </c:pt>
                      <c:pt idx="162">
                        <c:v>4.5579835664509618</c:v>
                      </c:pt>
                      <c:pt idx="163">
                        <c:v>10.665752240757946</c:v>
                      </c:pt>
                      <c:pt idx="164">
                        <c:v>7.6298464514838686</c:v>
                      </c:pt>
                      <c:pt idx="165">
                        <c:v>6.1070544117167325</c:v>
                      </c:pt>
                      <c:pt idx="166">
                        <c:v>6.1012206720694451</c:v>
                      </c:pt>
                      <c:pt idx="167">
                        <c:v>13.724263829402139</c:v>
                      </c:pt>
                      <c:pt idx="168">
                        <c:v>6.1075737214520851</c:v>
                      </c:pt>
                      <c:pt idx="169">
                        <c:v>7.6414721187618575</c:v>
                      </c:pt>
                      <c:pt idx="170">
                        <c:v>7.6439794182558325</c:v>
                      </c:pt>
                      <c:pt idx="171">
                        <c:v>3.0569375048638956</c:v>
                      </c:pt>
                      <c:pt idx="172">
                        <c:v>6.1158813070262585</c:v>
                      </c:pt>
                      <c:pt idx="173">
                        <c:v>6.1220297060618298</c:v>
                      </c:pt>
                      <c:pt idx="174">
                        <c:v>3.0619987774509259</c:v>
                      </c:pt>
                      <c:pt idx="175">
                        <c:v>9.1840923950775206</c:v>
                      </c:pt>
                      <c:pt idx="176">
                        <c:v>4.5877978840022289</c:v>
                      </c:pt>
                      <c:pt idx="177">
                        <c:v>6.1201051201766044</c:v>
                      </c:pt>
                      <c:pt idx="178">
                        <c:v>4.5943188164448969</c:v>
                      </c:pt>
                      <c:pt idx="179">
                        <c:v>4.5931790863005935</c:v>
                      </c:pt>
                      <c:pt idx="180">
                        <c:v>3.0640859795812592</c:v>
                      </c:pt>
                      <c:pt idx="181">
                        <c:v>6.1342015318599215</c:v>
                      </c:pt>
                      <c:pt idx="182">
                        <c:v>6.1426401338617245</c:v>
                      </c:pt>
                      <c:pt idx="183">
                        <c:v>4.606322056948148</c:v>
                      </c:pt>
                      <c:pt idx="184">
                        <c:v>1.5377037593377092</c:v>
                      </c:pt>
                      <c:pt idx="185">
                        <c:v>9.2473694365663999</c:v>
                      </c:pt>
                      <c:pt idx="186">
                        <c:v>1.5432635788952458</c:v>
                      </c:pt>
                      <c:pt idx="187">
                        <c:v>1.5441953232497461</c:v>
                      </c:pt>
                      <c:pt idx="188">
                        <c:v>3.0815813193991484</c:v>
                      </c:pt>
                      <c:pt idx="189">
                        <c:v>3.0739766546601635</c:v>
                      </c:pt>
                      <c:pt idx="190">
                        <c:v>4.607824081217621</c:v>
                      </c:pt>
                      <c:pt idx="191">
                        <c:v>3.0765831030162292</c:v>
                      </c:pt>
                      <c:pt idx="192">
                        <c:v>3.0828891138393231</c:v>
                      </c:pt>
                      <c:pt idx="193">
                        <c:v>7.7349942978322126</c:v>
                      </c:pt>
                      <c:pt idx="194">
                        <c:v>3.0960066751385229</c:v>
                      </c:pt>
                      <c:pt idx="195">
                        <c:v>1.5481473035174236</c:v>
                      </c:pt>
                      <c:pt idx="196">
                        <c:v>3.0949507530041118</c:v>
                      </c:pt>
                      <c:pt idx="197">
                        <c:v>7.7334414122170454</c:v>
                      </c:pt>
                      <c:pt idx="198">
                        <c:v>1.543885128257737</c:v>
                      </c:pt>
                      <c:pt idx="199">
                        <c:v>0</c:v>
                      </c:pt>
                      <c:pt idx="200">
                        <c:v>6.1889674139529305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6C9-4122-A521-59D6EF737AD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RoughTEOS_04!$A$3</c15:sqref>
                        </c15:formulaRef>
                      </c:ext>
                    </c:extLst>
                    <c:strCache>
                      <c:ptCount val="1"/>
                      <c:pt idx="0">
                        <c:v>RoughTEOS_04.dat</c:v>
                      </c:pt>
                    </c:strCache>
                  </c:strRef>
                </c:tx>
                <c:spPr>
                  <a:ln w="1270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2"/>
                  <c:spPr>
                    <a:solidFill>
                      <a:schemeClr val="accent5">
                        <a:lumMod val="75000"/>
                      </a:schemeClr>
                    </a:solidFill>
                    <a:ln w="9525">
                      <a:solidFill>
                        <a:schemeClr val="accent5">
                          <a:lumMod val="75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RoughTEOS_04!$A$22:$A$222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68.589100000000002</c:v>
                      </c:pt>
                      <c:pt idx="1">
                        <c:v>68.599100000000007</c:v>
                      </c:pt>
                      <c:pt idx="2">
                        <c:v>68.609099999999998</c:v>
                      </c:pt>
                      <c:pt idx="3">
                        <c:v>68.619100000000003</c:v>
                      </c:pt>
                      <c:pt idx="4">
                        <c:v>68.629099999999994</c:v>
                      </c:pt>
                      <c:pt idx="5">
                        <c:v>68.639099999999999</c:v>
                      </c:pt>
                      <c:pt idx="6">
                        <c:v>68.649100000000004</c:v>
                      </c:pt>
                      <c:pt idx="7">
                        <c:v>68.659099999999995</c:v>
                      </c:pt>
                      <c:pt idx="8">
                        <c:v>68.6691</c:v>
                      </c:pt>
                      <c:pt idx="9">
                        <c:v>68.679100000000005</c:v>
                      </c:pt>
                      <c:pt idx="10">
                        <c:v>68.689099999999996</c:v>
                      </c:pt>
                      <c:pt idx="11">
                        <c:v>68.699100000000001</c:v>
                      </c:pt>
                      <c:pt idx="12">
                        <c:v>68.709100000000007</c:v>
                      </c:pt>
                      <c:pt idx="13">
                        <c:v>68.719099999999997</c:v>
                      </c:pt>
                      <c:pt idx="14">
                        <c:v>68.729100000000003</c:v>
                      </c:pt>
                      <c:pt idx="15">
                        <c:v>68.739099999999993</c:v>
                      </c:pt>
                      <c:pt idx="16">
                        <c:v>68.749099999999999</c:v>
                      </c:pt>
                      <c:pt idx="17">
                        <c:v>68.759100000000004</c:v>
                      </c:pt>
                      <c:pt idx="18">
                        <c:v>68.769099999999995</c:v>
                      </c:pt>
                      <c:pt idx="19">
                        <c:v>68.7791</c:v>
                      </c:pt>
                      <c:pt idx="20">
                        <c:v>68.789100000000005</c:v>
                      </c:pt>
                      <c:pt idx="21">
                        <c:v>68.799099999999996</c:v>
                      </c:pt>
                      <c:pt idx="22">
                        <c:v>68.809100000000001</c:v>
                      </c:pt>
                      <c:pt idx="23">
                        <c:v>68.819100000000006</c:v>
                      </c:pt>
                      <c:pt idx="24">
                        <c:v>68.829099999999997</c:v>
                      </c:pt>
                      <c:pt idx="25">
                        <c:v>68.839100000000002</c:v>
                      </c:pt>
                      <c:pt idx="26">
                        <c:v>68.849100000000007</c:v>
                      </c:pt>
                      <c:pt idx="27">
                        <c:v>68.859099999999998</c:v>
                      </c:pt>
                      <c:pt idx="28">
                        <c:v>68.869100000000003</c:v>
                      </c:pt>
                      <c:pt idx="29">
                        <c:v>68.879099999999994</c:v>
                      </c:pt>
                      <c:pt idx="30">
                        <c:v>68.889099999999999</c:v>
                      </c:pt>
                      <c:pt idx="31">
                        <c:v>68.899100000000004</c:v>
                      </c:pt>
                      <c:pt idx="32">
                        <c:v>68.909099999999995</c:v>
                      </c:pt>
                      <c:pt idx="33">
                        <c:v>68.9191</c:v>
                      </c:pt>
                      <c:pt idx="34">
                        <c:v>68.929100000000005</c:v>
                      </c:pt>
                      <c:pt idx="35">
                        <c:v>68.939099999999996</c:v>
                      </c:pt>
                      <c:pt idx="36">
                        <c:v>68.949100000000001</c:v>
                      </c:pt>
                      <c:pt idx="37">
                        <c:v>68.959100000000007</c:v>
                      </c:pt>
                      <c:pt idx="38">
                        <c:v>68.969099999999997</c:v>
                      </c:pt>
                      <c:pt idx="39">
                        <c:v>68.979100000000003</c:v>
                      </c:pt>
                      <c:pt idx="40">
                        <c:v>68.989099999999993</c:v>
                      </c:pt>
                      <c:pt idx="41">
                        <c:v>68.999099999999999</c:v>
                      </c:pt>
                      <c:pt idx="42">
                        <c:v>69.009100000000004</c:v>
                      </c:pt>
                      <c:pt idx="43">
                        <c:v>69.019099999999995</c:v>
                      </c:pt>
                      <c:pt idx="44">
                        <c:v>69.0291</c:v>
                      </c:pt>
                      <c:pt idx="45">
                        <c:v>69.039100000000005</c:v>
                      </c:pt>
                      <c:pt idx="46">
                        <c:v>69.049099999999996</c:v>
                      </c:pt>
                      <c:pt idx="47">
                        <c:v>69.059100000000001</c:v>
                      </c:pt>
                      <c:pt idx="48">
                        <c:v>69.069100000000006</c:v>
                      </c:pt>
                      <c:pt idx="49">
                        <c:v>69.079099999999997</c:v>
                      </c:pt>
                      <c:pt idx="50">
                        <c:v>69.089100000000002</c:v>
                      </c:pt>
                      <c:pt idx="51">
                        <c:v>69.099100000000007</c:v>
                      </c:pt>
                      <c:pt idx="52">
                        <c:v>69.109099999999998</c:v>
                      </c:pt>
                      <c:pt idx="53">
                        <c:v>69.119100000000003</c:v>
                      </c:pt>
                      <c:pt idx="54">
                        <c:v>69.129099999999994</c:v>
                      </c:pt>
                      <c:pt idx="55">
                        <c:v>69.139099999999999</c:v>
                      </c:pt>
                      <c:pt idx="56">
                        <c:v>69.149100000000004</c:v>
                      </c:pt>
                      <c:pt idx="57">
                        <c:v>69.159099999999995</c:v>
                      </c:pt>
                      <c:pt idx="58">
                        <c:v>69.1691</c:v>
                      </c:pt>
                      <c:pt idx="59">
                        <c:v>69.179100000000005</c:v>
                      </c:pt>
                      <c:pt idx="60">
                        <c:v>69.189099999999996</c:v>
                      </c:pt>
                      <c:pt idx="61">
                        <c:v>69.199100000000001</c:v>
                      </c:pt>
                      <c:pt idx="62">
                        <c:v>69.209100000000007</c:v>
                      </c:pt>
                      <c:pt idx="63">
                        <c:v>69.219099999999997</c:v>
                      </c:pt>
                      <c:pt idx="64">
                        <c:v>69.229100000000003</c:v>
                      </c:pt>
                      <c:pt idx="65">
                        <c:v>69.239099999999993</c:v>
                      </c:pt>
                      <c:pt idx="66">
                        <c:v>69.249099999999999</c:v>
                      </c:pt>
                      <c:pt idx="67">
                        <c:v>69.259100000000004</c:v>
                      </c:pt>
                      <c:pt idx="68">
                        <c:v>69.269099999999995</c:v>
                      </c:pt>
                      <c:pt idx="69">
                        <c:v>69.2791</c:v>
                      </c:pt>
                      <c:pt idx="70">
                        <c:v>69.289100000000005</c:v>
                      </c:pt>
                      <c:pt idx="71">
                        <c:v>69.299099999999996</c:v>
                      </c:pt>
                      <c:pt idx="72">
                        <c:v>69.309100000000001</c:v>
                      </c:pt>
                      <c:pt idx="73">
                        <c:v>69.319100000000006</c:v>
                      </c:pt>
                      <c:pt idx="74">
                        <c:v>69.329099999999997</c:v>
                      </c:pt>
                      <c:pt idx="75">
                        <c:v>69.339100000000002</c:v>
                      </c:pt>
                      <c:pt idx="76">
                        <c:v>69.349100000000007</c:v>
                      </c:pt>
                      <c:pt idx="77">
                        <c:v>69.359099999999998</c:v>
                      </c:pt>
                      <c:pt idx="78">
                        <c:v>69.369100000000003</c:v>
                      </c:pt>
                      <c:pt idx="79">
                        <c:v>69.379099999999994</c:v>
                      </c:pt>
                      <c:pt idx="80">
                        <c:v>69.389099999999999</c:v>
                      </c:pt>
                      <c:pt idx="81">
                        <c:v>69.399100000000004</c:v>
                      </c:pt>
                      <c:pt idx="82">
                        <c:v>69.409099999999995</c:v>
                      </c:pt>
                      <c:pt idx="83">
                        <c:v>69.4191</c:v>
                      </c:pt>
                      <c:pt idx="84">
                        <c:v>69.429100000000005</c:v>
                      </c:pt>
                      <c:pt idx="85">
                        <c:v>69.439099999999996</c:v>
                      </c:pt>
                      <c:pt idx="86">
                        <c:v>69.449100000000001</c:v>
                      </c:pt>
                      <c:pt idx="87">
                        <c:v>69.459100000000007</c:v>
                      </c:pt>
                      <c:pt idx="88">
                        <c:v>69.469099999999997</c:v>
                      </c:pt>
                      <c:pt idx="89">
                        <c:v>69.479100000000003</c:v>
                      </c:pt>
                      <c:pt idx="90">
                        <c:v>69.489099999999993</c:v>
                      </c:pt>
                      <c:pt idx="91">
                        <c:v>69.499099999999999</c:v>
                      </c:pt>
                      <c:pt idx="92">
                        <c:v>69.509100000000004</c:v>
                      </c:pt>
                      <c:pt idx="93">
                        <c:v>69.519099999999995</c:v>
                      </c:pt>
                      <c:pt idx="94">
                        <c:v>69.5291</c:v>
                      </c:pt>
                      <c:pt idx="95">
                        <c:v>69.539100000000005</c:v>
                      </c:pt>
                      <c:pt idx="96">
                        <c:v>69.549099999999996</c:v>
                      </c:pt>
                      <c:pt idx="97">
                        <c:v>69.559100000000001</c:v>
                      </c:pt>
                      <c:pt idx="98">
                        <c:v>69.569100000000006</c:v>
                      </c:pt>
                      <c:pt idx="99">
                        <c:v>69.579099999999997</c:v>
                      </c:pt>
                      <c:pt idx="100">
                        <c:v>69.589100000000002</c:v>
                      </c:pt>
                      <c:pt idx="101">
                        <c:v>69.599100000000007</c:v>
                      </c:pt>
                      <c:pt idx="102">
                        <c:v>69.609099999999998</c:v>
                      </c:pt>
                      <c:pt idx="103">
                        <c:v>69.619100000000003</c:v>
                      </c:pt>
                      <c:pt idx="104">
                        <c:v>69.629099999999994</c:v>
                      </c:pt>
                      <c:pt idx="105">
                        <c:v>69.639099999999999</c:v>
                      </c:pt>
                      <c:pt idx="106">
                        <c:v>69.649100000000004</c:v>
                      </c:pt>
                      <c:pt idx="107">
                        <c:v>69.659099999999995</c:v>
                      </c:pt>
                      <c:pt idx="108">
                        <c:v>69.6691</c:v>
                      </c:pt>
                      <c:pt idx="109">
                        <c:v>69.679100000000005</c:v>
                      </c:pt>
                      <c:pt idx="110">
                        <c:v>69.689099999999996</c:v>
                      </c:pt>
                      <c:pt idx="111">
                        <c:v>69.699100000000001</c:v>
                      </c:pt>
                      <c:pt idx="112">
                        <c:v>69.709100000000007</c:v>
                      </c:pt>
                      <c:pt idx="113">
                        <c:v>69.719099999999997</c:v>
                      </c:pt>
                      <c:pt idx="114">
                        <c:v>69.729100000000003</c:v>
                      </c:pt>
                      <c:pt idx="115">
                        <c:v>69.739099999999993</c:v>
                      </c:pt>
                      <c:pt idx="116">
                        <c:v>69.749099999999999</c:v>
                      </c:pt>
                      <c:pt idx="117">
                        <c:v>69.759100000000004</c:v>
                      </c:pt>
                      <c:pt idx="118">
                        <c:v>69.769099999999995</c:v>
                      </c:pt>
                      <c:pt idx="119">
                        <c:v>69.7791</c:v>
                      </c:pt>
                      <c:pt idx="120">
                        <c:v>69.789100000000005</c:v>
                      </c:pt>
                      <c:pt idx="121">
                        <c:v>69.799099999999996</c:v>
                      </c:pt>
                      <c:pt idx="122">
                        <c:v>69.809100000000001</c:v>
                      </c:pt>
                      <c:pt idx="123">
                        <c:v>69.819100000000006</c:v>
                      </c:pt>
                      <c:pt idx="124">
                        <c:v>69.829099999999997</c:v>
                      </c:pt>
                      <c:pt idx="125">
                        <c:v>69.839100000000002</c:v>
                      </c:pt>
                      <c:pt idx="126">
                        <c:v>69.849100000000007</c:v>
                      </c:pt>
                      <c:pt idx="127">
                        <c:v>69.859099999999998</c:v>
                      </c:pt>
                      <c:pt idx="128">
                        <c:v>69.869100000000003</c:v>
                      </c:pt>
                      <c:pt idx="129">
                        <c:v>69.879099999999994</c:v>
                      </c:pt>
                      <c:pt idx="130">
                        <c:v>69.889099999999999</c:v>
                      </c:pt>
                      <c:pt idx="131">
                        <c:v>69.899100000000004</c:v>
                      </c:pt>
                      <c:pt idx="132">
                        <c:v>69.909099999999995</c:v>
                      </c:pt>
                      <c:pt idx="133">
                        <c:v>69.9191</c:v>
                      </c:pt>
                      <c:pt idx="134">
                        <c:v>69.929100000000005</c:v>
                      </c:pt>
                      <c:pt idx="135">
                        <c:v>69.939099999999996</c:v>
                      </c:pt>
                      <c:pt idx="136">
                        <c:v>69.949100000000001</c:v>
                      </c:pt>
                      <c:pt idx="137">
                        <c:v>69.959100000000007</c:v>
                      </c:pt>
                      <c:pt idx="138">
                        <c:v>69.969099999999997</c:v>
                      </c:pt>
                      <c:pt idx="139">
                        <c:v>69.979100000000003</c:v>
                      </c:pt>
                      <c:pt idx="140">
                        <c:v>69.989099999999993</c:v>
                      </c:pt>
                      <c:pt idx="141">
                        <c:v>69.999099999999999</c:v>
                      </c:pt>
                      <c:pt idx="142">
                        <c:v>70.009100000000004</c:v>
                      </c:pt>
                      <c:pt idx="143">
                        <c:v>70.019099999999995</c:v>
                      </c:pt>
                      <c:pt idx="144">
                        <c:v>70.0291</c:v>
                      </c:pt>
                      <c:pt idx="145">
                        <c:v>70.039100000000005</c:v>
                      </c:pt>
                      <c:pt idx="146">
                        <c:v>70.049099999999996</c:v>
                      </c:pt>
                      <c:pt idx="147">
                        <c:v>70.059100000000001</c:v>
                      </c:pt>
                      <c:pt idx="148">
                        <c:v>70.069100000000006</c:v>
                      </c:pt>
                      <c:pt idx="149">
                        <c:v>70.079099999999997</c:v>
                      </c:pt>
                      <c:pt idx="150">
                        <c:v>70.089100000000002</c:v>
                      </c:pt>
                      <c:pt idx="151">
                        <c:v>70.099100000000007</c:v>
                      </c:pt>
                      <c:pt idx="152">
                        <c:v>70.109099999999998</c:v>
                      </c:pt>
                      <c:pt idx="153">
                        <c:v>70.119100000000003</c:v>
                      </c:pt>
                      <c:pt idx="154">
                        <c:v>70.129099999999994</c:v>
                      </c:pt>
                      <c:pt idx="155">
                        <c:v>70.139099999999999</c:v>
                      </c:pt>
                      <c:pt idx="156">
                        <c:v>70.149100000000004</c:v>
                      </c:pt>
                      <c:pt idx="157">
                        <c:v>70.159099999999995</c:v>
                      </c:pt>
                      <c:pt idx="158">
                        <c:v>70.1691</c:v>
                      </c:pt>
                      <c:pt idx="159">
                        <c:v>70.179100000000005</c:v>
                      </c:pt>
                      <c:pt idx="160">
                        <c:v>70.189099999999996</c:v>
                      </c:pt>
                      <c:pt idx="161">
                        <c:v>70.199100000000001</c:v>
                      </c:pt>
                      <c:pt idx="162">
                        <c:v>70.209100000000007</c:v>
                      </c:pt>
                      <c:pt idx="163">
                        <c:v>70.219099999999997</c:v>
                      </c:pt>
                      <c:pt idx="164">
                        <c:v>70.229100000000003</c:v>
                      </c:pt>
                      <c:pt idx="165">
                        <c:v>70.239099999999993</c:v>
                      </c:pt>
                      <c:pt idx="166">
                        <c:v>70.249099999999999</c:v>
                      </c:pt>
                      <c:pt idx="167">
                        <c:v>70.259100000000004</c:v>
                      </c:pt>
                      <c:pt idx="168">
                        <c:v>70.269099999999995</c:v>
                      </c:pt>
                      <c:pt idx="169">
                        <c:v>70.2791</c:v>
                      </c:pt>
                      <c:pt idx="170">
                        <c:v>70.289100000000005</c:v>
                      </c:pt>
                      <c:pt idx="171">
                        <c:v>70.299099999999996</c:v>
                      </c:pt>
                      <c:pt idx="172">
                        <c:v>70.309100000000001</c:v>
                      </c:pt>
                      <c:pt idx="173">
                        <c:v>70.319100000000006</c:v>
                      </c:pt>
                      <c:pt idx="174">
                        <c:v>70.329099999999997</c:v>
                      </c:pt>
                      <c:pt idx="175">
                        <c:v>70.339100000000002</c:v>
                      </c:pt>
                      <c:pt idx="176">
                        <c:v>70.349100000000007</c:v>
                      </c:pt>
                      <c:pt idx="177">
                        <c:v>70.359099999999998</c:v>
                      </c:pt>
                      <c:pt idx="178">
                        <c:v>70.369100000000003</c:v>
                      </c:pt>
                      <c:pt idx="179">
                        <c:v>70.379099999999994</c:v>
                      </c:pt>
                      <c:pt idx="180">
                        <c:v>70.389099999999999</c:v>
                      </c:pt>
                      <c:pt idx="181">
                        <c:v>70.399100000000004</c:v>
                      </c:pt>
                      <c:pt idx="182">
                        <c:v>70.409099999999995</c:v>
                      </c:pt>
                      <c:pt idx="183">
                        <c:v>70.4191</c:v>
                      </c:pt>
                      <c:pt idx="184">
                        <c:v>70.429100000000005</c:v>
                      </c:pt>
                      <c:pt idx="185">
                        <c:v>70.439099999999996</c:v>
                      </c:pt>
                      <c:pt idx="186">
                        <c:v>70.449100000000001</c:v>
                      </c:pt>
                      <c:pt idx="187">
                        <c:v>70.459100000000007</c:v>
                      </c:pt>
                      <c:pt idx="188">
                        <c:v>70.469099999999997</c:v>
                      </c:pt>
                      <c:pt idx="189">
                        <c:v>70.479100000000003</c:v>
                      </c:pt>
                      <c:pt idx="190">
                        <c:v>70.489099999999993</c:v>
                      </c:pt>
                      <c:pt idx="191">
                        <c:v>70.499099999999999</c:v>
                      </c:pt>
                      <c:pt idx="192">
                        <c:v>70.509100000000004</c:v>
                      </c:pt>
                      <c:pt idx="193">
                        <c:v>70.519099999999995</c:v>
                      </c:pt>
                      <c:pt idx="194">
                        <c:v>70.5291</c:v>
                      </c:pt>
                      <c:pt idx="195">
                        <c:v>70.539100000000005</c:v>
                      </c:pt>
                      <c:pt idx="196">
                        <c:v>70.549099999999996</c:v>
                      </c:pt>
                      <c:pt idx="197">
                        <c:v>70.559100000000001</c:v>
                      </c:pt>
                      <c:pt idx="198">
                        <c:v>70.569100000000006</c:v>
                      </c:pt>
                      <c:pt idx="199">
                        <c:v>70.579099999999997</c:v>
                      </c:pt>
                      <c:pt idx="200">
                        <c:v>70.589100000000002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RoughTEOS_04!$E$22:$E$222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6.8784586283628073</c:v>
                      </c:pt>
                      <c:pt idx="1">
                        <c:v>10.321605342998948</c:v>
                      </c:pt>
                      <c:pt idx="2">
                        <c:v>5.1651935379995981</c:v>
                      </c:pt>
                      <c:pt idx="3">
                        <c:v>3.4415578169518204</c:v>
                      </c:pt>
                      <c:pt idx="4">
                        <c:v>3.4413605806763963</c:v>
                      </c:pt>
                      <c:pt idx="5">
                        <c:v>20.653162945576998</c:v>
                      </c:pt>
                      <c:pt idx="6">
                        <c:v>5.1610847406525187</c:v>
                      </c:pt>
                      <c:pt idx="7">
                        <c:v>15.482951678340568</c:v>
                      </c:pt>
                      <c:pt idx="8">
                        <c:v>32.712011774749641</c:v>
                      </c:pt>
                      <c:pt idx="9">
                        <c:v>13.785581312850969</c:v>
                      </c:pt>
                      <c:pt idx="10">
                        <c:v>10.340409939859766</c:v>
                      </c:pt>
                      <c:pt idx="11">
                        <c:v>24.164369759597033</c:v>
                      </c:pt>
                      <c:pt idx="12">
                        <c:v>13.817022556080342</c:v>
                      </c:pt>
                      <c:pt idx="13">
                        <c:v>8.6219919339589079</c:v>
                      </c:pt>
                      <c:pt idx="14">
                        <c:v>8.6242755631492329</c:v>
                      </c:pt>
                      <c:pt idx="15">
                        <c:v>10.361011567147962</c:v>
                      </c:pt>
                      <c:pt idx="16">
                        <c:v>17.272779148775992</c:v>
                      </c:pt>
                      <c:pt idx="17">
                        <c:v>6.9083955747437562</c:v>
                      </c:pt>
                      <c:pt idx="18">
                        <c:v>8.651470379423456</c:v>
                      </c:pt>
                      <c:pt idx="19">
                        <c:v>6.9319927604747402</c:v>
                      </c:pt>
                      <c:pt idx="20">
                        <c:v>12.135079502532495</c:v>
                      </c:pt>
                      <c:pt idx="21">
                        <c:v>13.849331873106973</c:v>
                      </c:pt>
                      <c:pt idx="22">
                        <c:v>10.37303036450451</c:v>
                      </c:pt>
                      <c:pt idx="23">
                        <c:v>20.75361237941333</c:v>
                      </c:pt>
                      <c:pt idx="24">
                        <c:v>29.425646742473251</c:v>
                      </c:pt>
                      <c:pt idx="25">
                        <c:v>26.003510584290687</c:v>
                      </c:pt>
                      <c:pt idx="26">
                        <c:v>29.497925078276161</c:v>
                      </c:pt>
                      <c:pt idx="27">
                        <c:v>34.806851137454061</c:v>
                      </c:pt>
                      <c:pt idx="28">
                        <c:v>34.789192429399684</c:v>
                      </c:pt>
                      <c:pt idx="29">
                        <c:v>34.749082594657615</c:v>
                      </c:pt>
                      <c:pt idx="30">
                        <c:v>22.566061023347245</c:v>
                      </c:pt>
                      <c:pt idx="31">
                        <c:v>32.98533097254991</c:v>
                      </c:pt>
                      <c:pt idx="32">
                        <c:v>36.460701809817955</c:v>
                      </c:pt>
                      <c:pt idx="33">
                        <c:v>36.513766096586892</c:v>
                      </c:pt>
                      <c:pt idx="34">
                        <c:v>27.88499697223887</c:v>
                      </c:pt>
                      <c:pt idx="35">
                        <c:v>48.992851762970453</c:v>
                      </c:pt>
                      <c:pt idx="36">
                        <c:v>38.504313482181239</c:v>
                      </c:pt>
                      <c:pt idx="37">
                        <c:v>74.94325636963336</c:v>
                      </c:pt>
                      <c:pt idx="38">
                        <c:v>62.571708784387532</c:v>
                      </c:pt>
                      <c:pt idx="39">
                        <c:v>57.329597215966928</c:v>
                      </c:pt>
                      <c:pt idx="40">
                        <c:v>57.298282652364243</c:v>
                      </c:pt>
                      <c:pt idx="41">
                        <c:v>62.536086403337322</c:v>
                      </c:pt>
                      <c:pt idx="42">
                        <c:v>54.019129385266318</c:v>
                      </c:pt>
                      <c:pt idx="43">
                        <c:v>83.711456692785077</c:v>
                      </c:pt>
                      <c:pt idx="44">
                        <c:v>99.353795717205429</c:v>
                      </c:pt>
                      <c:pt idx="45">
                        <c:v>64.43962600320755</c:v>
                      </c:pt>
                      <c:pt idx="46">
                        <c:v>71.548575736140322</c:v>
                      </c:pt>
                      <c:pt idx="47">
                        <c:v>99.507388360062251</c:v>
                      </c:pt>
                      <c:pt idx="48">
                        <c:v>106.48823601419825</c:v>
                      </c:pt>
                      <c:pt idx="49">
                        <c:v>97.998628464449965</c:v>
                      </c:pt>
                      <c:pt idx="50">
                        <c:v>99.767212767633168</c:v>
                      </c:pt>
                      <c:pt idx="51">
                        <c:v>129.68455114566524</c:v>
                      </c:pt>
                      <c:pt idx="52">
                        <c:v>156.14169908306346</c:v>
                      </c:pt>
                      <c:pt idx="53">
                        <c:v>168.23647907114193</c:v>
                      </c:pt>
                      <c:pt idx="54">
                        <c:v>227.37826664964038</c:v>
                      </c:pt>
                      <c:pt idx="55">
                        <c:v>208.1206832423054</c:v>
                      </c:pt>
                      <c:pt idx="56">
                        <c:v>185.61782824356897</c:v>
                      </c:pt>
                      <c:pt idx="57">
                        <c:v>217.37938996704395</c:v>
                      </c:pt>
                      <c:pt idx="58">
                        <c:v>275.17244955733156</c:v>
                      </c:pt>
                      <c:pt idx="59">
                        <c:v>313.95423857592374</c:v>
                      </c:pt>
                      <c:pt idx="60">
                        <c:v>344.64293971045447</c:v>
                      </c:pt>
                      <c:pt idx="61">
                        <c:v>373.39157027196302</c:v>
                      </c:pt>
                      <c:pt idx="62">
                        <c:v>346.55270822218819</c:v>
                      </c:pt>
                      <c:pt idx="63">
                        <c:v>383.71060028886797</c:v>
                      </c:pt>
                      <c:pt idx="64">
                        <c:v>488.78415835193294</c:v>
                      </c:pt>
                      <c:pt idx="65">
                        <c:v>562.23267442431472</c:v>
                      </c:pt>
                      <c:pt idx="66">
                        <c:v>617.81868538350477</c:v>
                      </c:pt>
                      <c:pt idx="67">
                        <c:v>669.64274741897975</c:v>
                      </c:pt>
                      <c:pt idx="68">
                        <c:v>752.97469904060108</c:v>
                      </c:pt>
                      <c:pt idx="69">
                        <c:v>797.75196681695013</c:v>
                      </c:pt>
                      <c:pt idx="70">
                        <c:v>907.17665870270844</c:v>
                      </c:pt>
                      <c:pt idx="71">
                        <c:v>1038.1412114565758</c:v>
                      </c:pt>
                      <c:pt idx="72">
                        <c:v>1188.954505698789</c:v>
                      </c:pt>
                      <c:pt idx="73">
                        <c:v>1376.6168743365213</c:v>
                      </c:pt>
                      <c:pt idx="74">
                        <c:v>1686.1501444927228</c:v>
                      </c:pt>
                      <c:pt idx="75">
                        <c:v>1782.7138084063765</c:v>
                      </c:pt>
                      <c:pt idx="76">
                        <c:v>1932.4119648209744</c:v>
                      </c:pt>
                      <c:pt idx="77">
                        <c:v>2391.979805575259</c:v>
                      </c:pt>
                      <c:pt idx="78">
                        <c:v>2711.9218737627561</c:v>
                      </c:pt>
                      <c:pt idx="79">
                        <c:v>3081.0485907386019</c:v>
                      </c:pt>
                      <c:pt idx="80">
                        <c:v>3760.1721307835528</c:v>
                      </c:pt>
                      <c:pt idx="81">
                        <c:v>4280.0983790120154</c:v>
                      </c:pt>
                      <c:pt idx="82">
                        <c:v>5015.2889813250413</c:v>
                      </c:pt>
                      <c:pt idx="83">
                        <c:v>6263.4206381647673</c:v>
                      </c:pt>
                      <c:pt idx="84">
                        <c:v>7481.4367423260528</c:v>
                      </c:pt>
                      <c:pt idx="85">
                        <c:v>9409.6858470810948</c:v>
                      </c:pt>
                      <c:pt idx="86">
                        <c:v>10996.154235419426</c:v>
                      </c:pt>
                      <c:pt idx="87">
                        <c:v>14261.151540694997</c:v>
                      </c:pt>
                      <c:pt idx="88">
                        <c:v>18527.626703354144</c:v>
                      </c:pt>
                      <c:pt idx="89">
                        <c:v>23676.851723585638</c:v>
                      </c:pt>
                      <c:pt idx="90">
                        <c:v>30969.837249366668</c:v>
                      </c:pt>
                      <c:pt idx="91">
                        <c:v>42051.991817853792</c:v>
                      </c:pt>
                      <c:pt idx="92">
                        <c:v>59887.328962934545</c:v>
                      </c:pt>
                      <c:pt idx="93">
                        <c:v>87029.861006334191</c:v>
                      </c:pt>
                      <c:pt idx="94">
                        <c:v>134858.82057211761</c:v>
                      </c:pt>
                      <c:pt idx="95">
                        <c:v>226819.2941182935</c:v>
                      </c:pt>
                      <c:pt idx="96">
                        <c:v>421835.30565213971</c:v>
                      </c:pt>
                      <c:pt idx="97">
                        <c:v>923418.09904219978</c:v>
                      </c:pt>
                      <c:pt idx="98">
                        <c:v>2636435.6423708242</c:v>
                      </c:pt>
                      <c:pt idx="99">
                        <c:v>12306471.449883049</c:v>
                      </c:pt>
                      <c:pt idx="100">
                        <c:v>32442064.731008116</c:v>
                      </c:pt>
                      <c:pt idx="101">
                        <c:v>11261053.370281208</c:v>
                      </c:pt>
                      <c:pt idx="102">
                        <c:v>2513780.3702467103</c:v>
                      </c:pt>
                      <c:pt idx="103">
                        <c:v>797751.52968152368</c:v>
                      </c:pt>
                      <c:pt idx="104">
                        <c:v>321390.00013763423</c:v>
                      </c:pt>
                      <c:pt idx="105">
                        <c:v>147054.58470988131</c:v>
                      </c:pt>
                      <c:pt idx="106">
                        <c:v>77549.458689817984</c:v>
                      </c:pt>
                      <c:pt idx="107">
                        <c:v>44968.352748880825</c:v>
                      </c:pt>
                      <c:pt idx="108">
                        <c:v>27822.189681288357</c:v>
                      </c:pt>
                      <c:pt idx="109">
                        <c:v>17915.339982411126</c:v>
                      </c:pt>
                      <c:pt idx="110">
                        <c:v>12049.67799480461</c:v>
                      </c:pt>
                      <c:pt idx="111">
                        <c:v>8378.0931873259469</c:v>
                      </c:pt>
                      <c:pt idx="112">
                        <c:v>6104.9353417378979</c:v>
                      </c:pt>
                      <c:pt idx="113">
                        <c:v>4473.8773838598636</c:v>
                      </c:pt>
                      <c:pt idx="114">
                        <c:v>3397.6042353692173</c:v>
                      </c:pt>
                      <c:pt idx="115">
                        <c:v>2636.8962554624736</c:v>
                      </c:pt>
                      <c:pt idx="116">
                        <c:v>2028.3179634745497</c:v>
                      </c:pt>
                      <c:pt idx="117">
                        <c:v>1647.0882950011699</c:v>
                      </c:pt>
                      <c:pt idx="118">
                        <c:v>1304.3227536594698</c:v>
                      </c:pt>
                      <c:pt idx="119">
                        <c:v>1030.2045763697379</c:v>
                      </c:pt>
                      <c:pt idx="120">
                        <c:v>873.38511877932058</c:v>
                      </c:pt>
                      <c:pt idx="121">
                        <c:v>672.50937148903813</c:v>
                      </c:pt>
                      <c:pt idx="122">
                        <c:v>639.02407556520143</c:v>
                      </c:pt>
                      <c:pt idx="123">
                        <c:v>460.36149641234198</c:v>
                      </c:pt>
                      <c:pt idx="124">
                        <c:v>455.06530244172109</c:v>
                      </c:pt>
                      <c:pt idx="125">
                        <c:v>374.89462197267466</c:v>
                      </c:pt>
                      <c:pt idx="126">
                        <c:v>296.94870567789877</c:v>
                      </c:pt>
                      <c:pt idx="127">
                        <c:v>229.01948500974078</c:v>
                      </c:pt>
                      <c:pt idx="128">
                        <c:v>218.39005897027289</c:v>
                      </c:pt>
                      <c:pt idx="129">
                        <c:v>196.40229501401888</c:v>
                      </c:pt>
                      <c:pt idx="130">
                        <c:v>173.13750651622917</c:v>
                      </c:pt>
                      <c:pt idx="131">
                        <c:v>176.57173901364123</c:v>
                      </c:pt>
                      <c:pt idx="132">
                        <c:v>134.92666045979539</c:v>
                      </c:pt>
                      <c:pt idx="133">
                        <c:v>91.683014050657576</c:v>
                      </c:pt>
                      <c:pt idx="134">
                        <c:v>122.4855161956513</c:v>
                      </c:pt>
                      <c:pt idx="135">
                        <c:v>110.05779609617773</c:v>
                      </c:pt>
                      <c:pt idx="136">
                        <c:v>102.81650857027815</c:v>
                      </c:pt>
                      <c:pt idx="137">
                        <c:v>70.371168929723567</c:v>
                      </c:pt>
                      <c:pt idx="138">
                        <c:v>55.876980618391713</c:v>
                      </c:pt>
                      <c:pt idx="139">
                        <c:v>63.098710134369739</c:v>
                      </c:pt>
                      <c:pt idx="140">
                        <c:v>65.116318138159201</c:v>
                      </c:pt>
                      <c:pt idx="141">
                        <c:v>56.176419506130479</c:v>
                      </c:pt>
                      <c:pt idx="142">
                        <c:v>38.076101209350298</c:v>
                      </c:pt>
                      <c:pt idx="143">
                        <c:v>54.412265410344574</c:v>
                      </c:pt>
                      <c:pt idx="144">
                        <c:v>36.265147679509184</c:v>
                      </c:pt>
                      <c:pt idx="145">
                        <c:v>39.886574334204902</c:v>
                      </c:pt>
                      <c:pt idx="146">
                        <c:v>56.267067797963158</c:v>
                      </c:pt>
                      <c:pt idx="147">
                        <c:v>14.525674318171433</c:v>
                      </c:pt>
                      <c:pt idx="148">
                        <c:v>30.839103805670774</c:v>
                      </c:pt>
                      <c:pt idx="149">
                        <c:v>10.888573188050319</c:v>
                      </c:pt>
                      <c:pt idx="150">
                        <c:v>27.270172209529846</c:v>
                      </c:pt>
                      <c:pt idx="151">
                        <c:v>29.101334943343598</c:v>
                      </c:pt>
                      <c:pt idx="152">
                        <c:v>34.496346108939107</c:v>
                      </c:pt>
                      <c:pt idx="153">
                        <c:v>25.439705767935834</c:v>
                      </c:pt>
                      <c:pt idx="154">
                        <c:v>23.640577535775964</c:v>
                      </c:pt>
                      <c:pt idx="155">
                        <c:v>18.184528165381703</c:v>
                      </c:pt>
                      <c:pt idx="156">
                        <c:v>12.72194819786799</c:v>
                      </c:pt>
                      <c:pt idx="157">
                        <c:v>12.730044559577669</c:v>
                      </c:pt>
                      <c:pt idx="158">
                        <c:v>23.661419641372035</c:v>
                      </c:pt>
                      <c:pt idx="159">
                        <c:v>21.853021933610812</c:v>
                      </c:pt>
                      <c:pt idx="160">
                        <c:v>12.773307510070969</c:v>
                      </c:pt>
                      <c:pt idx="161">
                        <c:v>7.2964548015981041</c:v>
                      </c:pt>
                      <c:pt idx="162">
                        <c:v>10.962009804432977</c:v>
                      </c:pt>
                      <c:pt idx="163">
                        <c:v>10.982253767971008</c:v>
                      </c:pt>
                      <c:pt idx="164">
                        <c:v>3.6619611597117316</c:v>
                      </c:pt>
                      <c:pt idx="165">
                        <c:v>12.794354048121674</c:v>
                      </c:pt>
                      <c:pt idx="166">
                        <c:v>20.122743095381328</c:v>
                      </c:pt>
                      <c:pt idx="167">
                        <c:v>9.1451555376664082</c:v>
                      </c:pt>
                      <c:pt idx="168">
                        <c:v>12.823526905622426</c:v>
                      </c:pt>
                      <c:pt idx="169">
                        <c:v>20.144915386109581</c:v>
                      </c:pt>
                      <c:pt idx="170">
                        <c:v>9.153795479456706</c:v>
                      </c:pt>
                      <c:pt idx="171">
                        <c:v>27.48648928470746</c:v>
                      </c:pt>
                      <c:pt idx="172">
                        <c:v>7.3243923812213616</c:v>
                      </c:pt>
                      <c:pt idx="173">
                        <c:v>3.6599982710220442</c:v>
                      </c:pt>
                      <c:pt idx="174">
                        <c:v>7.3046284717083312</c:v>
                      </c:pt>
                      <c:pt idx="175">
                        <c:v>7.3140968765576737</c:v>
                      </c:pt>
                      <c:pt idx="176">
                        <c:v>5.4885635375907</c:v>
                      </c:pt>
                      <c:pt idx="177">
                        <c:v>3.6630716955112841</c:v>
                      </c:pt>
                      <c:pt idx="178">
                        <c:v>9.1624451377545419</c:v>
                      </c:pt>
                      <c:pt idx="179">
                        <c:v>0</c:v>
                      </c:pt>
                      <c:pt idx="180">
                        <c:v>9.1699352090197852</c:v>
                      </c:pt>
                      <c:pt idx="181">
                        <c:v>1.8358372180275428</c:v>
                      </c:pt>
                      <c:pt idx="182">
                        <c:v>3.6762653466097812</c:v>
                      </c:pt>
                      <c:pt idx="183">
                        <c:v>3.6775026589424464</c:v>
                      </c:pt>
                      <c:pt idx="184">
                        <c:v>7.3506705579942606</c:v>
                      </c:pt>
                      <c:pt idx="185">
                        <c:v>3.6729319097783337</c:v>
                      </c:pt>
                      <c:pt idx="186">
                        <c:v>3.6683219321817471</c:v>
                      </c:pt>
                      <c:pt idx="187">
                        <c:v>5.5057068819345814</c:v>
                      </c:pt>
                      <c:pt idx="188">
                        <c:v>7.3556591326830949</c:v>
                      </c:pt>
                      <c:pt idx="189">
                        <c:v>3.6837228677842688</c:v>
                      </c:pt>
                      <c:pt idx="190">
                        <c:v>0</c:v>
                      </c:pt>
                      <c:pt idx="191">
                        <c:v>22.115819863831426</c:v>
                      </c:pt>
                      <c:pt idx="192">
                        <c:v>7.375500027069366</c:v>
                      </c:pt>
                      <c:pt idx="193">
                        <c:v>5.5387684769912875</c:v>
                      </c:pt>
                      <c:pt idx="194">
                        <c:v>14.777890770278812</c:v>
                      </c:pt>
                      <c:pt idx="195">
                        <c:v>1.8460724321776094</c:v>
                      </c:pt>
                      <c:pt idx="196">
                        <c:v>3.6847813744972671</c:v>
                      </c:pt>
                      <c:pt idx="197">
                        <c:v>5.5213071142490193</c:v>
                      </c:pt>
                      <c:pt idx="198">
                        <c:v>1.8455156717219523</c:v>
                      </c:pt>
                      <c:pt idx="199">
                        <c:v>1.8522568705659439</c:v>
                      </c:pt>
                      <c:pt idx="200">
                        <c:v>1.8499289391376528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6C9-4122-A521-59D6EF737AD7}"/>
                  </c:ext>
                </c:extLst>
              </c15:ser>
            </c15:filteredScatterSeries>
          </c:ext>
        </c:extLst>
      </c:scatterChart>
      <c:valAx>
        <c:axId val="710016895"/>
        <c:scaling>
          <c:orientation val="minMax"/>
          <c:max val="70.599999999999994"/>
          <c:min val="68.59999999999999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5895992008632498"/>
          <c:y val="0.10189946463945895"/>
          <c:w val="0.21049136033568325"/>
          <c:h val="0.17505772918281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Si_Thermo_05!$A$22:$A$222</c:f>
              <c:numCache>
                <c:formatCode>General</c:formatCode>
                <c:ptCount val="201"/>
                <c:pt idx="0">
                  <c:v>68.591499999999996</c:v>
                </c:pt>
                <c:pt idx="1">
                  <c:v>68.601500000000001</c:v>
                </c:pt>
                <c:pt idx="2">
                  <c:v>68.611500000000007</c:v>
                </c:pt>
                <c:pt idx="3">
                  <c:v>68.621499999999997</c:v>
                </c:pt>
                <c:pt idx="4">
                  <c:v>68.631500000000003</c:v>
                </c:pt>
                <c:pt idx="5">
                  <c:v>68.641499999999994</c:v>
                </c:pt>
                <c:pt idx="6">
                  <c:v>68.651499999999999</c:v>
                </c:pt>
                <c:pt idx="7">
                  <c:v>68.661500000000004</c:v>
                </c:pt>
                <c:pt idx="8">
                  <c:v>68.671499999999995</c:v>
                </c:pt>
                <c:pt idx="9">
                  <c:v>68.6815</c:v>
                </c:pt>
                <c:pt idx="10">
                  <c:v>68.691500000000005</c:v>
                </c:pt>
                <c:pt idx="11">
                  <c:v>68.701499999999996</c:v>
                </c:pt>
                <c:pt idx="12">
                  <c:v>68.711500000000001</c:v>
                </c:pt>
                <c:pt idx="13">
                  <c:v>68.721500000000006</c:v>
                </c:pt>
                <c:pt idx="14">
                  <c:v>68.731499999999997</c:v>
                </c:pt>
                <c:pt idx="15">
                  <c:v>68.741500000000002</c:v>
                </c:pt>
                <c:pt idx="16">
                  <c:v>68.751499999999993</c:v>
                </c:pt>
                <c:pt idx="17">
                  <c:v>68.761499999999998</c:v>
                </c:pt>
                <c:pt idx="18">
                  <c:v>68.771500000000003</c:v>
                </c:pt>
                <c:pt idx="19">
                  <c:v>68.781499999999994</c:v>
                </c:pt>
                <c:pt idx="20">
                  <c:v>68.791499999999999</c:v>
                </c:pt>
                <c:pt idx="21">
                  <c:v>68.801500000000004</c:v>
                </c:pt>
                <c:pt idx="22">
                  <c:v>68.811499999999995</c:v>
                </c:pt>
                <c:pt idx="23">
                  <c:v>68.8215</c:v>
                </c:pt>
                <c:pt idx="24">
                  <c:v>68.831500000000005</c:v>
                </c:pt>
                <c:pt idx="25">
                  <c:v>68.841499999999996</c:v>
                </c:pt>
                <c:pt idx="26">
                  <c:v>68.851500000000001</c:v>
                </c:pt>
                <c:pt idx="27">
                  <c:v>68.861500000000007</c:v>
                </c:pt>
                <c:pt idx="28">
                  <c:v>68.871499999999997</c:v>
                </c:pt>
                <c:pt idx="29">
                  <c:v>68.881500000000003</c:v>
                </c:pt>
                <c:pt idx="30">
                  <c:v>68.891499999999994</c:v>
                </c:pt>
                <c:pt idx="31">
                  <c:v>68.901499999999999</c:v>
                </c:pt>
                <c:pt idx="32">
                  <c:v>68.911500000000004</c:v>
                </c:pt>
                <c:pt idx="33">
                  <c:v>68.921499999999995</c:v>
                </c:pt>
                <c:pt idx="34">
                  <c:v>68.9315</c:v>
                </c:pt>
                <c:pt idx="35">
                  <c:v>68.941500000000005</c:v>
                </c:pt>
                <c:pt idx="36">
                  <c:v>68.951499999999996</c:v>
                </c:pt>
                <c:pt idx="37">
                  <c:v>68.961500000000001</c:v>
                </c:pt>
                <c:pt idx="38">
                  <c:v>68.971500000000006</c:v>
                </c:pt>
                <c:pt idx="39">
                  <c:v>68.981499999999997</c:v>
                </c:pt>
                <c:pt idx="40">
                  <c:v>68.991500000000002</c:v>
                </c:pt>
                <c:pt idx="41">
                  <c:v>69.001499999999993</c:v>
                </c:pt>
                <c:pt idx="42">
                  <c:v>69.011499999999998</c:v>
                </c:pt>
                <c:pt idx="43">
                  <c:v>69.021500000000003</c:v>
                </c:pt>
                <c:pt idx="44">
                  <c:v>69.031499999999994</c:v>
                </c:pt>
                <c:pt idx="45">
                  <c:v>69.041499999999999</c:v>
                </c:pt>
                <c:pt idx="46">
                  <c:v>69.051500000000004</c:v>
                </c:pt>
                <c:pt idx="47">
                  <c:v>69.061499999999995</c:v>
                </c:pt>
                <c:pt idx="48">
                  <c:v>69.0715</c:v>
                </c:pt>
                <c:pt idx="49">
                  <c:v>69.081500000000005</c:v>
                </c:pt>
                <c:pt idx="50">
                  <c:v>69.091499999999996</c:v>
                </c:pt>
                <c:pt idx="51">
                  <c:v>69.101500000000001</c:v>
                </c:pt>
                <c:pt idx="52">
                  <c:v>69.111500000000007</c:v>
                </c:pt>
                <c:pt idx="53">
                  <c:v>69.121499999999997</c:v>
                </c:pt>
                <c:pt idx="54">
                  <c:v>69.131500000000003</c:v>
                </c:pt>
                <c:pt idx="55">
                  <c:v>69.141499999999994</c:v>
                </c:pt>
                <c:pt idx="56">
                  <c:v>69.151499999999999</c:v>
                </c:pt>
                <c:pt idx="57">
                  <c:v>69.161500000000004</c:v>
                </c:pt>
                <c:pt idx="58">
                  <c:v>69.171499999999995</c:v>
                </c:pt>
                <c:pt idx="59">
                  <c:v>69.1815</c:v>
                </c:pt>
                <c:pt idx="60">
                  <c:v>69.191500000000005</c:v>
                </c:pt>
                <c:pt idx="61">
                  <c:v>69.201499999999996</c:v>
                </c:pt>
                <c:pt idx="62">
                  <c:v>69.211500000000001</c:v>
                </c:pt>
                <c:pt idx="63">
                  <c:v>69.221500000000006</c:v>
                </c:pt>
                <c:pt idx="64">
                  <c:v>69.231499999999997</c:v>
                </c:pt>
                <c:pt idx="65">
                  <c:v>69.241500000000002</c:v>
                </c:pt>
                <c:pt idx="66">
                  <c:v>69.251499999999993</c:v>
                </c:pt>
                <c:pt idx="67">
                  <c:v>69.261499999999998</c:v>
                </c:pt>
                <c:pt idx="68">
                  <c:v>69.271500000000003</c:v>
                </c:pt>
                <c:pt idx="69">
                  <c:v>69.281499999999994</c:v>
                </c:pt>
                <c:pt idx="70">
                  <c:v>69.291499999999999</c:v>
                </c:pt>
                <c:pt idx="71">
                  <c:v>69.301500000000004</c:v>
                </c:pt>
                <c:pt idx="72">
                  <c:v>69.311499999999995</c:v>
                </c:pt>
                <c:pt idx="73">
                  <c:v>69.3215</c:v>
                </c:pt>
                <c:pt idx="74">
                  <c:v>69.331500000000005</c:v>
                </c:pt>
                <c:pt idx="75">
                  <c:v>69.341499999999996</c:v>
                </c:pt>
                <c:pt idx="76">
                  <c:v>69.351500000000001</c:v>
                </c:pt>
                <c:pt idx="77">
                  <c:v>69.361500000000007</c:v>
                </c:pt>
                <c:pt idx="78">
                  <c:v>69.371499999999997</c:v>
                </c:pt>
                <c:pt idx="79">
                  <c:v>69.381500000000003</c:v>
                </c:pt>
                <c:pt idx="80">
                  <c:v>69.391499999999994</c:v>
                </c:pt>
                <c:pt idx="81">
                  <c:v>69.401499999999999</c:v>
                </c:pt>
                <c:pt idx="82">
                  <c:v>69.411500000000004</c:v>
                </c:pt>
                <c:pt idx="83">
                  <c:v>69.421499999999995</c:v>
                </c:pt>
                <c:pt idx="84">
                  <c:v>69.4315</c:v>
                </c:pt>
                <c:pt idx="85">
                  <c:v>69.441500000000005</c:v>
                </c:pt>
                <c:pt idx="86">
                  <c:v>69.451499999999996</c:v>
                </c:pt>
                <c:pt idx="87">
                  <c:v>69.461500000000001</c:v>
                </c:pt>
                <c:pt idx="88">
                  <c:v>69.471500000000006</c:v>
                </c:pt>
                <c:pt idx="89">
                  <c:v>69.481499999999997</c:v>
                </c:pt>
                <c:pt idx="90">
                  <c:v>69.491500000000002</c:v>
                </c:pt>
                <c:pt idx="91">
                  <c:v>69.501499999999993</c:v>
                </c:pt>
                <c:pt idx="92">
                  <c:v>69.511499999999998</c:v>
                </c:pt>
                <c:pt idx="93">
                  <c:v>69.521500000000003</c:v>
                </c:pt>
                <c:pt idx="94">
                  <c:v>69.531499999999994</c:v>
                </c:pt>
                <c:pt idx="95">
                  <c:v>69.541499999999999</c:v>
                </c:pt>
                <c:pt idx="96">
                  <c:v>69.551500000000004</c:v>
                </c:pt>
                <c:pt idx="97">
                  <c:v>69.561499999999995</c:v>
                </c:pt>
                <c:pt idx="98">
                  <c:v>69.5715</c:v>
                </c:pt>
                <c:pt idx="99">
                  <c:v>69.581500000000005</c:v>
                </c:pt>
                <c:pt idx="100">
                  <c:v>69.591499999999996</c:v>
                </c:pt>
                <c:pt idx="101">
                  <c:v>69.601500000000001</c:v>
                </c:pt>
                <c:pt idx="102">
                  <c:v>69.611500000000007</c:v>
                </c:pt>
                <c:pt idx="103">
                  <c:v>69.621499999999997</c:v>
                </c:pt>
                <c:pt idx="104">
                  <c:v>69.631500000000003</c:v>
                </c:pt>
                <c:pt idx="105">
                  <c:v>69.641499999999994</c:v>
                </c:pt>
                <c:pt idx="106">
                  <c:v>69.651499999999999</c:v>
                </c:pt>
                <c:pt idx="107">
                  <c:v>69.661500000000004</c:v>
                </c:pt>
                <c:pt idx="108">
                  <c:v>69.671499999999995</c:v>
                </c:pt>
                <c:pt idx="109">
                  <c:v>69.6815</c:v>
                </c:pt>
                <c:pt idx="110">
                  <c:v>69.691500000000005</c:v>
                </c:pt>
                <c:pt idx="111">
                  <c:v>69.701499999999996</c:v>
                </c:pt>
                <c:pt idx="112">
                  <c:v>69.711500000000001</c:v>
                </c:pt>
                <c:pt idx="113">
                  <c:v>69.721500000000006</c:v>
                </c:pt>
                <c:pt idx="114">
                  <c:v>69.731499999999997</c:v>
                </c:pt>
                <c:pt idx="115">
                  <c:v>69.741500000000002</c:v>
                </c:pt>
                <c:pt idx="116">
                  <c:v>69.751499999999993</c:v>
                </c:pt>
                <c:pt idx="117">
                  <c:v>69.761499999999998</c:v>
                </c:pt>
                <c:pt idx="118">
                  <c:v>69.771500000000003</c:v>
                </c:pt>
                <c:pt idx="119">
                  <c:v>69.781499999999994</c:v>
                </c:pt>
                <c:pt idx="120">
                  <c:v>69.791499999999999</c:v>
                </c:pt>
                <c:pt idx="121">
                  <c:v>69.801500000000004</c:v>
                </c:pt>
                <c:pt idx="122">
                  <c:v>69.811499999999995</c:v>
                </c:pt>
                <c:pt idx="123">
                  <c:v>69.8215</c:v>
                </c:pt>
                <c:pt idx="124">
                  <c:v>69.831500000000005</c:v>
                </c:pt>
                <c:pt idx="125">
                  <c:v>69.841499999999996</c:v>
                </c:pt>
                <c:pt idx="126">
                  <c:v>69.851500000000001</c:v>
                </c:pt>
                <c:pt idx="127">
                  <c:v>69.861500000000007</c:v>
                </c:pt>
                <c:pt idx="128">
                  <c:v>69.871499999999997</c:v>
                </c:pt>
                <c:pt idx="129">
                  <c:v>69.881500000000003</c:v>
                </c:pt>
                <c:pt idx="130">
                  <c:v>69.891499999999994</c:v>
                </c:pt>
                <c:pt idx="131">
                  <c:v>69.901499999999999</c:v>
                </c:pt>
                <c:pt idx="132">
                  <c:v>69.911500000000004</c:v>
                </c:pt>
                <c:pt idx="133">
                  <c:v>69.921499999999995</c:v>
                </c:pt>
                <c:pt idx="134">
                  <c:v>69.9315</c:v>
                </c:pt>
                <c:pt idx="135">
                  <c:v>69.941500000000005</c:v>
                </c:pt>
                <c:pt idx="136">
                  <c:v>69.951499999999996</c:v>
                </c:pt>
                <c:pt idx="137">
                  <c:v>69.961500000000001</c:v>
                </c:pt>
                <c:pt idx="138">
                  <c:v>69.971500000000006</c:v>
                </c:pt>
                <c:pt idx="139">
                  <c:v>69.981499999999997</c:v>
                </c:pt>
                <c:pt idx="140">
                  <c:v>69.991500000000002</c:v>
                </c:pt>
                <c:pt idx="141">
                  <c:v>70.001499999999993</c:v>
                </c:pt>
                <c:pt idx="142">
                  <c:v>70.011499999999998</c:v>
                </c:pt>
                <c:pt idx="143">
                  <c:v>70.021500000000003</c:v>
                </c:pt>
                <c:pt idx="144">
                  <c:v>70.031499999999994</c:v>
                </c:pt>
                <c:pt idx="145">
                  <c:v>70.041499999999999</c:v>
                </c:pt>
                <c:pt idx="146">
                  <c:v>70.051500000000004</c:v>
                </c:pt>
                <c:pt idx="147">
                  <c:v>70.061499999999995</c:v>
                </c:pt>
                <c:pt idx="148">
                  <c:v>70.0715</c:v>
                </c:pt>
                <c:pt idx="149">
                  <c:v>70.081500000000005</c:v>
                </c:pt>
                <c:pt idx="150">
                  <c:v>70.091499999999996</c:v>
                </c:pt>
                <c:pt idx="151">
                  <c:v>70.101500000000001</c:v>
                </c:pt>
                <c:pt idx="152">
                  <c:v>70.111500000000007</c:v>
                </c:pt>
                <c:pt idx="153">
                  <c:v>70.121499999999997</c:v>
                </c:pt>
                <c:pt idx="154">
                  <c:v>70.131500000000003</c:v>
                </c:pt>
                <c:pt idx="155">
                  <c:v>70.141499999999994</c:v>
                </c:pt>
                <c:pt idx="156">
                  <c:v>70.151499999999999</c:v>
                </c:pt>
                <c:pt idx="157">
                  <c:v>70.161500000000004</c:v>
                </c:pt>
                <c:pt idx="158">
                  <c:v>70.171499999999995</c:v>
                </c:pt>
                <c:pt idx="159">
                  <c:v>70.1815</c:v>
                </c:pt>
                <c:pt idx="160">
                  <c:v>70.191500000000005</c:v>
                </c:pt>
                <c:pt idx="161">
                  <c:v>70.201499999999996</c:v>
                </c:pt>
                <c:pt idx="162">
                  <c:v>70.211500000000001</c:v>
                </c:pt>
                <c:pt idx="163">
                  <c:v>70.221500000000006</c:v>
                </c:pt>
                <c:pt idx="164">
                  <c:v>70.231499999999997</c:v>
                </c:pt>
                <c:pt idx="165">
                  <c:v>70.241500000000002</c:v>
                </c:pt>
                <c:pt idx="166">
                  <c:v>70.251499999999993</c:v>
                </c:pt>
                <c:pt idx="167">
                  <c:v>70.261499999999998</c:v>
                </c:pt>
                <c:pt idx="168">
                  <c:v>70.271500000000003</c:v>
                </c:pt>
                <c:pt idx="169">
                  <c:v>70.281499999999994</c:v>
                </c:pt>
                <c:pt idx="170">
                  <c:v>70.291499999999999</c:v>
                </c:pt>
                <c:pt idx="171">
                  <c:v>70.301500000000004</c:v>
                </c:pt>
                <c:pt idx="172">
                  <c:v>70.311499999999995</c:v>
                </c:pt>
                <c:pt idx="173">
                  <c:v>70.3215</c:v>
                </c:pt>
                <c:pt idx="174">
                  <c:v>70.331500000000005</c:v>
                </c:pt>
                <c:pt idx="175">
                  <c:v>70.341499999999996</c:v>
                </c:pt>
                <c:pt idx="176">
                  <c:v>70.351500000000001</c:v>
                </c:pt>
                <c:pt idx="177">
                  <c:v>70.361500000000007</c:v>
                </c:pt>
                <c:pt idx="178">
                  <c:v>70.371499999999997</c:v>
                </c:pt>
                <c:pt idx="179">
                  <c:v>70.381500000000003</c:v>
                </c:pt>
                <c:pt idx="180">
                  <c:v>70.391499999999994</c:v>
                </c:pt>
                <c:pt idx="181">
                  <c:v>70.401499999999999</c:v>
                </c:pt>
                <c:pt idx="182">
                  <c:v>70.411500000000004</c:v>
                </c:pt>
                <c:pt idx="183">
                  <c:v>70.421499999999995</c:v>
                </c:pt>
                <c:pt idx="184">
                  <c:v>70.4315</c:v>
                </c:pt>
                <c:pt idx="185">
                  <c:v>70.441500000000005</c:v>
                </c:pt>
                <c:pt idx="186">
                  <c:v>70.451499999999996</c:v>
                </c:pt>
                <c:pt idx="187">
                  <c:v>70.461500000000001</c:v>
                </c:pt>
                <c:pt idx="188">
                  <c:v>70.471500000000006</c:v>
                </c:pt>
                <c:pt idx="189">
                  <c:v>70.481499999999997</c:v>
                </c:pt>
                <c:pt idx="190">
                  <c:v>70.491500000000002</c:v>
                </c:pt>
                <c:pt idx="191">
                  <c:v>70.501499999999993</c:v>
                </c:pt>
                <c:pt idx="192">
                  <c:v>70.511499999999998</c:v>
                </c:pt>
                <c:pt idx="193">
                  <c:v>70.521500000000003</c:v>
                </c:pt>
                <c:pt idx="194">
                  <c:v>70.531499999999994</c:v>
                </c:pt>
                <c:pt idx="195">
                  <c:v>70.541499999999999</c:v>
                </c:pt>
                <c:pt idx="196">
                  <c:v>70.551500000000004</c:v>
                </c:pt>
                <c:pt idx="197">
                  <c:v>70.561499999999995</c:v>
                </c:pt>
                <c:pt idx="198">
                  <c:v>70.5715</c:v>
                </c:pt>
                <c:pt idx="199">
                  <c:v>70.581500000000005</c:v>
                </c:pt>
                <c:pt idx="200">
                  <c:v>70.591499999999996</c:v>
                </c:pt>
              </c:numCache>
            </c:numRef>
          </c:xVal>
          <c:yVal>
            <c:numRef>
              <c:f>Si_Thermo_05!$E$22:$E$222</c:f>
              <c:numCache>
                <c:formatCode>General</c:formatCode>
                <c:ptCount val="201"/>
                <c:pt idx="0">
                  <c:v>41.099765648869294</c:v>
                </c:pt>
                <c:pt idx="1">
                  <c:v>41.053587869033578</c:v>
                </c:pt>
                <c:pt idx="2">
                  <c:v>82.126603606027189</c:v>
                </c:pt>
                <c:pt idx="3">
                  <c:v>20.526391478210908</c:v>
                </c:pt>
                <c:pt idx="4">
                  <c:v>143.67230926658419</c:v>
                </c:pt>
                <c:pt idx="5">
                  <c:v>41.067994141486935</c:v>
                </c:pt>
                <c:pt idx="6">
                  <c:v>20.526653947924768</c:v>
                </c:pt>
                <c:pt idx="7">
                  <c:v>20.513093055102985</c:v>
                </c:pt>
                <c:pt idx="8">
                  <c:v>82.161772163668473</c:v>
                </c:pt>
                <c:pt idx="9">
                  <c:v>61.6440456456764</c:v>
                </c:pt>
                <c:pt idx="10">
                  <c:v>41.049458651769292</c:v>
                </c:pt>
                <c:pt idx="11">
                  <c:v>61.585553027774473</c:v>
                </c:pt>
                <c:pt idx="12">
                  <c:v>82.195743300904596</c:v>
                </c:pt>
                <c:pt idx="13">
                  <c:v>123.26647486728473</c:v>
                </c:pt>
                <c:pt idx="14">
                  <c:v>82.250246899400395</c:v>
                </c:pt>
                <c:pt idx="15">
                  <c:v>102.70720913815791</c:v>
                </c:pt>
                <c:pt idx="16">
                  <c:v>102.68338280741273</c:v>
                </c:pt>
                <c:pt idx="17">
                  <c:v>102.65392177593458</c:v>
                </c:pt>
                <c:pt idx="18">
                  <c:v>40.98128935988975</c:v>
                </c:pt>
                <c:pt idx="19">
                  <c:v>123.20529574293901</c:v>
                </c:pt>
                <c:pt idx="20">
                  <c:v>164.45660681478245</c:v>
                </c:pt>
                <c:pt idx="21">
                  <c:v>246.937046849095</c:v>
                </c:pt>
                <c:pt idx="22">
                  <c:v>82.287314095904648</c:v>
                </c:pt>
                <c:pt idx="23">
                  <c:v>123.39976528708772</c:v>
                </c:pt>
                <c:pt idx="24">
                  <c:v>349.82942630050331</c:v>
                </c:pt>
                <c:pt idx="25">
                  <c:v>123.51005794845294</c:v>
                </c:pt>
                <c:pt idx="26">
                  <c:v>123.73870681791904</c:v>
                </c:pt>
                <c:pt idx="27">
                  <c:v>123.75317455116864</c:v>
                </c:pt>
                <c:pt idx="28">
                  <c:v>165.09608253006732</c:v>
                </c:pt>
                <c:pt idx="29">
                  <c:v>165.03745373061571</c:v>
                </c:pt>
                <c:pt idx="30">
                  <c:v>165.11490349423056</c:v>
                </c:pt>
                <c:pt idx="31">
                  <c:v>103.22287110067418</c:v>
                </c:pt>
                <c:pt idx="32">
                  <c:v>82.475200361011602</c:v>
                </c:pt>
                <c:pt idx="33">
                  <c:v>123.85533982205523</c:v>
                </c:pt>
                <c:pt idx="34">
                  <c:v>226.92504075920499</c:v>
                </c:pt>
                <c:pt idx="35">
                  <c:v>164.94390369521409</c:v>
                </c:pt>
                <c:pt idx="36">
                  <c:v>164.81738440003696</c:v>
                </c:pt>
                <c:pt idx="37">
                  <c:v>164.94418616399807</c:v>
                </c:pt>
                <c:pt idx="38">
                  <c:v>123.73218949399497</c:v>
                </c:pt>
                <c:pt idx="39">
                  <c:v>123.63773893628665</c:v>
                </c:pt>
                <c:pt idx="40">
                  <c:v>226.71837180140119</c:v>
                </c:pt>
                <c:pt idx="41">
                  <c:v>123.68515795651108</c:v>
                </c:pt>
                <c:pt idx="42">
                  <c:v>144.42763182134834</c:v>
                </c:pt>
                <c:pt idx="43">
                  <c:v>206.07894663645564</c:v>
                </c:pt>
                <c:pt idx="44">
                  <c:v>206.12498946015899</c:v>
                </c:pt>
                <c:pt idx="45">
                  <c:v>123.78413520380515</c:v>
                </c:pt>
                <c:pt idx="46">
                  <c:v>287.92602275585608</c:v>
                </c:pt>
                <c:pt idx="47">
                  <c:v>226.41904055249077</c:v>
                </c:pt>
                <c:pt idx="48">
                  <c:v>185.2841737444277</c:v>
                </c:pt>
                <c:pt idx="49">
                  <c:v>185.25463439653791</c:v>
                </c:pt>
                <c:pt idx="50">
                  <c:v>123.53255208166333</c:v>
                </c:pt>
                <c:pt idx="51">
                  <c:v>329.6208086521338</c:v>
                </c:pt>
                <c:pt idx="52">
                  <c:v>267.77509657794155</c:v>
                </c:pt>
                <c:pt idx="53">
                  <c:v>268.31390302115494</c:v>
                </c:pt>
                <c:pt idx="54">
                  <c:v>433.54646637118486</c:v>
                </c:pt>
                <c:pt idx="55">
                  <c:v>268.44609470002968</c:v>
                </c:pt>
                <c:pt idx="56">
                  <c:v>371.86408825700818</c:v>
                </c:pt>
                <c:pt idx="57">
                  <c:v>371.55837479248993</c:v>
                </c:pt>
                <c:pt idx="58">
                  <c:v>268.9815980178052</c:v>
                </c:pt>
                <c:pt idx="59">
                  <c:v>247.89514227437388</c:v>
                </c:pt>
                <c:pt idx="60">
                  <c:v>165.27221912641656</c:v>
                </c:pt>
                <c:pt idx="61">
                  <c:v>310.18293811389623</c:v>
                </c:pt>
                <c:pt idx="62">
                  <c:v>268.97165973465451</c:v>
                </c:pt>
                <c:pt idx="63">
                  <c:v>248.21765427973295</c:v>
                </c:pt>
                <c:pt idx="64">
                  <c:v>310.56085855752332</c:v>
                </c:pt>
                <c:pt idx="65">
                  <c:v>393.53544635618613</c:v>
                </c:pt>
                <c:pt idx="66">
                  <c:v>269.10207141349656</c:v>
                </c:pt>
                <c:pt idx="67">
                  <c:v>475.74130881936702</c:v>
                </c:pt>
                <c:pt idx="68">
                  <c:v>414.15806354378577</c:v>
                </c:pt>
                <c:pt idx="69">
                  <c:v>538.70082182681153</c:v>
                </c:pt>
                <c:pt idx="70">
                  <c:v>600.26798262372779</c:v>
                </c:pt>
                <c:pt idx="71">
                  <c:v>579.97067023367651</c:v>
                </c:pt>
                <c:pt idx="72">
                  <c:v>579.32432149111287</c:v>
                </c:pt>
                <c:pt idx="73">
                  <c:v>517.73854241697757</c:v>
                </c:pt>
                <c:pt idx="74">
                  <c:v>579.67148623727007</c:v>
                </c:pt>
                <c:pt idx="75">
                  <c:v>517.85902006293645</c:v>
                </c:pt>
                <c:pt idx="76">
                  <c:v>889.85058455646811</c:v>
                </c:pt>
                <c:pt idx="77">
                  <c:v>1056.4823875353047</c:v>
                </c:pt>
                <c:pt idx="78">
                  <c:v>1014.6933640638202</c:v>
                </c:pt>
                <c:pt idx="79">
                  <c:v>849.02512549417236</c:v>
                </c:pt>
                <c:pt idx="80">
                  <c:v>1014.1892338286307</c:v>
                </c:pt>
                <c:pt idx="81">
                  <c:v>1241.7955201815307</c:v>
                </c:pt>
                <c:pt idx="82">
                  <c:v>993.94088744932174</c:v>
                </c:pt>
                <c:pt idx="83">
                  <c:v>1200.9540706446055</c:v>
                </c:pt>
                <c:pt idx="84">
                  <c:v>1262.2442070056893</c:v>
                </c:pt>
                <c:pt idx="85">
                  <c:v>1675.6944438597479</c:v>
                </c:pt>
                <c:pt idx="86">
                  <c:v>1549.265555552696</c:v>
                </c:pt>
                <c:pt idx="87">
                  <c:v>2147.5595491588538</c:v>
                </c:pt>
                <c:pt idx="88">
                  <c:v>2397.819351809208</c:v>
                </c:pt>
                <c:pt idx="89">
                  <c:v>2809.7711600897815</c:v>
                </c:pt>
                <c:pt idx="90">
                  <c:v>3225.0882782855965</c:v>
                </c:pt>
                <c:pt idx="91">
                  <c:v>4258.2348177234016</c:v>
                </c:pt>
                <c:pt idx="92">
                  <c:v>4873.3374622667397</c:v>
                </c:pt>
                <c:pt idx="93">
                  <c:v>5267.3402158164154</c:v>
                </c:pt>
                <c:pt idx="94">
                  <c:v>7482.7504807263094</c:v>
                </c:pt>
                <c:pt idx="95">
                  <c:v>11239.161786307539</c:v>
                </c:pt>
                <c:pt idx="96">
                  <c:v>20459.862350419375</c:v>
                </c:pt>
                <c:pt idx="97">
                  <c:v>52045.745560371615</c:v>
                </c:pt>
                <c:pt idx="98">
                  <c:v>480399.50958675181</c:v>
                </c:pt>
                <c:pt idx="99">
                  <c:v>14362953.80475831</c:v>
                </c:pt>
                <c:pt idx="100">
                  <c:v>665850.69713917701</c:v>
                </c:pt>
                <c:pt idx="101">
                  <c:v>122286.82137460046</c:v>
                </c:pt>
                <c:pt idx="102">
                  <c:v>14693.828858542698</c:v>
                </c:pt>
                <c:pt idx="103">
                  <c:v>6317.8311300863443</c:v>
                </c:pt>
                <c:pt idx="104">
                  <c:v>3479.3227017926374</c:v>
                </c:pt>
                <c:pt idx="105">
                  <c:v>1863.9709713002921</c:v>
                </c:pt>
                <c:pt idx="106">
                  <c:v>1533.2207984972945</c:v>
                </c:pt>
                <c:pt idx="107">
                  <c:v>1326.613815770218</c:v>
                </c:pt>
                <c:pt idx="108">
                  <c:v>912.4224426876109</c:v>
                </c:pt>
                <c:pt idx="109">
                  <c:v>539.10973485848228</c:v>
                </c:pt>
                <c:pt idx="110">
                  <c:v>435.45822206415136</c:v>
                </c:pt>
                <c:pt idx="111">
                  <c:v>394.59358825634905</c:v>
                </c:pt>
                <c:pt idx="112">
                  <c:v>290.66843425394455</c:v>
                </c:pt>
                <c:pt idx="113">
                  <c:v>352.88773936038382</c:v>
                </c:pt>
                <c:pt idx="114">
                  <c:v>249.18874079235647</c:v>
                </c:pt>
                <c:pt idx="115">
                  <c:v>145.2611965638132</c:v>
                </c:pt>
                <c:pt idx="116">
                  <c:v>41.453951828063985</c:v>
                </c:pt>
                <c:pt idx="117">
                  <c:v>145.25881805450825</c:v>
                </c:pt>
                <c:pt idx="118">
                  <c:v>103.59408342167215</c:v>
                </c:pt>
                <c:pt idx="119">
                  <c:v>145.1905630058217</c:v>
                </c:pt>
                <c:pt idx="120">
                  <c:v>166.08486337702425</c:v>
                </c:pt>
                <c:pt idx="121">
                  <c:v>41.484143617520715</c:v>
                </c:pt>
                <c:pt idx="122">
                  <c:v>82.88938841336531</c:v>
                </c:pt>
                <c:pt idx="123">
                  <c:v>103.7481623761489</c:v>
                </c:pt>
                <c:pt idx="124">
                  <c:v>62.278870513381449</c:v>
                </c:pt>
                <c:pt idx="125">
                  <c:v>41.526765384938749</c:v>
                </c:pt>
                <c:pt idx="126">
                  <c:v>20.768898631564284</c:v>
                </c:pt>
                <c:pt idx="127">
                  <c:v>0</c:v>
                </c:pt>
                <c:pt idx="128">
                  <c:v>41.523900920650732</c:v>
                </c:pt>
                <c:pt idx="129">
                  <c:v>20.777491781070143</c:v>
                </c:pt>
                <c:pt idx="130">
                  <c:v>0</c:v>
                </c:pt>
                <c:pt idx="131">
                  <c:v>20.798713859694963</c:v>
                </c:pt>
                <c:pt idx="132">
                  <c:v>41.567017054147144</c:v>
                </c:pt>
                <c:pt idx="133">
                  <c:v>20.788030103878672</c:v>
                </c:pt>
                <c:pt idx="134">
                  <c:v>20.787742961146506</c:v>
                </c:pt>
                <c:pt idx="135">
                  <c:v>0</c:v>
                </c:pt>
                <c:pt idx="136">
                  <c:v>41.54385295981222</c:v>
                </c:pt>
                <c:pt idx="137">
                  <c:v>20.755624149341756</c:v>
                </c:pt>
                <c:pt idx="138">
                  <c:v>20.768826977208342</c:v>
                </c:pt>
                <c:pt idx="139">
                  <c:v>20.790857088584097</c:v>
                </c:pt>
                <c:pt idx="140">
                  <c:v>0</c:v>
                </c:pt>
                <c:pt idx="141">
                  <c:v>41.507366367030258</c:v>
                </c:pt>
                <c:pt idx="142">
                  <c:v>20.76389297290865</c:v>
                </c:pt>
                <c:pt idx="143">
                  <c:v>20.774641544204876</c:v>
                </c:pt>
                <c:pt idx="144">
                  <c:v>20.759059743658934</c:v>
                </c:pt>
                <c:pt idx="145">
                  <c:v>41.471265219059298</c:v>
                </c:pt>
                <c:pt idx="146">
                  <c:v>41.41114103060746</c:v>
                </c:pt>
                <c:pt idx="147">
                  <c:v>0</c:v>
                </c:pt>
                <c:pt idx="148">
                  <c:v>0</c:v>
                </c:pt>
                <c:pt idx="149">
                  <c:v>20.705356862627077</c:v>
                </c:pt>
                <c:pt idx="150">
                  <c:v>0</c:v>
                </c:pt>
                <c:pt idx="151">
                  <c:v>0</c:v>
                </c:pt>
                <c:pt idx="152">
                  <c:v>20.720563913074159</c:v>
                </c:pt>
                <c:pt idx="153">
                  <c:v>41.430485829872445</c:v>
                </c:pt>
                <c:pt idx="154">
                  <c:v>0</c:v>
                </c:pt>
                <c:pt idx="155">
                  <c:v>41.46858694533698</c:v>
                </c:pt>
                <c:pt idx="156">
                  <c:v>0</c:v>
                </c:pt>
                <c:pt idx="157">
                  <c:v>20.722605691408496</c:v>
                </c:pt>
                <c:pt idx="158">
                  <c:v>0</c:v>
                </c:pt>
                <c:pt idx="159">
                  <c:v>0</c:v>
                </c:pt>
                <c:pt idx="160">
                  <c:v>20.697632719791404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20.739383113149898</c:v>
                </c:pt>
                <c:pt idx="165">
                  <c:v>20.738168515835099</c:v>
                </c:pt>
                <c:pt idx="166">
                  <c:v>20.761610334226738</c:v>
                </c:pt>
                <c:pt idx="167">
                  <c:v>41.562317603567088</c:v>
                </c:pt>
                <c:pt idx="168">
                  <c:v>0</c:v>
                </c:pt>
                <c:pt idx="169">
                  <c:v>0</c:v>
                </c:pt>
                <c:pt idx="170">
                  <c:v>20.788810813284194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20.802505191070711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4-461B-9127-EB9B1D1F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Si_Thermo_03!$A$22:$A$222</c:f>
              <c:numCache>
                <c:formatCode>General</c:formatCode>
                <c:ptCount val="201"/>
                <c:pt idx="0">
                  <c:v>68.590999999999994</c:v>
                </c:pt>
                <c:pt idx="1">
                  <c:v>68.600999999999999</c:v>
                </c:pt>
                <c:pt idx="2">
                  <c:v>68.611000000000004</c:v>
                </c:pt>
                <c:pt idx="3">
                  <c:v>68.620999999999995</c:v>
                </c:pt>
                <c:pt idx="4">
                  <c:v>68.631</c:v>
                </c:pt>
                <c:pt idx="5">
                  <c:v>68.641000000000005</c:v>
                </c:pt>
                <c:pt idx="6">
                  <c:v>68.650999999999996</c:v>
                </c:pt>
                <c:pt idx="7">
                  <c:v>68.661000000000001</c:v>
                </c:pt>
                <c:pt idx="8">
                  <c:v>68.671000000000006</c:v>
                </c:pt>
                <c:pt idx="9">
                  <c:v>68.680999999999997</c:v>
                </c:pt>
                <c:pt idx="10">
                  <c:v>68.691000000000003</c:v>
                </c:pt>
                <c:pt idx="11">
                  <c:v>68.700999999999993</c:v>
                </c:pt>
                <c:pt idx="12">
                  <c:v>68.710999999999999</c:v>
                </c:pt>
                <c:pt idx="13">
                  <c:v>68.721000000000004</c:v>
                </c:pt>
                <c:pt idx="14">
                  <c:v>68.730999999999995</c:v>
                </c:pt>
                <c:pt idx="15">
                  <c:v>68.741</c:v>
                </c:pt>
                <c:pt idx="16">
                  <c:v>68.751000000000005</c:v>
                </c:pt>
                <c:pt idx="17">
                  <c:v>68.760999999999996</c:v>
                </c:pt>
                <c:pt idx="18">
                  <c:v>68.771000000000001</c:v>
                </c:pt>
                <c:pt idx="19">
                  <c:v>68.781000000000006</c:v>
                </c:pt>
                <c:pt idx="20">
                  <c:v>68.790999999999997</c:v>
                </c:pt>
                <c:pt idx="21">
                  <c:v>68.801000000000002</c:v>
                </c:pt>
                <c:pt idx="22">
                  <c:v>68.811000000000007</c:v>
                </c:pt>
                <c:pt idx="23">
                  <c:v>68.820999999999998</c:v>
                </c:pt>
                <c:pt idx="24">
                  <c:v>68.831000000000003</c:v>
                </c:pt>
                <c:pt idx="25">
                  <c:v>68.840999999999994</c:v>
                </c:pt>
                <c:pt idx="26">
                  <c:v>68.850999999999999</c:v>
                </c:pt>
                <c:pt idx="27">
                  <c:v>68.861000000000004</c:v>
                </c:pt>
                <c:pt idx="28">
                  <c:v>68.870999999999995</c:v>
                </c:pt>
                <c:pt idx="29">
                  <c:v>68.881</c:v>
                </c:pt>
                <c:pt idx="30">
                  <c:v>68.891000000000005</c:v>
                </c:pt>
                <c:pt idx="31">
                  <c:v>68.900999999999996</c:v>
                </c:pt>
                <c:pt idx="32">
                  <c:v>68.911000000000001</c:v>
                </c:pt>
                <c:pt idx="33">
                  <c:v>68.921000000000006</c:v>
                </c:pt>
                <c:pt idx="34">
                  <c:v>68.930999999999997</c:v>
                </c:pt>
                <c:pt idx="35">
                  <c:v>68.941000000000003</c:v>
                </c:pt>
                <c:pt idx="36">
                  <c:v>68.950999999999993</c:v>
                </c:pt>
                <c:pt idx="37">
                  <c:v>68.960999999999999</c:v>
                </c:pt>
                <c:pt idx="38">
                  <c:v>68.971000000000004</c:v>
                </c:pt>
                <c:pt idx="39">
                  <c:v>68.980999999999995</c:v>
                </c:pt>
                <c:pt idx="40">
                  <c:v>68.991</c:v>
                </c:pt>
                <c:pt idx="41">
                  <c:v>69.001000000000005</c:v>
                </c:pt>
                <c:pt idx="42">
                  <c:v>69.010999999999996</c:v>
                </c:pt>
                <c:pt idx="43">
                  <c:v>69.021000000000001</c:v>
                </c:pt>
                <c:pt idx="44">
                  <c:v>69.031000000000006</c:v>
                </c:pt>
                <c:pt idx="45">
                  <c:v>69.040999999999997</c:v>
                </c:pt>
                <c:pt idx="46">
                  <c:v>69.051000000000002</c:v>
                </c:pt>
                <c:pt idx="47">
                  <c:v>69.061000000000007</c:v>
                </c:pt>
                <c:pt idx="48">
                  <c:v>69.070999999999998</c:v>
                </c:pt>
                <c:pt idx="49">
                  <c:v>69.081000000000003</c:v>
                </c:pt>
                <c:pt idx="50">
                  <c:v>69.090999999999994</c:v>
                </c:pt>
                <c:pt idx="51">
                  <c:v>69.100999999999999</c:v>
                </c:pt>
                <c:pt idx="52">
                  <c:v>69.111000000000004</c:v>
                </c:pt>
                <c:pt idx="53">
                  <c:v>69.120999999999995</c:v>
                </c:pt>
                <c:pt idx="54">
                  <c:v>69.131</c:v>
                </c:pt>
                <c:pt idx="55">
                  <c:v>69.141000000000005</c:v>
                </c:pt>
                <c:pt idx="56">
                  <c:v>69.150999999999996</c:v>
                </c:pt>
                <c:pt idx="57">
                  <c:v>69.161000000000001</c:v>
                </c:pt>
                <c:pt idx="58">
                  <c:v>69.171000000000006</c:v>
                </c:pt>
                <c:pt idx="59">
                  <c:v>69.180999999999997</c:v>
                </c:pt>
                <c:pt idx="60">
                  <c:v>69.191000000000003</c:v>
                </c:pt>
                <c:pt idx="61">
                  <c:v>69.200999999999993</c:v>
                </c:pt>
                <c:pt idx="62">
                  <c:v>69.210999999999999</c:v>
                </c:pt>
                <c:pt idx="63">
                  <c:v>69.221000000000004</c:v>
                </c:pt>
                <c:pt idx="64">
                  <c:v>69.230999999999995</c:v>
                </c:pt>
                <c:pt idx="65">
                  <c:v>69.241</c:v>
                </c:pt>
                <c:pt idx="66">
                  <c:v>69.251000000000005</c:v>
                </c:pt>
                <c:pt idx="67">
                  <c:v>69.260999999999996</c:v>
                </c:pt>
                <c:pt idx="68">
                  <c:v>69.271000000000001</c:v>
                </c:pt>
                <c:pt idx="69">
                  <c:v>69.281000000000006</c:v>
                </c:pt>
                <c:pt idx="70">
                  <c:v>69.290999999999997</c:v>
                </c:pt>
                <c:pt idx="71">
                  <c:v>69.301000000000002</c:v>
                </c:pt>
                <c:pt idx="72">
                  <c:v>69.311000000000007</c:v>
                </c:pt>
                <c:pt idx="73">
                  <c:v>69.320999999999998</c:v>
                </c:pt>
                <c:pt idx="74">
                  <c:v>69.331000000000003</c:v>
                </c:pt>
                <c:pt idx="75">
                  <c:v>69.340999999999994</c:v>
                </c:pt>
                <c:pt idx="76">
                  <c:v>69.350999999999999</c:v>
                </c:pt>
                <c:pt idx="77">
                  <c:v>69.361000000000004</c:v>
                </c:pt>
                <c:pt idx="78">
                  <c:v>69.370999999999995</c:v>
                </c:pt>
                <c:pt idx="79">
                  <c:v>69.381</c:v>
                </c:pt>
                <c:pt idx="80">
                  <c:v>69.391000000000005</c:v>
                </c:pt>
                <c:pt idx="81">
                  <c:v>69.400999999999996</c:v>
                </c:pt>
                <c:pt idx="82">
                  <c:v>69.411000000000001</c:v>
                </c:pt>
                <c:pt idx="83">
                  <c:v>69.421000000000006</c:v>
                </c:pt>
                <c:pt idx="84">
                  <c:v>69.430999999999997</c:v>
                </c:pt>
                <c:pt idx="85">
                  <c:v>69.441000000000003</c:v>
                </c:pt>
                <c:pt idx="86">
                  <c:v>69.450999999999993</c:v>
                </c:pt>
                <c:pt idx="87">
                  <c:v>69.460999999999999</c:v>
                </c:pt>
                <c:pt idx="88">
                  <c:v>69.471000000000004</c:v>
                </c:pt>
                <c:pt idx="89">
                  <c:v>69.480999999999995</c:v>
                </c:pt>
                <c:pt idx="90">
                  <c:v>69.491</c:v>
                </c:pt>
                <c:pt idx="91">
                  <c:v>69.501000000000005</c:v>
                </c:pt>
                <c:pt idx="92">
                  <c:v>69.510999999999996</c:v>
                </c:pt>
                <c:pt idx="93">
                  <c:v>69.521000000000001</c:v>
                </c:pt>
                <c:pt idx="94">
                  <c:v>69.531000000000006</c:v>
                </c:pt>
                <c:pt idx="95">
                  <c:v>69.540999999999997</c:v>
                </c:pt>
                <c:pt idx="96">
                  <c:v>69.551000000000002</c:v>
                </c:pt>
                <c:pt idx="97">
                  <c:v>69.561000000000007</c:v>
                </c:pt>
                <c:pt idx="98">
                  <c:v>69.570999999999998</c:v>
                </c:pt>
                <c:pt idx="99">
                  <c:v>69.581000000000003</c:v>
                </c:pt>
                <c:pt idx="100">
                  <c:v>69.590999999999994</c:v>
                </c:pt>
                <c:pt idx="101">
                  <c:v>69.600999999999999</c:v>
                </c:pt>
                <c:pt idx="102">
                  <c:v>69.611000000000004</c:v>
                </c:pt>
                <c:pt idx="103">
                  <c:v>69.620999999999995</c:v>
                </c:pt>
                <c:pt idx="104">
                  <c:v>69.631</c:v>
                </c:pt>
                <c:pt idx="105">
                  <c:v>69.641000000000005</c:v>
                </c:pt>
                <c:pt idx="106">
                  <c:v>69.650999999999996</c:v>
                </c:pt>
                <c:pt idx="107">
                  <c:v>69.661000000000001</c:v>
                </c:pt>
                <c:pt idx="108">
                  <c:v>69.671000000000006</c:v>
                </c:pt>
                <c:pt idx="109">
                  <c:v>69.680999999999997</c:v>
                </c:pt>
                <c:pt idx="110">
                  <c:v>69.691000000000003</c:v>
                </c:pt>
                <c:pt idx="111">
                  <c:v>69.700999999999993</c:v>
                </c:pt>
                <c:pt idx="112">
                  <c:v>69.710999999999999</c:v>
                </c:pt>
                <c:pt idx="113">
                  <c:v>69.721000000000004</c:v>
                </c:pt>
                <c:pt idx="114">
                  <c:v>69.730999999999995</c:v>
                </c:pt>
                <c:pt idx="115">
                  <c:v>69.741</c:v>
                </c:pt>
                <c:pt idx="116">
                  <c:v>69.751000000000005</c:v>
                </c:pt>
                <c:pt idx="117">
                  <c:v>69.760999999999996</c:v>
                </c:pt>
                <c:pt idx="118">
                  <c:v>69.771000000000001</c:v>
                </c:pt>
                <c:pt idx="119">
                  <c:v>69.781000000000006</c:v>
                </c:pt>
                <c:pt idx="120">
                  <c:v>69.790999999999997</c:v>
                </c:pt>
                <c:pt idx="121">
                  <c:v>69.801000000000002</c:v>
                </c:pt>
                <c:pt idx="122">
                  <c:v>69.811000000000007</c:v>
                </c:pt>
                <c:pt idx="123">
                  <c:v>69.820999999999998</c:v>
                </c:pt>
                <c:pt idx="124">
                  <c:v>69.831000000000003</c:v>
                </c:pt>
                <c:pt idx="125">
                  <c:v>69.840999999999994</c:v>
                </c:pt>
                <c:pt idx="126">
                  <c:v>69.850999999999999</c:v>
                </c:pt>
                <c:pt idx="127">
                  <c:v>69.861000000000004</c:v>
                </c:pt>
                <c:pt idx="128">
                  <c:v>69.870999999999995</c:v>
                </c:pt>
                <c:pt idx="129">
                  <c:v>69.881</c:v>
                </c:pt>
                <c:pt idx="130">
                  <c:v>69.891000000000005</c:v>
                </c:pt>
                <c:pt idx="131">
                  <c:v>69.900999999999996</c:v>
                </c:pt>
                <c:pt idx="132">
                  <c:v>69.911000000000001</c:v>
                </c:pt>
                <c:pt idx="133">
                  <c:v>69.921000000000006</c:v>
                </c:pt>
                <c:pt idx="134">
                  <c:v>69.930999999999997</c:v>
                </c:pt>
                <c:pt idx="135">
                  <c:v>69.941000000000003</c:v>
                </c:pt>
                <c:pt idx="136">
                  <c:v>69.950999999999993</c:v>
                </c:pt>
                <c:pt idx="137">
                  <c:v>69.960999999999999</c:v>
                </c:pt>
                <c:pt idx="138">
                  <c:v>69.971000000000004</c:v>
                </c:pt>
                <c:pt idx="139">
                  <c:v>69.980999999999995</c:v>
                </c:pt>
                <c:pt idx="140">
                  <c:v>69.991</c:v>
                </c:pt>
                <c:pt idx="141">
                  <c:v>70.001000000000005</c:v>
                </c:pt>
                <c:pt idx="142">
                  <c:v>70.010999999999996</c:v>
                </c:pt>
                <c:pt idx="143">
                  <c:v>70.021000000000001</c:v>
                </c:pt>
                <c:pt idx="144">
                  <c:v>70.031000000000006</c:v>
                </c:pt>
                <c:pt idx="145">
                  <c:v>70.040999999999997</c:v>
                </c:pt>
                <c:pt idx="146">
                  <c:v>70.051000000000002</c:v>
                </c:pt>
                <c:pt idx="147">
                  <c:v>70.061000000000007</c:v>
                </c:pt>
                <c:pt idx="148">
                  <c:v>70.070999999999998</c:v>
                </c:pt>
                <c:pt idx="149">
                  <c:v>70.081000000000003</c:v>
                </c:pt>
                <c:pt idx="150">
                  <c:v>70.090999999999994</c:v>
                </c:pt>
                <c:pt idx="151">
                  <c:v>70.100999999999999</c:v>
                </c:pt>
                <c:pt idx="152">
                  <c:v>70.111000000000004</c:v>
                </c:pt>
                <c:pt idx="153">
                  <c:v>70.120999999999995</c:v>
                </c:pt>
                <c:pt idx="154">
                  <c:v>70.131</c:v>
                </c:pt>
                <c:pt idx="155">
                  <c:v>70.141000000000005</c:v>
                </c:pt>
                <c:pt idx="156">
                  <c:v>70.150999999999996</c:v>
                </c:pt>
                <c:pt idx="157">
                  <c:v>70.161000000000001</c:v>
                </c:pt>
                <c:pt idx="158">
                  <c:v>70.171000000000006</c:v>
                </c:pt>
                <c:pt idx="159">
                  <c:v>70.180999999999997</c:v>
                </c:pt>
                <c:pt idx="160">
                  <c:v>70.191000000000003</c:v>
                </c:pt>
                <c:pt idx="161">
                  <c:v>70.200999999999993</c:v>
                </c:pt>
                <c:pt idx="162">
                  <c:v>70.210999999999999</c:v>
                </c:pt>
                <c:pt idx="163">
                  <c:v>70.221000000000004</c:v>
                </c:pt>
                <c:pt idx="164">
                  <c:v>70.230999999999995</c:v>
                </c:pt>
                <c:pt idx="165">
                  <c:v>70.241</c:v>
                </c:pt>
                <c:pt idx="166">
                  <c:v>70.251000000000005</c:v>
                </c:pt>
                <c:pt idx="167">
                  <c:v>70.260999999999996</c:v>
                </c:pt>
                <c:pt idx="168">
                  <c:v>70.271000000000001</c:v>
                </c:pt>
                <c:pt idx="169">
                  <c:v>70.281000000000006</c:v>
                </c:pt>
                <c:pt idx="170">
                  <c:v>70.290999999999997</c:v>
                </c:pt>
                <c:pt idx="171">
                  <c:v>70.301000000000002</c:v>
                </c:pt>
                <c:pt idx="172">
                  <c:v>70.311000000000007</c:v>
                </c:pt>
                <c:pt idx="173">
                  <c:v>70.320999999999998</c:v>
                </c:pt>
                <c:pt idx="174">
                  <c:v>70.331000000000003</c:v>
                </c:pt>
                <c:pt idx="175">
                  <c:v>70.340999999999994</c:v>
                </c:pt>
                <c:pt idx="176">
                  <c:v>70.350999999999999</c:v>
                </c:pt>
                <c:pt idx="177">
                  <c:v>70.361000000000004</c:v>
                </c:pt>
                <c:pt idx="178">
                  <c:v>70.370999999999995</c:v>
                </c:pt>
                <c:pt idx="179">
                  <c:v>70.381</c:v>
                </c:pt>
                <c:pt idx="180">
                  <c:v>70.391000000000005</c:v>
                </c:pt>
                <c:pt idx="181">
                  <c:v>70.400999999999996</c:v>
                </c:pt>
                <c:pt idx="182">
                  <c:v>70.411000000000001</c:v>
                </c:pt>
                <c:pt idx="183">
                  <c:v>70.421000000000006</c:v>
                </c:pt>
                <c:pt idx="184">
                  <c:v>70.430999999999997</c:v>
                </c:pt>
                <c:pt idx="185">
                  <c:v>70.441000000000003</c:v>
                </c:pt>
                <c:pt idx="186">
                  <c:v>70.450999999999993</c:v>
                </c:pt>
                <c:pt idx="187">
                  <c:v>70.460999999999999</c:v>
                </c:pt>
                <c:pt idx="188">
                  <c:v>70.471000000000004</c:v>
                </c:pt>
                <c:pt idx="189">
                  <c:v>70.480999999999995</c:v>
                </c:pt>
                <c:pt idx="190">
                  <c:v>70.491</c:v>
                </c:pt>
                <c:pt idx="191">
                  <c:v>70.501000000000005</c:v>
                </c:pt>
                <c:pt idx="192">
                  <c:v>70.510999999999996</c:v>
                </c:pt>
                <c:pt idx="193">
                  <c:v>70.521000000000001</c:v>
                </c:pt>
                <c:pt idx="194">
                  <c:v>70.531000000000006</c:v>
                </c:pt>
                <c:pt idx="195">
                  <c:v>70.540999999999997</c:v>
                </c:pt>
                <c:pt idx="196">
                  <c:v>70.551000000000002</c:v>
                </c:pt>
                <c:pt idx="197">
                  <c:v>70.561000000000007</c:v>
                </c:pt>
                <c:pt idx="198">
                  <c:v>70.570999999999998</c:v>
                </c:pt>
                <c:pt idx="199">
                  <c:v>70.581000000000003</c:v>
                </c:pt>
                <c:pt idx="200">
                  <c:v>70.590999999999994</c:v>
                </c:pt>
              </c:numCache>
            </c:numRef>
          </c:xVal>
          <c:yVal>
            <c:numRef>
              <c:f>Si_Thermo_03!$E$22:$E$222</c:f>
              <c:numCache>
                <c:formatCode>General</c:formatCode>
                <c:ptCount val="201"/>
                <c:pt idx="0">
                  <c:v>43.749816946319399</c:v>
                </c:pt>
                <c:pt idx="1">
                  <c:v>43.762538961334002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65.86223201028811</c:v>
                </c:pt>
                <c:pt idx="6">
                  <c:v>43.932107434529662</c:v>
                </c:pt>
                <c:pt idx="7">
                  <c:v>43.998072282992517</c:v>
                </c:pt>
                <c:pt idx="8">
                  <c:v>65.933979063660601</c:v>
                </c:pt>
                <c:pt idx="9">
                  <c:v>87.927702022345954</c:v>
                </c:pt>
                <c:pt idx="10">
                  <c:v>43.993530482190096</c:v>
                </c:pt>
                <c:pt idx="11">
                  <c:v>43.959998429950701</c:v>
                </c:pt>
                <c:pt idx="12">
                  <c:v>0</c:v>
                </c:pt>
                <c:pt idx="13">
                  <c:v>43.954421409834929</c:v>
                </c:pt>
                <c:pt idx="14">
                  <c:v>21.995429045383901</c:v>
                </c:pt>
                <c:pt idx="15">
                  <c:v>43.969731512342456</c:v>
                </c:pt>
                <c:pt idx="16">
                  <c:v>109.78034578248767</c:v>
                </c:pt>
                <c:pt idx="17">
                  <c:v>65.887792954053126</c:v>
                </c:pt>
                <c:pt idx="18">
                  <c:v>65.938372519702725</c:v>
                </c:pt>
                <c:pt idx="19">
                  <c:v>0</c:v>
                </c:pt>
                <c:pt idx="20">
                  <c:v>109.91655117762308</c:v>
                </c:pt>
                <c:pt idx="21">
                  <c:v>65.899543824711188</c:v>
                </c:pt>
                <c:pt idx="22">
                  <c:v>43.931305916454008</c:v>
                </c:pt>
                <c:pt idx="23">
                  <c:v>43.955364187938819</c:v>
                </c:pt>
                <c:pt idx="24">
                  <c:v>65.926337048955304</c:v>
                </c:pt>
                <c:pt idx="25">
                  <c:v>43.935193552198179</c:v>
                </c:pt>
                <c:pt idx="26">
                  <c:v>21.966434451896056</c:v>
                </c:pt>
                <c:pt idx="27">
                  <c:v>65.861031043821669</c:v>
                </c:pt>
                <c:pt idx="28">
                  <c:v>0</c:v>
                </c:pt>
                <c:pt idx="29">
                  <c:v>175.78054481454362</c:v>
                </c:pt>
                <c:pt idx="30">
                  <c:v>131.8285517975755</c:v>
                </c:pt>
                <c:pt idx="31">
                  <c:v>109.92277317215689</c:v>
                </c:pt>
                <c:pt idx="32">
                  <c:v>65.924802842229525</c:v>
                </c:pt>
                <c:pt idx="33">
                  <c:v>153.8448980001634</c:v>
                </c:pt>
                <c:pt idx="34">
                  <c:v>87.982519866798029</c:v>
                </c:pt>
                <c:pt idx="35">
                  <c:v>175.9395663662095</c:v>
                </c:pt>
                <c:pt idx="36">
                  <c:v>131.78393978685685</c:v>
                </c:pt>
                <c:pt idx="37">
                  <c:v>109.72556809145787</c:v>
                </c:pt>
                <c:pt idx="38">
                  <c:v>65.863012661978743</c:v>
                </c:pt>
                <c:pt idx="39">
                  <c:v>197.76240662294927</c:v>
                </c:pt>
                <c:pt idx="40">
                  <c:v>65.924351618546638</c:v>
                </c:pt>
                <c:pt idx="41">
                  <c:v>153.72058745071254</c:v>
                </c:pt>
                <c:pt idx="42">
                  <c:v>87.790295640744844</c:v>
                </c:pt>
                <c:pt idx="43">
                  <c:v>197.664009872566</c:v>
                </c:pt>
                <c:pt idx="44">
                  <c:v>153.81457351296575</c:v>
                </c:pt>
                <c:pt idx="45">
                  <c:v>197.61273088370464</c:v>
                </c:pt>
                <c:pt idx="46">
                  <c:v>131.81790710596403</c:v>
                </c:pt>
                <c:pt idx="47">
                  <c:v>241.90640901350721</c:v>
                </c:pt>
                <c:pt idx="48">
                  <c:v>351.94518953686531</c:v>
                </c:pt>
                <c:pt idx="49">
                  <c:v>198.17455216831101</c:v>
                </c:pt>
                <c:pt idx="50">
                  <c:v>440.5254638766454</c:v>
                </c:pt>
                <c:pt idx="51">
                  <c:v>374.2566411933874</c:v>
                </c:pt>
                <c:pt idx="52">
                  <c:v>264.15773169722746</c:v>
                </c:pt>
                <c:pt idx="53">
                  <c:v>286.68417042235598</c:v>
                </c:pt>
                <c:pt idx="54">
                  <c:v>330.49144304951079</c:v>
                </c:pt>
                <c:pt idx="55">
                  <c:v>374.50128448391013</c:v>
                </c:pt>
                <c:pt idx="56">
                  <c:v>352.93821783865269</c:v>
                </c:pt>
                <c:pt idx="57">
                  <c:v>440.95342695037152</c:v>
                </c:pt>
                <c:pt idx="58">
                  <c:v>330.72642607363565</c:v>
                </c:pt>
                <c:pt idx="59">
                  <c:v>507.15820208853114</c:v>
                </c:pt>
                <c:pt idx="60">
                  <c:v>485.03766677241953</c:v>
                </c:pt>
                <c:pt idx="61">
                  <c:v>419.03275330447929</c:v>
                </c:pt>
                <c:pt idx="62">
                  <c:v>418.88446896172866</c:v>
                </c:pt>
                <c:pt idx="63">
                  <c:v>639.12439529904077</c:v>
                </c:pt>
                <c:pt idx="64">
                  <c:v>507.04885341868646</c:v>
                </c:pt>
                <c:pt idx="65">
                  <c:v>682.90848401955998</c:v>
                </c:pt>
                <c:pt idx="66">
                  <c:v>462.96379479643764</c:v>
                </c:pt>
                <c:pt idx="67">
                  <c:v>440.08184171268135</c:v>
                </c:pt>
                <c:pt idx="68">
                  <c:v>770.90686854060493</c:v>
                </c:pt>
                <c:pt idx="69">
                  <c:v>859.29858801288742</c:v>
                </c:pt>
                <c:pt idx="70">
                  <c:v>969.63365050834341</c:v>
                </c:pt>
                <c:pt idx="71">
                  <c:v>704.69989317959005</c:v>
                </c:pt>
                <c:pt idx="72">
                  <c:v>924.31250268475458</c:v>
                </c:pt>
                <c:pt idx="73">
                  <c:v>923.57601618610181</c:v>
                </c:pt>
                <c:pt idx="74">
                  <c:v>1341.0449766523127</c:v>
                </c:pt>
                <c:pt idx="75">
                  <c:v>1076.9059311460239</c:v>
                </c:pt>
                <c:pt idx="76">
                  <c:v>1627.4595691104323</c:v>
                </c:pt>
                <c:pt idx="77">
                  <c:v>1473.6607658461239</c:v>
                </c:pt>
                <c:pt idx="78">
                  <c:v>1363.8467889723872</c:v>
                </c:pt>
                <c:pt idx="79">
                  <c:v>1629.5335556813516</c:v>
                </c:pt>
                <c:pt idx="80">
                  <c:v>1914.1294939772688</c:v>
                </c:pt>
                <c:pt idx="81">
                  <c:v>1828.595502569862</c:v>
                </c:pt>
                <c:pt idx="82">
                  <c:v>2469.527998893835</c:v>
                </c:pt>
                <c:pt idx="83">
                  <c:v>2753.0877169553919</c:v>
                </c:pt>
                <c:pt idx="84">
                  <c:v>3174.4693711917407</c:v>
                </c:pt>
                <c:pt idx="85">
                  <c:v>3707.1757619856467</c:v>
                </c:pt>
                <c:pt idx="86">
                  <c:v>3622.0297898275799</c:v>
                </c:pt>
                <c:pt idx="87">
                  <c:v>4371.6011883312476</c:v>
                </c:pt>
                <c:pt idx="88">
                  <c:v>6094.7781777763721</c:v>
                </c:pt>
                <c:pt idx="89">
                  <c:v>6677.7363857880055</c:v>
                </c:pt>
                <c:pt idx="90">
                  <c:v>8973.563663583589</c:v>
                </c:pt>
                <c:pt idx="91">
                  <c:v>9158.5959872830026</c:v>
                </c:pt>
                <c:pt idx="92">
                  <c:v>12455.023066382286</c:v>
                </c:pt>
                <c:pt idx="93">
                  <c:v>16225.755821478937</c:v>
                </c:pt>
                <c:pt idx="94">
                  <c:v>22407.279490752695</c:v>
                </c:pt>
                <c:pt idx="95">
                  <c:v>35163.197956665186</c:v>
                </c:pt>
                <c:pt idx="96">
                  <c:v>57823.592386712327</c:v>
                </c:pt>
                <c:pt idx="97">
                  <c:v>115239.06262303985</c:v>
                </c:pt>
                <c:pt idx="98">
                  <c:v>396136.42415496742</c:v>
                </c:pt>
                <c:pt idx="99">
                  <c:v>23210386.39656442</c:v>
                </c:pt>
                <c:pt idx="100">
                  <c:v>48484087.715277337</c:v>
                </c:pt>
                <c:pt idx="101">
                  <c:v>743472.37684981013</c:v>
                </c:pt>
                <c:pt idx="102">
                  <c:v>127330.85251298654</c:v>
                </c:pt>
                <c:pt idx="103">
                  <c:v>55880.389989694464</c:v>
                </c:pt>
                <c:pt idx="104">
                  <c:v>32610.147745695653</c:v>
                </c:pt>
                <c:pt idx="105">
                  <c:v>20236.522862260688</c:v>
                </c:pt>
                <c:pt idx="106">
                  <c:v>15334.669619131168</c:v>
                </c:pt>
                <c:pt idx="107">
                  <c:v>10650.655271915432</c:v>
                </c:pt>
                <c:pt idx="108">
                  <c:v>6899.8302639059621</c:v>
                </c:pt>
                <c:pt idx="109">
                  <c:v>5603.728420897005</c:v>
                </c:pt>
                <c:pt idx="110">
                  <c:v>4839.6729902200377</c:v>
                </c:pt>
                <c:pt idx="111">
                  <c:v>4292.6494751724558</c:v>
                </c:pt>
                <c:pt idx="112">
                  <c:v>3256.6815171957501</c:v>
                </c:pt>
                <c:pt idx="113">
                  <c:v>3083.5329844675134</c:v>
                </c:pt>
                <c:pt idx="114">
                  <c:v>2518.8440272013463</c:v>
                </c:pt>
                <c:pt idx="115">
                  <c:v>2277.3764583324728</c:v>
                </c:pt>
                <c:pt idx="116">
                  <c:v>1635.0878669880199</c:v>
                </c:pt>
                <c:pt idx="117">
                  <c:v>1280.0882242277953</c:v>
                </c:pt>
                <c:pt idx="118">
                  <c:v>1438.2543342190229</c:v>
                </c:pt>
                <c:pt idx="119">
                  <c:v>1415.2501524468641</c:v>
                </c:pt>
                <c:pt idx="120">
                  <c:v>1081.824693998899</c:v>
                </c:pt>
                <c:pt idx="121">
                  <c:v>1326.2538027263965</c:v>
                </c:pt>
                <c:pt idx="122">
                  <c:v>1039.0809982748158</c:v>
                </c:pt>
                <c:pt idx="123">
                  <c:v>1037.6662054712629</c:v>
                </c:pt>
                <c:pt idx="124">
                  <c:v>729.29063371184577</c:v>
                </c:pt>
                <c:pt idx="125">
                  <c:v>817.18437031642395</c:v>
                </c:pt>
                <c:pt idx="126">
                  <c:v>663.49721972698774</c:v>
                </c:pt>
                <c:pt idx="127">
                  <c:v>641.28787551100913</c:v>
                </c:pt>
                <c:pt idx="128">
                  <c:v>354.04842863555933</c:v>
                </c:pt>
                <c:pt idx="129">
                  <c:v>354.04094554179534</c:v>
                </c:pt>
                <c:pt idx="130">
                  <c:v>508.80294152909352</c:v>
                </c:pt>
                <c:pt idx="131">
                  <c:v>464.80068589854363</c:v>
                </c:pt>
                <c:pt idx="132">
                  <c:v>375.58676358191263</c:v>
                </c:pt>
                <c:pt idx="133">
                  <c:v>530.14188015840909</c:v>
                </c:pt>
                <c:pt idx="134">
                  <c:v>198.91186776240519</c:v>
                </c:pt>
                <c:pt idx="135">
                  <c:v>375.90856087584967</c:v>
                </c:pt>
                <c:pt idx="136">
                  <c:v>287.35947501819925</c:v>
                </c:pt>
                <c:pt idx="137">
                  <c:v>110.34899424819865</c:v>
                </c:pt>
                <c:pt idx="138">
                  <c:v>220.79836523380101</c:v>
                </c:pt>
                <c:pt idx="139">
                  <c:v>154.42518283367579</c:v>
                </c:pt>
                <c:pt idx="140">
                  <c:v>220.60619136814498</c:v>
                </c:pt>
                <c:pt idx="141">
                  <c:v>88.054106707708684</c:v>
                </c:pt>
                <c:pt idx="142">
                  <c:v>176.19954787077134</c:v>
                </c:pt>
                <c:pt idx="143">
                  <c:v>176.20027312632689</c:v>
                </c:pt>
                <c:pt idx="144">
                  <c:v>308.0012791152908</c:v>
                </c:pt>
                <c:pt idx="145">
                  <c:v>198.21986797731998</c:v>
                </c:pt>
                <c:pt idx="146">
                  <c:v>88.094939183587044</c:v>
                </c:pt>
                <c:pt idx="147">
                  <c:v>44.053130697197467</c:v>
                </c:pt>
                <c:pt idx="148">
                  <c:v>110.1264298477619</c:v>
                </c:pt>
                <c:pt idx="149">
                  <c:v>176.40390291253246</c:v>
                </c:pt>
                <c:pt idx="150">
                  <c:v>44.036675217938566</c:v>
                </c:pt>
                <c:pt idx="151">
                  <c:v>154.44308214163655</c:v>
                </c:pt>
                <c:pt idx="152">
                  <c:v>132.32346630971423</c:v>
                </c:pt>
                <c:pt idx="153">
                  <c:v>22.05991176674025</c:v>
                </c:pt>
                <c:pt idx="154">
                  <c:v>44.161880020064217</c:v>
                </c:pt>
                <c:pt idx="155">
                  <c:v>44.149147402374467</c:v>
                </c:pt>
                <c:pt idx="156">
                  <c:v>44.216821650764274</c:v>
                </c:pt>
                <c:pt idx="157">
                  <c:v>44.218465921742059</c:v>
                </c:pt>
                <c:pt idx="158">
                  <c:v>66.281355030210165</c:v>
                </c:pt>
                <c:pt idx="159">
                  <c:v>44.252312269789542</c:v>
                </c:pt>
                <c:pt idx="160">
                  <c:v>0</c:v>
                </c:pt>
                <c:pt idx="161">
                  <c:v>44.310862989467097</c:v>
                </c:pt>
                <c:pt idx="162">
                  <c:v>88.600285807456672</c:v>
                </c:pt>
                <c:pt idx="163">
                  <c:v>22.146485951301035</c:v>
                </c:pt>
                <c:pt idx="164">
                  <c:v>22.180155873919169</c:v>
                </c:pt>
                <c:pt idx="165">
                  <c:v>66.503712412115021</c:v>
                </c:pt>
                <c:pt idx="166">
                  <c:v>88.728347027916868</c:v>
                </c:pt>
                <c:pt idx="167">
                  <c:v>44.316000686477906</c:v>
                </c:pt>
                <c:pt idx="168">
                  <c:v>0</c:v>
                </c:pt>
                <c:pt idx="169">
                  <c:v>22.162303479397753</c:v>
                </c:pt>
                <c:pt idx="170">
                  <c:v>22.174089572140804</c:v>
                </c:pt>
                <c:pt idx="171">
                  <c:v>132.95479229301773</c:v>
                </c:pt>
                <c:pt idx="172">
                  <c:v>22.155176681127486</c:v>
                </c:pt>
                <c:pt idx="173">
                  <c:v>66.407544994732461</c:v>
                </c:pt>
                <c:pt idx="174">
                  <c:v>44.235281042023466</c:v>
                </c:pt>
                <c:pt idx="175">
                  <c:v>0</c:v>
                </c:pt>
                <c:pt idx="176">
                  <c:v>44.171763486523801</c:v>
                </c:pt>
                <c:pt idx="177">
                  <c:v>22.093592427384991</c:v>
                </c:pt>
                <c:pt idx="178">
                  <c:v>22.104595293262292</c:v>
                </c:pt>
                <c:pt idx="179">
                  <c:v>0</c:v>
                </c:pt>
                <c:pt idx="180">
                  <c:v>22.099635041688217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22.154534576835548</c:v>
                </c:pt>
                <c:pt idx="187">
                  <c:v>22.131179151920893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44.322546859497898</c:v>
                </c:pt>
                <c:pt idx="192">
                  <c:v>0</c:v>
                </c:pt>
                <c:pt idx="193">
                  <c:v>0</c:v>
                </c:pt>
                <c:pt idx="194">
                  <c:v>66.500406434834645</c:v>
                </c:pt>
                <c:pt idx="195">
                  <c:v>44.333298198212717</c:v>
                </c:pt>
                <c:pt idx="196">
                  <c:v>0</c:v>
                </c:pt>
                <c:pt idx="197">
                  <c:v>22.174732810473287</c:v>
                </c:pt>
                <c:pt idx="198">
                  <c:v>0</c:v>
                </c:pt>
                <c:pt idx="199">
                  <c:v>0</c:v>
                </c:pt>
                <c:pt idx="200">
                  <c:v>22.157123605761956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B-40F9-BB06-446CFBB1F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Si_Thermo_01!$A$22:$A$222</c:f>
              <c:numCache>
                <c:formatCode>General</c:formatCode>
                <c:ptCount val="201"/>
                <c:pt idx="0">
                  <c:v>68.5929</c:v>
                </c:pt>
                <c:pt idx="1">
                  <c:v>68.602900000000005</c:v>
                </c:pt>
                <c:pt idx="2">
                  <c:v>68.612899999999996</c:v>
                </c:pt>
                <c:pt idx="3">
                  <c:v>68.622900000000001</c:v>
                </c:pt>
                <c:pt idx="4">
                  <c:v>68.632900000000006</c:v>
                </c:pt>
                <c:pt idx="5">
                  <c:v>68.642899999999997</c:v>
                </c:pt>
                <c:pt idx="6">
                  <c:v>68.652900000000002</c:v>
                </c:pt>
                <c:pt idx="7">
                  <c:v>68.662899999999993</c:v>
                </c:pt>
                <c:pt idx="8">
                  <c:v>68.672899999999998</c:v>
                </c:pt>
                <c:pt idx="9">
                  <c:v>68.682900000000004</c:v>
                </c:pt>
                <c:pt idx="10">
                  <c:v>68.692899999999995</c:v>
                </c:pt>
                <c:pt idx="11">
                  <c:v>68.7029</c:v>
                </c:pt>
                <c:pt idx="12">
                  <c:v>68.712900000000005</c:v>
                </c:pt>
                <c:pt idx="13">
                  <c:v>68.722899999999996</c:v>
                </c:pt>
                <c:pt idx="14">
                  <c:v>68.732900000000001</c:v>
                </c:pt>
                <c:pt idx="15">
                  <c:v>68.742900000000006</c:v>
                </c:pt>
                <c:pt idx="16">
                  <c:v>68.752899999999997</c:v>
                </c:pt>
                <c:pt idx="17">
                  <c:v>68.762900000000002</c:v>
                </c:pt>
                <c:pt idx="18">
                  <c:v>68.772900000000007</c:v>
                </c:pt>
                <c:pt idx="19">
                  <c:v>68.782899999999998</c:v>
                </c:pt>
                <c:pt idx="20">
                  <c:v>68.792900000000003</c:v>
                </c:pt>
                <c:pt idx="21">
                  <c:v>68.802899999999994</c:v>
                </c:pt>
                <c:pt idx="22">
                  <c:v>68.812899999999999</c:v>
                </c:pt>
                <c:pt idx="23">
                  <c:v>68.822900000000004</c:v>
                </c:pt>
                <c:pt idx="24">
                  <c:v>68.832899999999995</c:v>
                </c:pt>
                <c:pt idx="25">
                  <c:v>68.8429</c:v>
                </c:pt>
                <c:pt idx="26">
                  <c:v>68.852900000000005</c:v>
                </c:pt>
                <c:pt idx="27">
                  <c:v>68.862899999999996</c:v>
                </c:pt>
                <c:pt idx="28">
                  <c:v>68.872900000000001</c:v>
                </c:pt>
                <c:pt idx="29">
                  <c:v>68.882900000000006</c:v>
                </c:pt>
                <c:pt idx="30">
                  <c:v>68.892899999999997</c:v>
                </c:pt>
                <c:pt idx="31">
                  <c:v>68.902900000000002</c:v>
                </c:pt>
                <c:pt idx="32">
                  <c:v>68.912899999999993</c:v>
                </c:pt>
                <c:pt idx="33">
                  <c:v>68.922899999999998</c:v>
                </c:pt>
                <c:pt idx="34">
                  <c:v>68.932900000000004</c:v>
                </c:pt>
                <c:pt idx="35">
                  <c:v>68.942899999999995</c:v>
                </c:pt>
                <c:pt idx="36">
                  <c:v>68.9529</c:v>
                </c:pt>
                <c:pt idx="37">
                  <c:v>68.962900000000005</c:v>
                </c:pt>
                <c:pt idx="38">
                  <c:v>68.972899999999996</c:v>
                </c:pt>
                <c:pt idx="39">
                  <c:v>68.982900000000001</c:v>
                </c:pt>
                <c:pt idx="40">
                  <c:v>68.992900000000006</c:v>
                </c:pt>
                <c:pt idx="41">
                  <c:v>69.002899999999997</c:v>
                </c:pt>
                <c:pt idx="42">
                  <c:v>69.012900000000002</c:v>
                </c:pt>
                <c:pt idx="43">
                  <c:v>69.022900000000007</c:v>
                </c:pt>
                <c:pt idx="44">
                  <c:v>69.032899999999998</c:v>
                </c:pt>
                <c:pt idx="45">
                  <c:v>69.042900000000003</c:v>
                </c:pt>
                <c:pt idx="46">
                  <c:v>69.052899999999994</c:v>
                </c:pt>
                <c:pt idx="47">
                  <c:v>69.062899999999999</c:v>
                </c:pt>
                <c:pt idx="48">
                  <c:v>69.072900000000004</c:v>
                </c:pt>
                <c:pt idx="49">
                  <c:v>69.082899999999995</c:v>
                </c:pt>
                <c:pt idx="50">
                  <c:v>69.0929</c:v>
                </c:pt>
                <c:pt idx="51">
                  <c:v>69.102900000000005</c:v>
                </c:pt>
                <c:pt idx="52">
                  <c:v>69.112899999999996</c:v>
                </c:pt>
                <c:pt idx="53">
                  <c:v>69.122900000000001</c:v>
                </c:pt>
                <c:pt idx="54">
                  <c:v>69.132900000000006</c:v>
                </c:pt>
                <c:pt idx="55">
                  <c:v>69.142899999999997</c:v>
                </c:pt>
                <c:pt idx="56">
                  <c:v>69.152900000000002</c:v>
                </c:pt>
                <c:pt idx="57">
                  <c:v>69.162899999999993</c:v>
                </c:pt>
                <c:pt idx="58">
                  <c:v>69.172899999999998</c:v>
                </c:pt>
                <c:pt idx="59">
                  <c:v>69.182900000000004</c:v>
                </c:pt>
                <c:pt idx="60">
                  <c:v>69.192899999999995</c:v>
                </c:pt>
                <c:pt idx="61">
                  <c:v>69.2029</c:v>
                </c:pt>
                <c:pt idx="62">
                  <c:v>69.212900000000005</c:v>
                </c:pt>
                <c:pt idx="63">
                  <c:v>69.222899999999996</c:v>
                </c:pt>
                <c:pt idx="64">
                  <c:v>69.232900000000001</c:v>
                </c:pt>
                <c:pt idx="65">
                  <c:v>69.242900000000006</c:v>
                </c:pt>
                <c:pt idx="66">
                  <c:v>69.252899999999997</c:v>
                </c:pt>
                <c:pt idx="67">
                  <c:v>69.262900000000002</c:v>
                </c:pt>
                <c:pt idx="68">
                  <c:v>69.272900000000007</c:v>
                </c:pt>
                <c:pt idx="69">
                  <c:v>69.282899999999998</c:v>
                </c:pt>
                <c:pt idx="70">
                  <c:v>69.292900000000003</c:v>
                </c:pt>
                <c:pt idx="71">
                  <c:v>69.302899999999994</c:v>
                </c:pt>
                <c:pt idx="72">
                  <c:v>69.312899999999999</c:v>
                </c:pt>
                <c:pt idx="73">
                  <c:v>69.322900000000004</c:v>
                </c:pt>
                <c:pt idx="74">
                  <c:v>69.332899999999995</c:v>
                </c:pt>
                <c:pt idx="75">
                  <c:v>69.3429</c:v>
                </c:pt>
                <c:pt idx="76">
                  <c:v>69.352900000000005</c:v>
                </c:pt>
                <c:pt idx="77">
                  <c:v>69.362899999999996</c:v>
                </c:pt>
                <c:pt idx="78">
                  <c:v>69.372900000000001</c:v>
                </c:pt>
                <c:pt idx="79">
                  <c:v>69.382900000000006</c:v>
                </c:pt>
                <c:pt idx="80">
                  <c:v>69.392899999999997</c:v>
                </c:pt>
                <c:pt idx="81">
                  <c:v>69.402900000000002</c:v>
                </c:pt>
                <c:pt idx="82">
                  <c:v>69.412899999999993</c:v>
                </c:pt>
                <c:pt idx="83">
                  <c:v>69.422899999999998</c:v>
                </c:pt>
                <c:pt idx="84">
                  <c:v>69.432900000000004</c:v>
                </c:pt>
                <c:pt idx="85">
                  <c:v>69.442899999999995</c:v>
                </c:pt>
                <c:pt idx="86">
                  <c:v>69.4529</c:v>
                </c:pt>
                <c:pt idx="87">
                  <c:v>69.462900000000005</c:v>
                </c:pt>
                <c:pt idx="88">
                  <c:v>69.472899999999996</c:v>
                </c:pt>
                <c:pt idx="89">
                  <c:v>69.482900000000001</c:v>
                </c:pt>
                <c:pt idx="90">
                  <c:v>69.492900000000006</c:v>
                </c:pt>
                <c:pt idx="91">
                  <c:v>69.502899999999997</c:v>
                </c:pt>
                <c:pt idx="92">
                  <c:v>69.512900000000002</c:v>
                </c:pt>
                <c:pt idx="93">
                  <c:v>69.522900000000007</c:v>
                </c:pt>
                <c:pt idx="94">
                  <c:v>69.532899999999998</c:v>
                </c:pt>
                <c:pt idx="95">
                  <c:v>69.542900000000003</c:v>
                </c:pt>
                <c:pt idx="96">
                  <c:v>69.552899999999994</c:v>
                </c:pt>
                <c:pt idx="97">
                  <c:v>69.562899999999999</c:v>
                </c:pt>
                <c:pt idx="98">
                  <c:v>69.572900000000004</c:v>
                </c:pt>
                <c:pt idx="99">
                  <c:v>69.582899999999995</c:v>
                </c:pt>
                <c:pt idx="100">
                  <c:v>69.5929</c:v>
                </c:pt>
                <c:pt idx="101">
                  <c:v>69.602900000000005</c:v>
                </c:pt>
                <c:pt idx="102">
                  <c:v>69.612899999999996</c:v>
                </c:pt>
                <c:pt idx="103">
                  <c:v>69.622900000000001</c:v>
                </c:pt>
                <c:pt idx="104">
                  <c:v>69.632900000000006</c:v>
                </c:pt>
                <c:pt idx="105">
                  <c:v>69.642899999999997</c:v>
                </c:pt>
                <c:pt idx="106">
                  <c:v>69.652900000000002</c:v>
                </c:pt>
                <c:pt idx="107">
                  <c:v>69.662899999999993</c:v>
                </c:pt>
                <c:pt idx="108">
                  <c:v>69.672899999999998</c:v>
                </c:pt>
                <c:pt idx="109">
                  <c:v>69.682900000000004</c:v>
                </c:pt>
                <c:pt idx="110">
                  <c:v>69.692899999999995</c:v>
                </c:pt>
                <c:pt idx="111">
                  <c:v>69.7029</c:v>
                </c:pt>
                <c:pt idx="112">
                  <c:v>69.712900000000005</c:v>
                </c:pt>
                <c:pt idx="113">
                  <c:v>69.722899999999996</c:v>
                </c:pt>
                <c:pt idx="114">
                  <c:v>69.732900000000001</c:v>
                </c:pt>
                <c:pt idx="115">
                  <c:v>69.742900000000006</c:v>
                </c:pt>
                <c:pt idx="116">
                  <c:v>69.752899999999997</c:v>
                </c:pt>
                <c:pt idx="117">
                  <c:v>69.762900000000002</c:v>
                </c:pt>
                <c:pt idx="118">
                  <c:v>69.772900000000007</c:v>
                </c:pt>
                <c:pt idx="119">
                  <c:v>69.782899999999998</c:v>
                </c:pt>
                <c:pt idx="120">
                  <c:v>69.792900000000003</c:v>
                </c:pt>
                <c:pt idx="121">
                  <c:v>69.802899999999994</c:v>
                </c:pt>
                <c:pt idx="122">
                  <c:v>69.812899999999999</c:v>
                </c:pt>
                <c:pt idx="123">
                  <c:v>69.822900000000004</c:v>
                </c:pt>
                <c:pt idx="124">
                  <c:v>69.832899999999995</c:v>
                </c:pt>
                <c:pt idx="125">
                  <c:v>69.8429</c:v>
                </c:pt>
                <c:pt idx="126">
                  <c:v>69.852900000000005</c:v>
                </c:pt>
                <c:pt idx="127">
                  <c:v>69.862899999999996</c:v>
                </c:pt>
                <c:pt idx="128">
                  <c:v>69.872900000000001</c:v>
                </c:pt>
                <c:pt idx="129">
                  <c:v>69.882900000000006</c:v>
                </c:pt>
                <c:pt idx="130">
                  <c:v>69.892899999999997</c:v>
                </c:pt>
                <c:pt idx="131">
                  <c:v>69.902900000000002</c:v>
                </c:pt>
                <c:pt idx="132">
                  <c:v>69.912899999999993</c:v>
                </c:pt>
                <c:pt idx="133">
                  <c:v>69.922899999999998</c:v>
                </c:pt>
                <c:pt idx="134">
                  <c:v>69.932900000000004</c:v>
                </c:pt>
                <c:pt idx="135">
                  <c:v>69.942899999999995</c:v>
                </c:pt>
                <c:pt idx="136">
                  <c:v>69.9529</c:v>
                </c:pt>
                <c:pt idx="137">
                  <c:v>69.962900000000005</c:v>
                </c:pt>
                <c:pt idx="138">
                  <c:v>69.972899999999996</c:v>
                </c:pt>
                <c:pt idx="139">
                  <c:v>69.982900000000001</c:v>
                </c:pt>
                <c:pt idx="140">
                  <c:v>69.992900000000006</c:v>
                </c:pt>
                <c:pt idx="141">
                  <c:v>70.002899999999997</c:v>
                </c:pt>
                <c:pt idx="142">
                  <c:v>70.012900000000002</c:v>
                </c:pt>
                <c:pt idx="143">
                  <c:v>70.022900000000007</c:v>
                </c:pt>
                <c:pt idx="144">
                  <c:v>70.032899999999998</c:v>
                </c:pt>
                <c:pt idx="145">
                  <c:v>70.042900000000003</c:v>
                </c:pt>
                <c:pt idx="146">
                  <c:v>70.052899999999994</c:v>
                </c:pt>
                <c:pt idx="147">
                  <c:v>70.062899999999999</c:v>
                </c:pt>
                <c:pt idx="148">
                  <c:v>70.072900000000004</c:v>
                </c:pt>
                <c:pt idx="149">
                  <c:v>70.082899999999995</c:v>
                </c:pt>
                <c:pt idx="150">
                  <c:v>70.0929</c:v>
                </c:pt>
                <c:pt idx="151">
                  <c:v>70.102900000000005</c:v>
                </c:pt>
                <c:pt idx="152">
                  <c:v>70.112899999999996</c:v>
                </c:pt>
                <c:pt idx="153">
                  <c:v>70.122900000000001</c:v>
                </c:pt>
                <c:pt idx="154">
                  <c:v>70.132900000000006</c:v>
                </c:pt>
                <c:pt idx="155">
                  <c:v>70.142899999999997</c:v>
                </c:pt>
                <c:pt idx="156">
                  <c:v>70.152900000000002</c:v>
                </c:pt>
                <c:pt idx="157">
                  <c:v>70.162899999999993</c:v>
                </c:pt>
                <c:pt idx="158">
                  <c:v>70.172899999999998</c:v>
                </c:pt>
                <c:pt idx="159">
                  <c:v>70.182900000000004</c:v>
                </c:pt>
                <c:pt idx="160">
                  <c:v>70.192899999999995</c:v>
                </c:pt>
                <c:pt idx="161">
                  <c:v>70.2029</c:v>
                </c:pt>
                <c:pt idx="162">
                  <c:v>70.212900000000005</c:v>
                </c:pt>
                <c:pt idx="163">
                  <c:v>70.222899999999996</c:v>
                </c:pt>
                <c:pt idx="164">
                  <c:v>70.232900000000001</c:v>
                </c:pt>
                <c:pt idx="165">
                  <c:v>70.242900000000006</c:v>
                </c:pt>
                <c:pt idx="166">
                  <c:v>70.252899999999997</c:v>
                </c:pt>
                <c:pt idx="167">
                  <c:v>70.262900000000002</c:v>
                </c:pt>
                <c:pt idx="168">
                  <c:v>70.272900000000007</c:v>
                </c:pt>
                <c:pt idx="169">
                  <c:v>70.282899999999998</c:v>
                </c:pt>
                <c:pt idx="170">
                  <c:v>70.292900000000003</c:v>
                </c:pt>
                <c:pt idx="171">
                  <c:v>70.302899999999994</c:v>
                </c:pt>
                <c:pt idx="172">
                  <c:v>70.312899999999999</c:v>
                </c:pt>
                <c:pt idx="173">
                  <c:v>70.322900000000004</c:v>
                </c:pt>
                <c:pt idx="174">
                  <c:v>70.332899999999995</c:v>
                </c:pt>
                <c:pt idx="175">
                  <c:v>70.3429</c:v>
                </c:pt>
                <c:pt idx="176">
                  <c:v>70.352900000000005</c:v>
                </c:pt>
                <c:pt idx="177">
                  <c:v>70.362899999999996</c:v>
                </c:pt>
                <c:pt idx="178">
                  <c:v>70.372900000000001</c:v>
                </c:pt>
                <c:pt idx="179">
                  <c:v>70.382900000000006</c:v>
                </c:pt>
                <c:pt idx="180">
                  <c:v>70.392899999999997</c:v>
                </c:pt>
                <c:pt idx="181">
                  <c:v>70.402900000000002</c:v>
                </c:pt>
                <c:pt idx="182">
                  <c:v>70.412899999999993</c:v>
                </c:pt>
                <c:pt idx="183">
                  <c:v>70.422899999999998</c:v>
                </c:pt>
                <c:pt idx="184">
                  <c:v>70.432900000000004</c:v>
                </c:pt>
                <c:pt idx="185">
                  <c:v>70.442899999999995</c:v>
                </c:pt>
                <c:pt idx="186">
                  <c:v>70.4529</c:v>
                </c:pt>
                <c:pt idx="187">
                  <c:v>70.462900000000005</c:v>
                </c:pt>
                <c:pt idx="188">
                  <c:v>70.472899999999996</c:v>
                </c:pt>
                <c:pt idx="189">
                  <c:v>70.482900000000001</c:v>
                </c:pt>
                <c:pt idx="190">
                  <c:v>70.492900000000006</c:v>
                </c:pt>
                <c:pt idx="191">
                  <c:v>70.502899999999997</c:v>
                </c:pt>
                <c:pt idx="192">
                  <c:v>70.512900000000002</c:v>
                </c:pt>
                <c:pt idx="193">
                  <c:v>70.522900000000007</c:v>
                </c:pt>
                <c:pt idx="194">
                  <c:v>70.532899999999998</c:v>
                </c:pt>
                <c:pt idx="195">
                  <c:v>70.542900000000003</c:v>
                </c:pt>
                <c:pt idx="196">
                  <c:v>70.552899999999994</c:v>
                </c:pt>
                <c:pt idx="197">
                  <c:v>70.562899999999999</c:v>
                </c:pt>
                <c:pt idx="198">
                  <c:v>70.572900000000004</c:v>
                </c:pt>
                <c:pt idx="199">
                  <c:v>70.582899999999995</c:v>
                </c:pt>
                <c:pt idx="200">
                  <c:v>70.5929</c:v>
                </c:pt>
              </c:numCache>
            </c:numRef>
          </c:xVal>
          <c:yVal>
            <c:numRef>
              <c:f>Si_Thermo_01!$E$22:$E$222</c:f>
              <c:numCache>
                <c:formatCode>General</c:formatCode>
                <c:ptCount val="201"/>
                <c:pt idx="0">
                  <c:v>17</c:v>
                </c:pt>
                <c:pt idx="1">
                  <c:v>8.992078282668178</c:v>
                </c:pt>
                <c:pt idx="2">
                  <c:v>8.9851723204126444</c:v>
                </c:pt>
                <c:pt idx="3">
                  <c:v>27.009758254939282</c:v>
                </c:pt>
                <c:pt idx="4">
                  <c:v>19.019368297002146</c:v>
                </c:pt>
                <c:pt idx="5">
                  <c:v>7.0262275025261207</c:v>
                </c:pt>
                <c:pt idx="6">
                  <c:v>10.043482597815929</c:v>
                </c:pt>
                <c:pt idx="7">
                  <c:v>14.076957427557263</c:v>
                </c:pt>
                <c:pt idx="8">
                  <c:v>11.055563067473425</c:v>
                </c:pt>
                <c:pt idx="9">
                  <c:v>15.074420081411523</c:v>
                </c:pt>
                <c:pt idx="10">
                  <c:v>12.052674546533897</c:v>
                </c:pt>
                <c:pt idx="11">
                  <c:v>17.07534021607642</c:v>
                </c:pt>
                <c:pt idx="12">
                  <c:v>17.094485854835</c:v>
                </c:pt>
                <c:pt idx="13">
                  <c:v>14.101383231400595</c:v>
                </c:pt>
                <c:pt idx="14">
                  <c:v>10.085730567237562</c:v>
                </c:pt>
                <c:pt idx="15">
                  <c:v>19.171474244173908</c:v>
                </c:pt>
                <c:pt idx="16">
                  <c:v>22.175945133071366</c:v>
                </c:pt>
                <c:pt idx="17">
                  <c:v>16.110107819391267</c:v>
                </c:pt>
                <c:pt idx="18">
                  <c:v>16.145046143039558</c:v>
                </c:pt>
                <c:pt idx="19">
                  <c:v>13.141713384175249</c:v>
                </c:pt>
                <c:pt idx="20">
                  <c:v>22.266446567590979</c:v>
                </c:pt>
                <c:pt idx="21">
                  <c:v>11.140770934628522</c:v>
                </c:pt>
                <c:pt idx="22">
                  <c:v>17.22039834949728</c:v>
                </c:pt>
                <c:pt idx="23">
                  <c:v>21.274784227260618</c:v>
                </c:pt>
                <c:pt idx="24">
                  <c:v>25.320224153279497</c:v>
                </c:pt>
                <c:pt idx="25">
                  <c:v>12.159579807999181</c:v>
                </c:pt>
                <c:pt idx="26">
                  <c:v>17.248266444373783</c:v>
                </c:pt>
                <c:pt idx="27">
                  <c:v>15.227547372725988</c:v>
                </c:pt>
                <c:pt idx="28">
                  <c:v>17.22429193820486</c:v>
                </c:pt>
                <c:pt idx="29">
                  <c:v>16.208919548864763</c:v>
                </c:pt>
                <c:pt idx="30">
                  <c:v>9.130086782998184</c:v>
                </c:pt>
                <c:pt idx="31">
                  <c:v>17.288864507906517</c:v>
                </c:pt>
                <c:pt idx="32">
                  <c:v>13.231145152220437</c:v>
                </c:pt>
                <c:pt idx="33">
                  <c:v>18.329638617682569</c:v>
                </c:pt>
                <c:pt idx="34">
                  <c:v>16.302928151348809</c:v>
                </c:pt>
                <c:pt idx="35">
                  <c:v>15.27927690537029</c:v>
                </c:pt>
                <c:pt idx="36">
                  <c:v>17.328603249757105</c:v>
                </c:pt>
                <c:pt idx="37">
                  <c:v>23.461575209794187</c:v>
                </c:pt>
                <c:pt idx="38">
                  <c:v>22.455407747638997</c:v>
                </c:pt>
                <c:pt idx="39">
                  <c:v>24.510957039562509</c:v>
                </c:pt>
                <c:pt idx="40">
                  <c:v>27.553765128935066</c:v>
                </c:pt>
                <c:pt idx="41">
                  <c:v>19.393924494295852</c:v>
                </c:pt>
                <c:pt idx="42">
                  <c:v>24.520973003041668</c:v>
                </c:pt>
                <c:pt idx="43">
                  <c:v>35.772519817964444</c:v>
                </c:pt>
                <c:pt idx="44">
                  <c:v>34.73132286902252</c:v>
                </c:pt>
                <c:pt idx="45">
                  <c:v>37.781773881128323</c:v>
                </c:pt>
                <c:pt idx="46">
                  <c:v>31.719419848835948</c:v>
                </c:pt>
                <c:pt idx="47">
                  <c:v>36.934562780057455</c:v>
                </c:pt>
                <c:pt idx="48">
                  <c:v>55.418829939818487</c:v>
                </c:pt>
                <c:pt idx="49">
                  <c:v>40.026299604174206</c:v>
                </c:pt>
                <c:pt idx="50">
                  <c:v>53.432964945975179</c:v>
                </c:pt>
                <c:pt idx="51">
                  <c:v>48.274614179326448</c:v>
                </c:pt>
                <c:pt idx="52">
                  <c:v>57.561861608991016</c:v>
                </c:pt>
                <c:pt idx="53">
                  <c:v>66.815815722231804</c:v>
                </c:pt>
                <c:pt idx="54">
                  <c:v>86.353150713424654</c:v>
                </c:pt>
                <c:pt idx="55">
                  <c:v>81.208923494773629</c:v>
                </c:pt>
                <c:pt idx="56">
                  <c:v>77.035687242851722</c:v>
                </c:pt>
                <c:pt idx="57">
                  <c:v>86.340499915736487</c:v>
                </c:pt>
                <c:pt idx="58">
                  <c:v>100.93968836825839</c:v>
                </c:pt>
                <c:pt idx="59">
                  <c:v>111.44802232938935</c:v>
                </c:pt>
                <c:pt idx="60">
                  <c:v>128.1122862739193</c:v>
                </c:pt>
                <c:pt idx="61">
                  <c:v>148.63257487266137</c:v>
                </c:pt>
                <c:pt idx="62">
                  <c:v>150.49330061201471</c:v>
                </c:pt>
                <c:pt idx="63">
                  <c:v>176.47443017620418</c:v>
                </c:pt>
                <c:pt idx="64">
                  <c:v>188.05206575051969</c:v>
                </c:pt>
                <c:pt idx="65">
                  <c:v>204.54638671793302</c:v>
                </c:pt>
                <c:pt idx="66">
                  <c:v>185.03888943124571</c:v>
                </c:pt>
                <c:pt idx="67">
                  <c:v>219.45092108737924</c:v>
                </c:pt>
                <c:pt idx="68">
                  <c:v>235.11916003347596</c:v>
                </c:pt>
                <c:pt idx="69">
                  <c:v>265.11954009314621</c:v>
                </c:pt>
                <c:pt idx="70">
                  <c:v>289.07518724716283</c:v>
                </c:pt>
                <c:pt idx="71">
                  <c:v>344.4972004973427</c:v>
                </c:pt>
                <c:pt idx="72">
                  <c:v>348.50153979248142</c:v>
                </c:pt>
                <c:pt idx="73">
                  <c:v>426.0840715090373</c:v>
                </c:pt>
                <c:pt idx="74">
                  <c:v>453.07572816470372</c:v>
                </c:pt>
                <c:pt idx="75">
                  <c:v>450.38283529034948</c:v>
                </c:pt>
                <c:pt idx="76">
                  <c:v>490.97665168351006</c:v>
                </c:pt>
                <c:pt idx="77">
                  <c:v>588.41956347764449</c:v>
                </c:pt>
                <c:pt idx="78">
                  <c:v>643.24210247668555</c:v>
                </c:pt>
                <c:pt idx="79">
                  <c:v>755.38210661265498</c:v>
                </c:pt>
                <c:pt idx="80">
                  <c:v>851.38378080171765</c:v>
                </c:pt>
                <c:pt idx="81">
                  <c:v>917.29689080716059</c:v>
                </c:pt>
                <c:pt idx="82">
                  <c:v>1028.052400846296</c:v>
                </c:pt>
                <c:pt idx="83">
                  <c:v>1277.4655078774715</c:v>
                </c:pt>
                <c:pt idx="84">
                  <c:v>1454.9112371253377</c:v>
                </c:pt>
                <c:pt idx="85">
                  <c:v>1643.1703860056839</c:v>
                </c:pt>
                <c:pt idx="86">
                  <c:v>1727.4738606871285</c:v>
                </c:pt>
                <c:pt idx="87">
                  <c:v>2154.2728896301733</c:v>
                </c:pt>
                <c:pt idx="88">
                  <c:v>2569.5416676265668</c:v>
                </c:pt>
                <c:pt idx="89">
                  <c:v>3286.9588883261663</c:v>
                </c:pt>
                <c:pt idx="90">
                  <c:v>4074.6648633594805</c:v>
                </c:pt>
                <c:pt idx="91">
                  <c:v>5059.1707305606405</c:v>
                </c:pt>
                <c:pt idx="92">
                  <c:v>6835.1297777769078</c:v>
                </c:pt>
                <c:pt idx="93">
                  <c:v>9152.7399255525725</c:v>
                </c:pt>
                <c:pt idx="94">
                  <c:v>12579.598349257123</c:v>
                </c:pt>
                <c:pt idx="95">
                  <c:v>18388.935511394266</c:v>
                </c:pt>
                <c:pt idx="96">
                  <c:v>29895.931894011304</c:v>
                </c:pt>
                <c:pt idx="97">
                  <c:v>57660.116316188563</c:v>
                </c:pt>
                <c:pt idx="98">
                  <c:v>172441.21794435914</c:v>
                </c:pt>
                <c:pt idx="99">
                  <c:v>3437078.6694185119</c:v>
                </c:pt>
                <c:pt idx="100">
                  <c:v>10732462.576235933</c:v>
                </c:pt>
                <c:pt idx="101">
                  <c:v>3369272.8065355821</c:v>
                </c:pt>
                <c:pt idx="102">
                  <c:v>156108.55726173174</c:v>
                </c:pt>
                <c:pt idx="103">
                  <c:v>59001.547376670671</c:v>
                </c:pt>
                <c:pt idx="104">
                  <c:v>31612.246694891506</c:v>
                </c:pt>
                <c:pt idx="105">
                  <c:v>19634.587333355568</c:v>
                </c:pt>
                <c:pt idx="106">
                  <c:v>13415.233451631813</c:v>
                </c:pt>
                <c:pt idx="107">
                  <c:v>9902.762480532454</c:v>
                </c:pt>
                <c:pt idx="108">
                  <c:v>7700.2410490854518</c:v>
                </c:pt>
                <c:pt idx="109">
                  <c:v>6103.3401768044632</c:v>
                </c:pt>
                <c:pt idx="110">
                  <c:v>5054.4150867661137</c:v>
                </c:pt>
                <c:pt idx="111">
                  <c:v>4210.9519197939708</c:v>
                </c:pt>
                <c:pt idx="112">
                  <c:v>3467.4440660818609</c:v>
                </c:pt>
                <c:pt idx="113">
                  <c:v>2822.1571619699712</c:v>
                </c:pt>
                <c:pt idx="114">
                  <c:v>2600.6691296727822</c:v>
                </c:pt>
                <c:pt idx="115">
                  <c:v>2184.9869165657983</c:v>
                </c:pt>
                <c:pt idx="116">
                  <c:v>1972.0903647366674</c:v>
                </c:pt>
                <c:pt idx="117">
                  <c:v>1761.6973347382652</c:v>
                </c:pt>
                <c:pt idx="118">
                  <c:v>1528.7432223458725</c:v>
                </c:pt>
                <c:pt idx="119">
                  <c:v>1360.667242756469</c:v>
                </c:pt>
                <c:pt idx="120">
                  <c:v>1222.8264716459971</c:v>
                </c:pt>
                <c:pt idx="121">
                  <c:v>1130.3434932906357</c:v>
                </c:pt>
                <c:pt idx="122">
                  <c:v>1036.910818670317</c:v>
                </c:pt>
                <c:pt idx="123">
                  <c:v>920.26206915304181</c:v>
                </c:pt>
                <c:pt idx="124">
                  <c:v>894.0158368258908</c:v>
                </c:pt>
                <c:pt idx="125">
                  <c:v>838.06781817558669</c:v>
                </c:pt>
                <c:pt idx="126">
                  <c:v>698.87599720785568</c:v>
                </c:pt>
                <c:pt idx="127">
                  <c:v>671.47381902781444</c:v>
                </c:pt>
                <c:pt idx="128">
                  <c:v>688.67253504030316</c:v>
                </c:pt>
                <c:pt idx="129">
                  <c:v>648.65017257721559</c:v>
                </c:pt>
                <c:pt idx="130">
                  <c:v>560.43900190739896</c:v>
                </c:pt>
                <c:pt idx="131">
                  <c:v>516.40802815711618</c:v>
                </c:pt>
                <c:pt idx="132">
                  <c:v>508.53848967828412</c:v>
                </c:pt>
                <c:pt idx="133">
                  <c:v>466.72588152634302</c:v>
                </c:pt>
                <c:pt idx="134">
                  <c:v>455.74289730265338</c:v>
                </c:pt>
                <c:pt idx="135">
                  <c:v>398.90916599281695</c:v>
                </c:pt>
                <c:pt idx="136">
                  <c:v>374.27162882812132</c:v>
                </c:pt>
                <c:pt idx="137">
                  <c:v>374.67300883354511</c:v>
                </c:pt>
                <c:pt idx="138">
                  <c:v>385.89550845495114</c:v>
                </c:pt>
                <c:pt idx="139">
                  <c:v>348.58423846815708</c:v>
                </c:pt>
                <c:pt idx="140">
                  <c:v>326.98759949010883</c:v>
                </c:pt>
                <c:pt idx="141">
                  <c:v>310.9453316680071</c:v>
                </c:pt>
                <c:pt idx="142">
                  <c:v>313.83686376089202</c:v>
                </c:pt>
                <c:pt idx="143">
                  <c:v>263.85772537927892</c:v>
                </c:pt>
                <c:pt idx="144">
                  <c:v>257.95974839536581</c:v>
                </c:pt>
                <c:pt idx="145">
                  <c:v>249.20595755944424</c:v>
                </c:pt>
                <c:pt idx="146">
                  <c:v>230.55411432830113</c:v>
                </c:pt>
                <c:pt idx="147">
                  <c:v>234.64356838188658</c:v>
                </c:pt>
                <c:pt idx="148">
                  <c:v>232.26302213464808</c:v>
                </c:pt>
                <c:pt idx="149">
                  <c:v>201.39891075606582</c:v>
                </c:pt>
                <c:pt idx="150">
                  <c:v>211.56598203187244</c:v>
                </c:pt>
                <c:pt idx="151">
                  <c:v>182.69078301339638</c:v>
                </c:pt>
                <c:pt idx="152">
                  <c:v>220.71767590863075</c:v>
                </c:pt>
                <c:pt idx="153">
                  <c:v>165.31134534713831</c:v>
                </c:pt>
                <c:pt idx="154">
                  <c:v>167.46447431949323</c:v>
                </c:pt>
                <c:pt idx="155">
                  <c:v>149.32939035576766</c:v>
                </c:pt>
                <c:pt idx="156">
                  <c:v>162.28562358930742</c:v>
                </c:pt>
                <c:pt idx="157">
                  <c:v>142.86682624112481</c:v>
                </c:pt>
                <c:pt idx="158">
                  <c:v>153.87249228073003</c:v>
                </c:pt>
                <c:pt idx="159">
                  <c:v>148.42335121817393</c:v>
                </c:pt>
                <c:pt idx="160">
                  <c:v>123.50122261334963</c:v>
                </c:pt>
                <c:pt idx="161">
                  <c:v>141.90084694546158</c:v>
                </c:pt>
                <c:pt idx="162">
                  <c:v>121.62379820194549</c:v>
                </c:pt>
                <c:pt idx="163">
                  <c:v>115.26848294328643</c:v>
                </c:pt>
                <c:pt idx="164">
                  <c:v>98.94762397646096</c:v>
                </c:pt>
                <c:pt idx="165">
                  <c:v>104.31890815508764</c:v>
                </c:pt>
                <c:pt idx="166">
                  <c:v>104.22800575001666</c:v>
                </c:pt>
                <c:pt idx="167">
                  <c:v>106.39290561214702</c:v>
                </c:pt>
                <c:pt idx="168">
                  <c:v>125.07513438817944</c:v>
                </c:pt>
                <c:pt idx="169">
                  <c:v>97.976920944556696</c:v>
                </c:pt>
                <c:pt idx="170">
                  <c:v>115.60617667863026</c:v>
                </c:pt>
                <c:pt idx="171">
                  <c:v>91.749317427658767</c:v>
                </c:pt>
                <c:pt idx="172">
                  <c:v>85.166567534412849</c:v>
                </c:pt>
                <c:pt idx="173">
                  <c:v>81.834537190752258</c:v>
                </c:pt>
                <c:pt idx="174">
                  <c:v>69.865595534612467</c:v>
                </c:pt>
                <c:pt idx="175">
                  <c:v>82.973290409615984</c:v>
                </c:pt>
                <c:pt idx="176">
                  <c:v>73.112762180004921</c:v>
                </c:pt>
                <c:pt idx="177">
                  <c:v>61.231161941507722</c:v>
                </c:pt>
                <c:pt idx="178">
                  <c:v>64.578033250877908</c:v>
                </c:pt>
                <c:pt idx="179">
                  <c:v>70.06926586869011</c:v>
                </c:pt>
                <c:pt idx="180">
                  <c:v>62.40922103676472</c:v>
                </c:pt>
                <c:pt idx="181">
                  <c:v>74.472941240146454</c:v>
                </c:pt>
                <c:pt idx="182">
                  <c:v>55.839708742985032</c:v>
                </c:pt>
                <c:pt idx="183">
                  <c:v>44.956935923286657</c:v>
                </c:pt>
                <c:pt idx="184">
                  <c:v>59.2190669055719</c:v>
                </c:pt>
                <c:pt idx="185">
                  <c:v>51.594253845317631</c:v>
                </c:pt>
                <c:pt idx="186">
                  <c:v>48.326420310579266</c:v>
                </c:pt>
                <c:pt idx="187">
                  <c:v>54.939169498529935</c:v>
                </c:pt>
                <c:pt idx="188">
                  <c:v>45.056219153315055</c:v>
                </c:pt>
                <c:pt idx="189">
                  <c:v>29.667340381419109</c:v>
                </c:pt>
                <c:pt idx="190">
                  <c:v>41.798281321454489</c:v>
                </c:pt>
                <c:pt idx="191">
                  <c:v>35.196294552677351</c:v>
                </c:pt>
                <c:pt idx="192">
                  <c:v>41.863900437794946</c:v>
                </c:pt>
                <c:pt idx="193">
                  <c:v>40.771791171263224</c:v>
                </c:pt>
                <c:pt idx="194">
                  <c:v>38.572538034253661</c:v>
                </c:pt>
                <c:pt idx="195">
                  <c:v>29.761553598642283</c:v>
                </c:pt>
                <c:pt idx="196">
                  <c:v>35.319538099646799</c:v>
                </c:pt>
                <c:pt idx="197">
                  <c:v>32.071031678097434</c:v>
                </c:pt>
                <c:pt idx="198">
                  <c:v>32.061142463876074</c:v>
                </c:pt>
                <c:pt idx="199">
                  <c:v>33.165716929190552</c:v>
                </c:pt>
                <c:pt idx="200">
                  <c:v>35.356335787184655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0-463E-B661-B69F39586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016895"/>
        <c:axId val="710005375"/>
      </c:scatterChart>
      <c:valAx>
        <c:axId val="710016895"/>
        <c:scaling>
          <c:orientation val="minMax"/>
          <c:max val="70.61"/>
          <c:min val="6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05375"/>
        <c:crosses val="autoZero"/>
        <c:crossBetween val="midCat"/>
      </c:valAx>
      <c:valAx>
        <c:axId val="710005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01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327073369726552E-2"/>
          <c:y val="3.3107599699021821E-2"/>
          <c:w val="0.8548591157954285"/>
          <c:h val="0.89731145909244414"/>
        </c:manualLayout>
      </c:layout>
      <c:scatterChart>
        <c:scatterStyle val="lineMarker"/>
        <c:varyColors val="0"/>
        <c:ser>
          <c:idx val="0"/>
          <c:order val="0"/>
          <c:tx>
            <c:strRef>
              <c:f>TEOS_01_omega!$A$3</c:f>
              <c:strCache>
                <c:ptCount val="1"/>
                <c:pt idx="0">
                  <c:v>TEOS_01_omega.dat</c:v>
                </c:pt>
              </c:strCache>
            </c:strRef>
          </c:tx>
          <c:spPr>
            <a:ln w="12700" cap="rnd">
              <a:solidFill>
                <a:srgbClr val="3399FF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TEOS_01_omega!$A$22:$A$102</c:f>
              <c:numCache>
                <c:formatCode>General</c:formatCode>
                <c:ptCount val="81"/>
                <c:pt idx="0">
                  <c:v>35.103699999999996</c:v>
                </c:pt>
                <c:pt idx="1">
                  <c:v>35.104700000000001</c:v>
                </c:pt>
                <c:pt idx="2">
                  <c:v>35.105699999999999</c:v>
                </c:pt>
                <c:pt idx="3">
                  <c:v>35.106699999999996</c:v>
                </c:pt>
                <c:pt idx="4">
                  <c:v>35.107700000000001</c:v>
                </c:pt>
                <c:pt idx="5">
                  <c:v>35.108699999999999</c:v>
                </c:pt>
                <c:pt idx="6">
                  <c:v>35.109699999999997</c:v>
                </c:pt>
                <c:pt idx="7">
                  <c:v>35.110700000000001</c:v>
                </c:pt>
                <c:pt idx="8">
                  <c:v>35.111699999999999</c:v>
                </c:pt>
                <c:pt idx="9">
                  <c:v>35.112699999999997</c:v>
                </c:pt>
                <c:pt idx="10">
                  <c:v>35.113700000000001</c:v>
                </c:pt>
                <c:pt idx="11">
                  <c:v>35.114699999999999</c:v>
                </c:pt>
                <c:pt idx="12">
                  <c:v>35.115699999999997</c:v>
                </c:pt>
                <c:pt idx="13">
                  <c:v>35.116700000000002</c:v>
                </c:pt>
                <c:pt idx="14">
                  <c:v>35.117699999999999</c:v>
                </c:pt>
                <c:pt idx="15">
                  <c:v>35.118699999999997</c:v>
                </c:pt>
                <c:pt idx="16">
                  <c:v>35.119700000000002</c:v>
                </c:pt>
                <c:pt idx="17">
                  <c:v>35.120699999999999</c:v>
                </c:pt>
                <c:pt idx="18">
                  <c:v>35.121699999999997</c:v>
                </c:pt>
                <c:pt idx="19">
                  <c:v>35.122700000000002</c:v>
                </c:pt>
                <c:pt idx="20">
                  <c:v>35.123699999999999</c:v>
                </c:pt>
                <c:pt idx="21">
                  <c:v>35.124699999999997</c:v>
                </c:pt>
                <c:pt idx="22">
                  <c:v>35.125700000000002</c:v>
                </c:pt>
                <c:pt idx="23">
                  <c:v>35.1267</c:v>
                </c:pt>
                <c:pt idx="24">
                  <c:v>35.127699999999997</c:v>
                </c:pt>
                <c:pt idx="25">
                  <c:v>35.128699999999995</c:v>
                </c:pt>
                <c:pt idx="26">
                  <c:v>35.1297</c:v>
                </c:pt>
                <c:pt idx="27">
                  <c:v>35.130699999999997</c:v>
                </c:pt>
                <c:pt idx="28">
                  <c:v>35.131699999999995</c:v>
                </c:pt>
                <c:pt idx="29">
                  <c:v>35.1327</c:v>
                </c:pt>
                <c:pt idx="30">
                  <c:v>35.133699999999997</c:v>
                </c:pt>
                <c:pt idx="31">
                  <c:v>35.134699999999995</c:v>
                </c:pt>
                <c:pt idx="32">
                  <c:v>35.1357</c:v>
                </c:pt>
                <c:pt idx="33">
                  <c:v>35.136699999999998</c:v>
                </c:pt>
                <c:pt idx="34">
                  <c:v>35.137699999999995</c:v>
                </c:pt>
                <c:pt idx="35">
                  <c:v>35.1387</c:v>
                </c:pt>
                <c:pt idx="36">
                  <c:v>35.139699999999998</c:v>
                </c:pt>
                <c:pt idx="37">
                  <c:v>35.140699999999995</c:v>
                </c:pt>
                <c:pt idx="38">
                  <c:v>35.1417</c:v>
                </c:pt>
                <c:pt idx="39">
                  <c:v>35.142699999999998</c:v>
                </c:pt>
                <c:pt idx="40">
                  <c:v>35.143699999999995</c:v>
                </c:pt>
                <c:pt idx="41">
                  <c:v>35.1447</c:v>
                </c:pt>
                <c:pt idx="42">
                  <c:v>35.145699999999998</c:v>
                </c:pt>
                <c:pt idx="43">
                  <c:v>35.146699999999996</c:v>
                </c:pt>
                <c:pt idx="44">
                  <c:v>35.1477</c:v>
                </c:pt>
                <c:pt idx="45">
                  <c:v>35.148699999999998</c:v>
                </c:pt>
                <c:pt idx="46">
                  <c:v>35.149699999999996</c:v>
                </c:pt>
                <c:pt idx="47">
                  <c:v>35.150700000000001</c:v>
                </c:pt>
                <c:pt idx="48">
                  <c:v>35.151699999999998</c:v>
                </c:pt>
                <c:pt idx="49">
                  <c:v>35.152699999999996</c:v>
                </c:pt>
                <c:pt idx="50">
                  <c:v>35.153700000000001</c:v>
                </c:pt>
                <c:pt idx="51">
                  <c:v>35.154699999999998</c:v>
                </c:pt>
                <c:pt idx="52">
                  <c:v>35.155699999999996</c:v>
                </c:pt>
                <c:pt idx="53">
                  <c:v>35.156700000000001</c:v>
                </c:pt>
                <c:pt idx="54">
                  <c:v>35.157699999999998</c:v>
                </c:pt>
                <c:pt idx="55">
                  <c:v>35.158699999999996</c:v>
                </c:pt>
                <c:pt idx="56">
                  <c:v>35.159700000000001</c:v>
                </c:pt>
                <c:pt idx="57">
                  <c:v>35.160699999999999</c:v>
                </c:pt>
                <c:pt idx="58">
                  <c:v>35.161699999999996</c:v>
                </c:pt>
                <c:pt idx="59">
                  <c:v>35.162700000000001</c:v>
                </c:pt>
                <c:pt idx="60">
                  <c:v>35.163699999999999</c:v>
                </c:pt>
                <c:pt idx="61">
                  <c:v>35.164699999999996</c:v>
                </c:pt>
                <c:pt idx="62">
                  <c:v>35.165700000000001</c:v>
                </c:pt>
                <c:pt idx="63">
                  <c:v>35.166699999999999</c:v>
                </c:pt>
                <c:pt idx="64">
                  <c:v>35.167699999999996</c:v>
                </c:pt>
                <c:pt idx="65">
                  <c:v>35.168700000000001</c:v>
                </c:pt>
                <c:pt idx="66">
                  <c:v>35.169699999999999</c:v>
                </c:pt>
                <c:pt idx="67">
                  <c:v>35.170699999999997</c:v>
                </c:pt>
                <c:pt idx="68">
                  <c:v>35.171700000000001</c:v>
                </c:pt>
                <c:pt idx="69">
                  <c:v>35.172699999999999</c:v>
                </c:pt>
                <c:pt idx="70">
                  <c:v>35.173699999999997</c:v>
                </c:pt>
                <c:pt idx="71">
                  <c:v>35.174700000000001</c:v>
                </c:pt>
                <c:pt idx="72">
                  <c:v>35.175699999999999</c:v>
                </c:pt>
                <c:pt idx="73">
                  <c:v>35.176699999999997</c:v>
                </c:pt>
                <c:pt idx="74">
                  <c:v>35.177700000000002</c:v>
                </c:pt>
                <c:pt idx="75">
                  <c:v>35.178699999999999</c:v>
                </c:pt>
                <c:pt idx="76">
                  <c:v>35.179699999999997</c:v>
                </c:pt>
                <c:pt idx="77">
                  <c:v>35.180700000000002</c:v>
                </c:pt>
                <c:pt idx="78">
                  <c:v>35.181699999999999</c:v>
                </c:pt>
                <c:pt idx="79">
                  <c:v>35.182699999999997</c:v>
                </c:pt>
                <c:pt idx="80">
                  <c:v>35.183700000000002</c:v>
                </c:pt>
              </c:numCache>
            </c:numRef>
          </c:xVal>
          <c:yVal>
            <c:numRef>
              <c:f>TEOS_01_omega!$E$22:$E$102</c:f>
              <c:numCache>
                <c:formatCode>General</c:formatCode>
                <c:ptCount val="81"/>
                <c:pt idx="0">
                  <c:v>563.51447136333024</c:v>
                </c:pt>
                <c:pt idx="1">
                  <c:v>533.12871577399733</c:v>
                </c:pt>
                <c:pt idx="2">
                  <c:v>576.06275347866494</c:v>
                </c:pt>
                <c:pt idx="3">
                  <c:v>580.53304530721311</c:v>
                </c:pt>
                <c:pt idx="4">
                  <c:v>647.88514533478542</c:v>
                </c:pt>
                <c:pt idx="5">
                  <c:v>647.17792393309435</c:v>
                </c:pt>
                <c:pt idx="6">
                  <c:v>656.8859377422641</c:v>
                </c:pt>
                <c:pt idx="7">
                  <c:v>651.31218126798558</c:v>
                </c:pt>
                <c:pt idx="8">
                  <c:v>676.62422132830034</c:v>
                </c:pt>
                <c:pt idx="9">
                  <c:v>722.94469831035974</c:v>
                </c:pt>
                <c:pt idx="10">
                  <c:v>810.24763298800838</c:v>
                </c:pt>
                <c:pt idx="11">
                  <c:v>781.94414252733873</c:v>
                </c:pt>
                <c:pt idx="12">
                  <c:v>826.41720591814203</c:v>
                </c:pt>
                <c:pt idx="13">
                  <c:v>862.8510369055698</c:v>
                </c:pt>
                <c:pt idx="14">
                  <c:v>943.86977254020064</c:v>
                </c:pt>
                <c:pt idx="15">
                  <c:v>962.55570182868951</c:v>
                </c:pt>
                <c:pt idx="16">
                  <c:v>990.60290559974612</c:v>
                </c:pt>
                <c:pt idx="17">
                  <c:v>1104.9360026948289</c:v>
                </c:pt>
                <c:pt idx="18">
                  <c:v>1167.9202409703512</c:v>
                </c:pt>
                <c:pt idx="19">
                  <c:v>1311.2637060232462</c:v>
                </c:pt>
                <c:pt idx="20">
                  <c:v>1322.0402279418117</c:v>
                </c:pt>
                <c:pt idx="21">
                  <c:v>1679.5645894549177</c:v>
                </c:pt>
                <c:pt idx="22">
                  <c:v>2062.6520365177475</c:v>
                </c:pt>
                <c:pt idx="23">
                  <c:v>2749.6104487827301</c:v>
                </c:pt>
                <c:pt idx="24">
                  <c:v>4473.6740824228646</c:v>
                </c:pt>
                <c:pt idx="25">
                  <c:v>8033.8402359715337</c:v>
                </c:pt>
                <c:pt idx="26">
                  <c:v>17969.933190738037</c:v>
                </c:pt>
                <c:pt idx="27">
                  <c:v>148409.547027149</c:v>
                </c:pt>
                <c:pt idx="28">
                  <c:v>1510184.3409985225</c:v>
                </c:pt>
                <c:pt idx="29">
                  <c:v>3769241.7531518489</c:v>
                </c:pt>
                <c:pt idx="30">
                  <c:v>4705980.1359179169</c:v>
                </c:pt>
                <c:pt idx="31">
                  <c:v>5790379.119071574</c:v>
                </c:pt>
                <c:pt idx="32">
                  <c:v>8360989.9886861118</c:v>
                </c:pt>
                <c:pt idx="33">
                  <c:v>8399188.6102576051</c:v>
                </c:pt>
                <c:pt idx="34">
                  <c:v>8259731.2922272449</c:v>
                </c:pt>
                <c:pt idx="35">
                  <c:v>9197005.2848760951</c:v>
                </c:pt>
                <c:pt idx="36">
                  <c:v>7538160.5449195504</c:v>
                </c:pt>
                <c:pt idx="37">
                  <c:v>7161559.9236492068</c:v>
                </c:pt>
                <c:pt idx="38">
                  <c:v>7585181.7162227705</c:v>
                </c:pt>
                <c:pt idx="39">
                  <c:v>9016810.33853947</c:v>
                </c:pt>
                <c:pt idx="40">
                  <c:v>10536903.305431372</c:v>
                </c:pt>
                <c:pt idx="41">
                  <c:v>8323861.5191913377</c:v>
                </c:pt>
                <c:pt idx="42">
                  <c:v>5302535.1337599354</c:v>
                </c:pt>
                <c:pt idx="43">
                  <c:v>3020957.8053558716</c:v>
                </c:pt>
                <c:pt idx="44">
                  <c:v>3860915.0356637458</c:v>
                </c:pt>
                <c:pt idx="45">
                  <c:v>945847.17293142749</c:v>
                </c:pt>
                <c:pt idx="46">
                  <c:v>159564.70023323759</c:v>
                </c:pt>
                <c:pt idx="47">
                  <c:v>85666.716083739462</c:v>
                </c:pt>
                <c:pt idx="48">
                  <c:v>60821.880874675073</c:v>
                </c:pt>
                <c:pt idx="49">
                  <c:v>45545.285874312955</c:v>
                </c:pt>
                <c:pt idx="50">
                  <c:v>34806.818530996985</c:v>
                </c:pt>
                <c:pt idx="51">
                  <c:v>26249.50159457665</c:v>
                </c:pt>
                <c:pt idx="52">
                  <c:v>20393.035866691251</c:v>
                </c:pt>
                <c:pt idx="53">
                  <c:v>16256.570749533537</c:v>
                </c:pt>
                <c:pt idx="54">
                  <c:v>12508.221085786552</c:v>
                </c:pt>
                <c:pt idx="55">
                  <c:v>9635.7443615614447</c:v>
                </c:pt>
                <c:pt idx="56">
                  <c:v>7556.3250737598682</c:v>
                </c:pt>
                <c:pt idx="57">
                  <c:v>5905.5603572742075</c:v>
                </c:pt>
                <c:pt idx="58">
                  <c:v>4708.8639554173387</c:v>
                </c:pt>
                <c:pt idx="59">
                  <c:v>3771.4388592750233</c:v>
                </c:pt>
                <c:pt idx="60">
                  <c:v>2987.6806922062233</c:v>
                </c:pt>
                <c:pt idx="61">
                  <c:v>2523.9275389641612</c:v>
                </c:pt>
                <c:pt idx="62">
                  <c:v>2069.8780169747329</c:v>
                </c:pt>
                <c:pt idx="63">
                  <c:v>1738.6673836928912</c:v>
                </c:pt>
                <c:pt idx="64">
                  <c:v>1559.8987493315972</c:v>
                </c:pt>
                <c:pt idx="65">
                  <c:v>1345.8821482610622</c:v>
                </c:pt>
                <c:pt idx="66">
                  <c:v>1188.9900975452713</c:v>
                </c:pt>
                <c:pt idx="67">
                  <c:v>1078.6382006404031</c:v>
                </c:pt>
                <c:pt idx="68">
                  <c:v>863.34655581908476</c:v>
                </c:pt>
                <c:pt idx="69">
                  <c:v>791.72700895950629</c:v>
                </c:pt>
                <c:pt idx="70">
                  <c:v>777.70967007769832</c:v>
                </c:pt>
                <c:pt idx="71">
                  <c:v>723.99853315128564</c:v>
                </c:pt>
                <c:pt idx="72">
                  <c:v>669.86933737467837</c:v>
                </c:pt>
                <c:pt idx="73">
                  <c:v>612.49983592198259</c:v>
                </c:pt>
                <c:pt idx="74">
                  <c:v>574.0067973338854</c:v>
                </c:pt>
                <c:pt idx="75">
                  <c:v>600.7400378266675</c:v>
                </c:pt>
                <c:pt idx="76">
                  <c:v>553.46151008188906</c:v>
                </c:pt>
                <c:pt idx="77">
                  <c:v>476.97783305041958</c:v>
                </c:pt>
                <c:pt idx="78">
                  <c:v>545.27760939257564</c:v>
                </c:pt>
                <c:pt idx="79">
                  <c:v>466.35467890311736</c:v>
                </c:pt>
                <c:pt idx="80">
                  <c:v>409.77134208267847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B-4EEF-BB56-18F7C805589B}"/>
            </c:ext>
          </c:extLst>
        </c:ser>
        <c:ser>
          <c:idx val="1"/>
          <c:order val="1"/>
          <c:tx>
            <c:strRef>
              <c:f>Si_Thermo_01_omega!$A$3</c:f>
              <c:strCache>
                <c:ptCount val="1"/>
                <c:pt idx="0">
                  <c:v>Si_Thermo_01_omega.dat</c:v>
                </c:pt>
              </c:strCache>
            </c:strRef>
          </c:tx>
          <c:spPr>
            <a:ln w="12700" cap="rnd">
              <a:solidFill>
                <a:srgbClr val="FF9999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Si_Thermo_01_omega!$A$22:$A$102</c:f>
              <c:numCache>
                <c:formatCode>General</c:formatCode>
                <c:ptCount val="81"/>
                <c:pt idx="0">
                  <c:v>35.0974</c:v>
                </c:pt>
                <c:pt idx="1">
                  <c:v>35.098399999999998</c:v>
                </c:pt>
                <c:pt idx="2">
                  <c:v>35.099400000000003</c:v>
                </c:pt>
                <c:pt idx="3">
                  <c:v>35.1004</c:v>
                </c:pt>
                <c:pt idx="4">
                  <c:v>35.101399999999998</c:v>
                </c:pt>
                <c:pt idx="5">
                  <c:v>35.102400000000003</c:v>
                </c:pt>
                <c:pt idx="6">
                  <c:v>35.103400000000001</c:v>
                </c:pt>
                <c:pt idx="7">
                  <c:v>35.104399999999998</c:v>
                </c:pt>
                <c:pt idx="8">
                  <c:v>35.105400000000003</c:v>
                </c:pt>
                <c:pt idx="9">
                  <c:v>35.106400000000001</c:v>
                </c:pt>
                <c:pt idx="10">
                  <c:v>35.107399999999998</c:v>
                </c:pt>
                <c:pt idx="11">
                  <c:v>35.108400000000003</c:v>
                </c:pt>
                <c:pt idx="12">
                  <c:v>35.109400000000001</c:v>
                </c:pt>
                <c:pt idx="13">
                  <c:v>35.110399999999998</c:v>
                </c:pt>
                <c:pt idx="14">
                  <c:v>35.111400000000003</c:v>
                </c:pt>
                <c:pt idx="15">
                  <c:v>35.112400000000001</c:v>
                </c:pt>
                <c:pt idx="16">
                  <c:v>35.113399999999999</c:v>
                </c:pt>
                <c:pt idx="17">
                  <c:v>35.114400000000003</c:v>
                </c:pt>
                <c:pt idx="18">
                  <c:v>35.115400000000001</c:v>
                </c:pt>
                <c:pt idx="19">
                  <c:v>35.116399999999999</c:v>
                </c:pt>
                <c:pt idx="20">
                  <c:v>35.117400000000004</c:v>
                </c:pt>
                <c:pt idx="21">
                  <c:v>35.118400000000001</c:v>
                </c:pt>
                <c:pt idx="22">
                  <c:v>35.119399999999999</c:v>
                </c:pt>
                <c:pt idx="23">
                  <c:v>35.120399999999997</c:v>
                </c:pt>
                <c:pt idx="24">
                  <c:v>35.121400000000001</c:v>
                </c:pt>
                <c:pt idx="25">
                  <c:v>35.122399999999999</c:v>
                </c:pt>
                <c:pt idx="26">
                  <c:v>35.123399999999997</c:v>
                </c:pt>
                <c:pt idx="27">
                  <c:v>35.124400000000001</c:v>
                </c:pt>
                <c:pt idx="28">
                  <c:v>35.125399999999999</c:v>
                </c:pt>
                <c:pt idx="29">
                  <c:v>35.126399999999997</c:v>
                </c:pt>
                <c:pt idx="30">
                  <c:v>35.127400000000002</c:v>
                </c:pt>
                <c:pt idx="31">
                  <c:v>35.128399999999999</c:v>
                </c:pt>
                <c:pt idx="32">
                  <c:v>35.129399999999997</c:v>
                </c:pt>
                <c:pt idx="33">
                  <c:v>35.130400000000002</c:v>
                </c:pt>
                <c:pt idx="34">
                  <c:v>35.131399999999999</c:v>
                </c:pt>
                <c:pt idx="35">
                  <c:v>35.132399999999997</c:v>
                </c:pt>
                <c:pt idx="36">
                  <c:v>35.133400000000002</c:v>
                </c:pt>
                <c:pt idx="37">
                  <c:v>35.134399999999999</c:v>
                </c:pt>
                <c:pt idx="38">
                  <c:v>35.135399999999997</c:v>
                </c:pt>
                <c:pt idx="39">
                  <c:v>35.136400000000002</c:v>
                </c:pt>
                <c:pt idx="40">
                  <c:v>35.1374</c:v>
                </c:pt>
                <c:pt idx="41">
                  <c:v>35.138399999999997</c:v>
                </c:pt>
                <c:pt idx="42">
                  <c:v>35.139400000000002</c:v>
                </c:pt>
                <c:pt idx="43">
                  <c:v>35.1404</c:v>
                </c:pt>
                <c:pt idx="44">
                  <c:v>35.141399999999997</c:v>
                </c:pt>
                <c:pt idx="45">
                  <c:v>35.142400000000002</c:v>
                </c:pt>
                <c:pt idx="46">
                  <c:v>35.1434</c:v>
                </c:pt>
                <c:pt idx="47">
                  <c:v>35.144399999999997</c:v>
                </c:pt>
                <c:pt idx="48">
                  <c:v>35.145400000000002</c:v>
                </c:pt>
                <c:pt idx="49">
                  <c:v>35.1464</c:v>
                </c:pt>
                <c:pt idx="50">
                  <c:v>35.147399999999998</c:v>
                </c:pt>
                <c:pt idx="51">
                  <c:v>35.148400000000002</c:v>
                </c:pt>
                <c:pt idx="52">
                  <c:v>35.1494</c:v>
                </c:pt>
                <c:pt idx="53">
                  <c:v>35.150399999999998</c:v>
                </c:pt>
                <c:pt idx="54">
                  <c:v>35.151400000000002</c:v>
                </c:pt>
                <c:pt idx="55">
                  <c:v>35.1524</c:v>
                </c:pt>
                <c:pt idx="56">
                  <c:v>35.153399999999998</c:v>
                </c:pt>
                <c:pt idx="57">
                  <c:v>35.154400000000003</c:v>
                </c:pt>
                <c:pt idx="58">
                  <c:v>35.1554</c:v>
                </c:pt>
                <c:pt idx="59">
                  <c:v>35.156399999999998</c:v>
                </c:pt>
                <c:pt idx="60">
                  <c:v>35.157400000000003</c:v>
                </c:pt>
                <c:pt idx="61">
                  <c:v>35.1584</c:v>
                </c:pt>
                <c:pt idx="62">
                  <c:v>35.159399999999998</c:v>
                </c:pt>
                <c:pt idx="63">
                  <c:v>35.160400000000003</c:v>
                </c:pt>
                <c:pt idx="64">
                  <c:v>35.1614</c:v>
                </c:pt>
                <c:pt idx="65">
                  <c:v>35.162399999999998</c:v>
                </c:pt>
                <c:pt idx="66">
                  <c:v>35.163400000000003</c:v>
                </c:pt>
                <c:pt idx="67">
                  <c:v>35.164400000000001</c:v>
                </c:pt>
                <c:pt idx="68">
                  <c:v>35.165399999999998</c:v>
                </c:pt>
                <c:pt idx="69">
                  <c:v>35.166400000000003</c:v>
                </c:pt>
                <c:pt idx="70">
                  <c:v>35.167400000000001</c:v>
                </c:pt>
                <c:pt idx="71">
                  <c:v>35.168399999999998</c:v>
                </c:pt>
                <c:pt idx="72">
                  <c:v>35.169400000000003</c:v>
                </c:pt>
                <c:pt idx="73">
                  <c:v>35.170400000000001</c:v>
                </c:pt>
                <c:pt idx="74">
                  <c:v>35.171399999999998</c:v>
                </c:pt>
                <c:pt idx="75">
                  <c:v>35.172400000000003</c:v>
                </c:pt>
                <c:pt idx="76">
                  <c:v>35.173400000000001</c:v>
                </c:pt>
                <c:pt idx="77">
                  <c:v>35.174399999999999</c:v>
                </c:pt>
                <c:pt idx="78">
                  <c:v>35.175400000000003</c:v>
                </c:pt>
                <c:pt idx="79">
                  <c:v>35.176400000000001</c:v>
                </c:pt>
                <c:pt idx="80">
                  <c:v>35.177399999999999</c:v>
                </c:pt>
              </c:numCache>
            </c:numRef>
          </c:xVal>
          <c:yVal>
            <c:numRef>
              <c:f>Si_Thermo_01_omega!$E$22:$E$102</c:f>
              <c:numCache>
                <c:formatCode>General</c:formatCode>
                <c:ptCount val="81"/>
                <c:pt idx="0">
                  <c:v>395.72835684416037</c:v>
                </c:pt>
                <c:pt idx="1">
                  <c:v>384.63416258676904</c:v>
                </c:pt>
                <c:pt idx="2">
                  <c:v>394.21046191325865</c:v>
                </c:pt>
                <c:pt idx="3">
                  <c:v>414.52101624484135</c:v>
                </c:pt>
                <c:pt idx="4">
                  <c:v>453.67940219035484</c:v>
                </c:pt>
                <c:pt idx="5">
                  <c:v>455.03132965025674</c:v>
                </c:pt>
                <c:pt idx="6">
                  <c:v>466.30374979865479</c:v>
                </c:pt>
                <c:pt idx="7">
                  <c:v>477.25499361478666</c:v>
                </c:pt>
                <c:pt idx="8">
                  <c:v>513.69011971596638</c:v>
                </c:pt>
                <c:pt idx="9">
                  <c:v>528.40847413529571</c:v>
                </c:pt>
                <c:pt idx="10">
                  <c:v>534.79751321796311</c:v>
                </c:pt>
                <c:pt idx="11">
                  <c:v>517.41151953823908</c:v>
                </c:pt>
                <c:pt idx="12">
                  <c:v>526.86943394669493</c:v>
                </c:pt>
                <c:pt idx="13">
                  <c:v>605.49007491890654</c:v>
                </c:pt>
                <c:pt idx="14">
                  <c:v>640.2331809325276</c:v>
                </c:pt>
                <c:pt idx="15">
                  <c:v>591.93613348299027</c:v>
                </c:pt>
                <c:pt idx="16">
                  <c:v>644.12700136124886</c:v>
                </c:pt>
                <c:pt idx="17">
                  <c:v>632.46423807975748</c:v>
                </c:pt>
                <c:pt idx="18">
                  <c:v>733.12493364154386</c:v>
                </c:pt>
                <c:pt idx="19">
                  <c:v>754.75603465538904</c:v>
                </c:pt>
                <c:pt idx="20">
                  <c:v>788.70693667688226</c:v>
                </c:pt>
                <c:pt idx="21">
                  <c:v>818.98736285379709</c:v>
                </c:pt>
                <c:pt idx="22">
                  <c:v>837.04680101966233</c:v>
                </c:pt>
                <c:pt idx="23">
                  <c:v>874.02557040739737</c:v>
                </c:pt>
                <c:pt idx="24">
                  <c:v>869.7328725490313</c:v>
                </c:pt>
                <c:pt idx="25">
                  <c:v>1029.6320054739112</c:v>
                </c:pt>
                <c:pt idx="26">
                  <c:v>1033.2331195829254</c:v>
                </c:pt>
                <c:pt idx="27">
                  <c:v>1164.3963406356138</c:v>
                </c:pt>
                <c:pt idx="28">
                  <c:v>1208.0930391031686</c:v>
                </c:pt>
                <c:pt idx="29">
                  <c:v>1308.2478707286384</c:v>
                </c:pt>
                <c:pt idx="30">
                  <c:v>1461.0625455956099</c:v>
                </c:pt>
                <c:pt idx="31">
                  <c:v>1627.5644929052405</c:v>
                </c:pt>
                <c:pt idx="32">
                  <c:v>2234.1142412192721</c:v>
                </c:pt>
                <c:pt idx="33">
                  <c:v>3224.0132631531587</c:v>
                </c:pt>
                <c:pt idx="34">
                  <c:v>5612.101539968301</c:v>
                </c:pt>
                <c:pt idx="35">
                  <c:v>12221.999717885667</c:v>
                </c:pt>
                <c:pt idx="36">
                  <c:v>31343.089407266918</c:v>
                </c:pt>
                <c:pt idx="37">
                  <c:v>378160.69386815821</c:v>
                </c:pt>
                <c:pt idx="38">
                  <c:v>2787206.9183386997</c:v>
                </c:pt>
                <c:pt idx="39">
                  <c:v>3026022.705791052</c:v>
                </c:pt>
                <c:pt idx="40">
                  <c:v>4531984.4899227899</c:v>
                </c:pt>
                <c:pt idx="41">
                  <c:v>7477016.2460219087</c:v>
                </c:pt>
                <c:pt idx="42">
                  <c:v>8588859.9307128266</c:v>
                </c:pt>
                <c:pt idx="43">
                  <c:v>9054710.7735848054</c:v>
                </c:pt>
                <c:pt idx="44">
                  <c:v>7253329.2006133106</c:v>
                </c:pt>
                <c:pt idx="45">
                  <c:v>5964171.7877319055</c:v>
                </c:pt>
                <c:pt idx="46">
                  <c:v>4113260.7399200709</c:v>
                </c:pt>
                <c:pt idx="47">
                  <c:v>1532709.5412643987</c:v>
                </c:pt>
                <c:pt idx="48">
                  <c:v>493717.45073364367</c:v>
                </c:pt>
                <c:pt idx="49">
                  <c:v>245441.7914040912</c:v>
                </c:pt>
                <c:pt idx="50">
                  <c:v>165436.43140579027</c:v>
                </c:pt>
                <c:pt idx="51">
                  <c:v>125392.40724732223</c:v>
                </c:pt>
                <c:pt idx="52">
                  <c:v>97225.934155636307</c:v>
                </c:pt>
                <c:pt idx="53">
                  <c:v>77369.627412453032</c:v>
                </c:pt>
                <c:pt idx="54">
                  <c:v>59915.784708130544</c:v>
                </c:pt>
                <c:pt idx="55">
                  <c:v>46354.11119414882</c:v>
                </c:pt>
                <c:pt idx="56">
                  <c:v>36007.587228233271</c:v>
                </c:pt>
                <c:pt idx="57">
                  <c:v>28093.823506859597</c:v>
                </c:pt>
                <c:pt idx="58">
                  <c:v>22155.289882963403</c:v>
                </c:pt>
                <c:pt idx="59">
                  <c:v>17570.828087178979</c:v>
                </c:pt>
                <c:pt idx="60">
                  <c:v>13877.736584730204</c:v>
                </c:pt>
                <c:pt idx="61">
                  <c:v>11379.507503911067</c:v>
                </c:pt>
                <c:pt idx="62">
                  <c:v>9236.9302838193798</c:v>
                </c:pt>
                <c:pt idx="63">
                  <c:v>7607.011666595834</c:v>
                </c:pt>
                <c:pt idx="64">
                  <c:v>6020.1633602473521</c:v>
                </c:pt>
                <c:pt idx="65">
                  <c:v>4993.3020914958361</c:v>
                </c:pt>
                <c:pt idx="66">
                  <c:v>4094.4203867497686</c:v>
                </c:pt>
                <c:pt idx="67">
                  <c:v>3237.3564702910294</c:v>
                </c:pt>
                <c:pt idx="68">
                  <c:v>2683.2490285675926</c:v>
                </c:pt>
                <c:pt idx="69">
                  <c:v>2090.4083016872892</c:v>
                </c:pt>
                <c:pt idx="70">
                  <c:v>1728.3220736920541</c:v>
                </c:pt>
                <c:pt idx="71">
                  <c:v>1484.1442860758009</c:v>
                </c:pt>
                <c:pt idx="72">
                  <c:v>1126.2424135273077</c:v>
                </c:pt>
                <c:pt idx="73">
                  <c:v>969.26619322811518</c:v>
                </c:pt>
                <c:pt idx="74">
                  <c:v>809.14504070414432</c:v>
                </c:pt>
                <c:pt idx="75">
                  <c:v>717.24465933562919</c:v>
                </c:pt>
                <c:pt idx="76">
                  <c:v>649.77718026656544</c:v>
                </c:pt>
                <c:pt idx="77">
                  <c:v>588.98721925594077</c:v>
                </c:pt>
                <c:pt idx="78">
                  <c:v>545.67762322513431</c:v>
                </c:pt>
                <c:pt idx="79">
                  <c:v>479.21754465270379</c:v>
                </c:pt>
                <c:pt idx="80">
                  <c:v>499.96532133472761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5B-4EEF-BB56-18F7C805589B}"/>
            </c:ext>
          </c:extLst>
        </c:ser>
        <c:ser>
          <c:idx val="2"/>
          <c:order val="2"/>
          <c:tx>
            <c:strRef>
              <c:f>RoughTEOS_01_omega!$A$3</c:f>
              <c:strCache>
                <c:ptCount val="1"/>
                <c:pt idx="0">
                  <c:v>RoughTEOS_01_omega.dat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RoughTEOS_01_omega!$A$22:$A$102</c:f>
              <c:numCache>
                <c:formatCode>General</c:formatCode>
                <c:ptCount val="81"/>
                <c:pt idx="0">
                  <c:v>35.0991</c:v>
                </c:pt>
                <c:pt idx="1">
                  <c:v>35.100099999999998</c:v>
                </c:pt>
                <c:pt idx="2">
                  <c:v>35.101099999999995</c:v>
                </c:pt>
                <c:pt idx="3">
                  <c:v>35.1021</c:v>
                </c:pt>
                <c:pt idx="4">
                  <c:v>35.103099999999998</c:v>
                </c:pt>
                <c:pt idx="5">
                  <c:v>35.104099999999995</c:v>
                </c:pt>
                <c:pt idx="6">
                  <c:v>35.1051</c:v>
                </c:pt>
                <c:pt idx="7">
                  <c:v>35.106099999999998</c:v>
                </c:pt>
                <c:pt idx="8">
                  <c:v>35.107099999999996</c:v>
                </c:pt>
                <c:pt idx="9">
                  <c:v>35.1081</c:v>
                </c:pt>
                <c:pt idx="10">
                  <c:v>35.109099999999998</c:v>
                </c:pt>
                <c:pt idx="11">
                  <c:v>35.110099999999996</c:v>
                </c:pt>
                <c:pt idx="12">
                  <c:v>35.1111</c:v>
                </c:pt>
                <c:pt idx="13">
                  <c:v>35.112099999999998</c:v>
                </c:pt>
                <c:pt idx="14">
                  <c:v>35.113099999999996</c:v>
                </c:pt>
                <c:pt idx="15">
                  <c:v>35.114100000000001</c:v>
                </c:pt>
                <c:pt idx="16">
                  <c:v>35.115099999999998</c:v>
                </c:pt>
                <c:pt idx="17">
                  <c:v>35.116099999999996</c:v>
                </c:pt>
                <c:pt idx="18">
                  <c:v>35.117100000000001</c:v>
                </c:pt>
                <c:pt idx="19">
                  <c:v>35.118099999999998</c:v>
                </c:pt>
                <c:pt idx="20">
                  <c:v>35.119099999999996</c:v>
                </c:pt>
                <c:pt idx="21">
                  <c:v>35.120100000000001</c:v>
                </c:pt>
                <c:pt idx="22">
                  <c:v>35.121099999999998</c:v>
                </c:pt>
                <c:pt idx="23">
                  <c:v>35.122099999999996</c:v>
                </c:pt>
                <c:pt idx="24">
                  <c:v>35.123099999999994</c:v>
                </c:pt>
                <c:pt idx="25">
                  <c:v>35.124099999999999</c:v>
                </c:pt>
                <c:pt idx="26">
                  <c:v>35.125099999999996</c:v>
                </c:pt>
                <c:pt idx="27">
                  <c:v>35.126099999999994</c:v>
                </c:pt>
                <c:pt idx="28">
                  <c:v>35.127099999999999</c:v>
                </c:pt>
                <c:pt idx="29">
                  <c:v>35.128099999999996</c:v>
                </c:pt>
                <c:pt idx="30">
                  <c:v>35.129099999999994</c:v>
                </c:pt>
                <c:pt idx="31">
                  <c:v>35.130099999999999</c:v>
                </c:pt>
                <c:pt idx="32">
                  <c:v>35.131099999999996</c:v>
                </c:pt>
                <c:pt idx="33">
                  <c:v>35.132099999999994</c:v>
                </c:pt>
                <c:pt idx="34">
                  <c:v>35.133099999999999</c:v>
                </c:pt>
                <c:pt idx="35">
                  <c:v>35.134099999999997</c:v>
                </c:pt>
                <c:pt idx="36">
                  <c:v>35.135099999999994</c:v>
                </c:pt>
                <c:pt idx="37">
                  <c:v>35.136099999999999</c:v>
                </c:pt>
                <c:pt idx="38">
                  <c:v>35.137099999999997</c:v>
                </c:pt>
                <c:pt idx="39">
                  <c:v>35.138099999999994</c:v>
                </c:pt>
                <c:pt idx="40">
                  <c:v>35.139099999999999</c:v>
                </c:pt>
                <c:pt idx="41">
                  <c:v>35.140099999999997</c:v>
                </c:pt>
                <c:pt idx="42">
                  <c:v>35.141099999999994</c:v>
                </c:pt>
                <c:pt idx="43">
                  <c:v>35.142099999999999</c:v>
                </c:pt>
                <c:pt idx="44">
                  <c:v>35.143099999999997</c:v>
                </c:pt>
                <c:pt idx="45">
                  <c:v>35.144099999999995</c:v>
                </c:pt>
                <c:pt idx="46">
                  <c:v>35.145099999999999</c:v>
                </c:pt>
                <c:pt idx="47">
                  <c:v>35.146099999999997</c:v>
                </c:pt>
                <c:pt idx="48">
                  <c:v>35.147099999999995</c:v>
                </c:pt>
                <c:pt idx="49">
                  <c:v>35.148099999999999</c:v>
                </c:pt>
                <c:pt idx="50">
                  <c:v>35.149099999999997</c:v>
                </c:pt>
                <c:pt idx="51">
                  <c:v>35.150099999999995</c:v>
                </c:pt>
                <c:pt idx="52">
                  <c:v>35.1511</c:v>
                </c:pt>
                <c:pt idx="53">
                  <c:v>35.152099999999997</c:v>
                </c:pt>
                <c:pt idx="54">
                  <c:v>35.153099999999995</c:v>
                </c:pt>
                <c:pt idx="55">
                  <c:v>35.1541</c:v>
                </c:pt>
                <c:pt idx="56">
                  <c:v>35.155099999999997</c:v>
                </c:pt>
                <c:pt idx="57">
                  <c:v>35.156099999999995</c:v>
                </c:pt>
                <c:pt idx="58">
                  <c:v>35.1571</c:v>
                </c:pt>
                <c:pt idx="59">
                  <c:v>35.158099999999997</c:v>
                </c:pt>
                <c:pt idx="60">
                  <c:v>35.159099999999995</c:v>
                </c:pt>
                <c:pt idx="61">
                  <c:v>35.1601</c:v>
                </c:pt>
                <c:pt idx="62">
                  <c:v>35.161099999999998</c:v>
                </c:pt>
                <c:pt idx="63">
                  <c:v>35.162099999999995</c:v>
                </c:pt>
                <c:pt idx="64">
                  <c:v>35.1631</c:v>
                </c:pt>
                <c:pt idx="65">
                  <c:v>35.164099999999998</c:v>
                </c:pt>
                <c:pt idx="66">
                  <c:v>35.165099999999995</c:v>
                </c:pt>
                <c:pt idx="67">
                  <c:v>35.1661</c:v>
                </c:pt>
                <c:pt idx="68">
                  <c:v>35.167099999999998</c:v>
                </c:pt>
                <c:pt idx="69">
                  <c:v>35.168099999999995</c:v>
                </c:pt>
                <c:pt idx="70">
                  <c:v>35.1691</c:v>
                </c:pt>
                <c:pt idx="71">
                  <c:v>35.170099999999998</c:v>
                </c:pt>
                <c:pt idx="72">
                  <c:v>35.171099999999996</c:v>
                </c:pt>
                <c:pt idx="73">
                  <c:v>35.1721</c:v>
                </c:pt>
                <c:pt idx="74">
                  <c:v>35.173099999999998</c:v>
                </c:pt>
                <c:pt idx="75">
                  <c:v>35.174099999999996</c:v>
                </c:pt>
                <c:pt idx="76">
                  <c:v>35.1751</c:v>
                </c:pt>
                <c:pt idx="77">
                  <c:v>35.176099999999998</c:v>
                </c:pt>
                <c:pt idx="78">
                  <c:v>35.177099999999996</c:v>
                </c:pt>
                <c:pt idx="79">
                  <c:v>35.178100000000001</c:v>
                </c:pt>
                <c:pt idx="80">
                  <c:v>35.179099999999998</c:v>
                </c:pt>
              </c:numCache>
            </c:numRef>
          </c:xVal>
          <c:yVal>
            <c:numRef>
              <c:f>RoughTEOS_01_omega!$E$22:$E$102</c:f>
              <c:numCache>
                <c:formatCode>General</c:formatCode>
                <c:ptCount val="81"/>
                <c:pt idx="0">
                  <c:v>238646.67157056328</c:v>
                </c:pt>
                <c:pt idx="1">
                  <c:v>253243.18556878914</c:v>
                </c:pt>
                <c:pt idx="2">
                  <c:v>269832.79549286835</c:v>
                </c:pt>
                <c:pt idx="3">
                  <c:v>287203.87295393064</c:v>
                </c:pt>
                <c:pt idx="4">
                  <c:v>307342.26034966786</c:v>
                </c:pt>
                <c:pt idx="5">
                  <c:v>330044.76255947328</c:v>
                </c:pt>
                <c:pt idx="6">
                  <c:v>353874.05477752438</c:v>
                </c:pt>
                <c:pt idx="7">
                  <c:v>380602.64092286234</c:v>
                </c:pt>
                <c:pt idx="8">
                  <c:v>410887.51746920461</c:v>
                </c:pt>
                <c:pt idx="9">
                  <c:v>443595.54486038396</c:v>
                </c:pt>
                <c:pt idx="10">
                  <c:v>480098.50851288892</c:v>
                </c:pt>
                <c:pt idx="11">
                  <c:v>521019.65320983535</c:v>
                </c:pt>
                <c:pt idx="12">
                  <c:v>565117.22764379892</c:v>
                </c:pt>
                <c:pt idx="13">
                  <c:v>616235.10113291536</c:v>
                </c:pt>
                <c:pt idx="14">
                  <c:v>674232.04644929001</c:v>
                </c:pt>
                <c:pt idx="15">
                  <c:v>742648.90906712774</c:v>
                </c:pt>
                <c:pt idx="16">
                  <c:v>817772.29747443204</c:v>
                </c:pt>
                <c:pt idx="17">
                  <c:v>905128.57107409358</c:v>
                </c:pt>
                <c:pt idx="18">
                  <c:v>1005151.6595493837</c:v>
                </c:pt>
                <c:pt idx="19">
                  <c:v>1118462.1954011263</c:v>
                </c:pt>
                <c:pt idx="20">
                  <c:v>1255306.0207241115</c:v>
                </c:pt>
                <c:pt idx="21">
                  <c:v>1414862.4507459672</c:v>
                </c:pt>
                <c:pt idx="22">
                  <c:v>1611597.7263386971</c:v>
                </c:pt>
                <c:pt idx="23">
                  <c:v>1848601.2387538557</c:v>
                </c:pt>
                <c:pt idx="24">
                  <c:v>2132355.508818204</c:v>
                </c:pt>
                <c:pt idx="25">
                  <c:v>2470604.8310711677</c:v>
                </c:pt>
                <c:pt idx="26">
                  <c:v>2880683.2411559178</c:v>
                </c:pt>
                <c:pt idx="27">
                  <c:v>3387179.6156850061</c:v>
                </c:pt>
                <c:pt idx="28">
                  <c:v>4023094.707203995</c:v>
                </c:pt>
                <c:pt idx="29">
                  <c:v>4824963.809568448</c:v>
                </c:pt>
                <c:pt idx="30">
                  <c:v>5846687.0208470477</c:v>
                </c:pt>
                <c:pt idx="31">
                  <c:v>7110139.013510108</c:v>
                </c:pt>
                <c:pt idx="32">
                  <c:v>8745706.8378514666</c:v>
                </c:pt>
                <c:pt idx="33">
                  <c:v>10955047.146309387</c:v>
                </c:pt>
                <c:pt idx="34">
                  <c:v>13794669.564400796</c:v>
                </c:pt>
                <c:pt idx="35">
                  <c:v>17269052.51759256</c:v>
                </c:pt>
                <c:pt idx="36">
                  <c:v>21171650.248741001</c:v>
                </c:pt>
                <c:pt idx="37">
                  <c:v>25217879.135413725</c:v>
                </c:pt>
                <c:pt idx="38">
                  <c:v>28936401.819471776</c:v>
                </c:pt>
                <c:pt idx="39">
                  <c:v>31629139.148366835</c:v>
                </c:pt>
                <c:pt idx="40">
                  <c:v>29214329.788965192</c:v>
                </c:pt>
                <c:pt idx="41">
                  <c:v>29488139.076052144</c:v>
                </c:pt>
                <c:pt idx="42">
                  <c:v>27364257.729425486</c:v>
                </c:pt>
                <c:pt idx="43">
                  <c:v>22162972.568736278</c:v>
                </c:pt>
                <c:pt idx="44">
                  <c:v>17314635.649293389</c:v>
                </c:pt>
                <c:pt idx="45">
                  <c:v>13332445.99608958</c:v>
                </c:pt>
                <c:pt idx="46">
                  <c:v>10280802.793835957</c:v>
                </c:pt>
                <c:pt idx="47">
                  <c:v>8013167.3906842861</c:v>
                </c:pt>
                <c:pt idx="48">
                  <c:v>6361453.2271540714</c:v>
                </c:pt>
                <c:pt idx="49">
                  <c:v>5163991.5286711883</c:v>
                </c:pt>
                <c:pt idx="50">
                  <c:v>4258358.4580589086</c:v>
                </c:pt>
                <c:pt idx="51">
                  <c:v>3554886.5838779835</c:v>
                </c:pt>
                <c:pt idx="52">
                  <c:v>3007726.3072372787</c:v>
                </c:pt>
                <c:pt idx="53">
                  <c:v>2576370.8537585679</c:v>
                </c:pt>
                <c:pt idx="54">
                  <c:v>2217334.0309100132</c:v>
                </c:pt>
                <c:pt idx="55">
                  <c:v>1918689.7594860713</c:v>
                </c:pt>
                <c:pt idx="56">
                  <c:v>1667162.6806098635</c:v>
                </c:pt>
                <c:pt idx="57">
                  <c:v>1458387.9308981935</c:v>
                </c:pt>
                <c:pt idx="58">
                  <c:v>1286875.9245769444</c:v>
                </c:pt>
                <c:pt idx="59">
                  <c:v>1138105.6600552183</c:v>
                </c:pt>
                <c:pt idx="60">
                  <c:v>1021243.1770607309</c:v>
                </c:pt>
                <c:pt idx="61">
                  <c:v>915650.35314948636</c:v>
                </c:pt>
                <c:pt idx="62">
                  <c:v>823481.82786467858</c:v>
                </c:pt>
                <c:pt idx="63">
                  <c:v>742385.20422811981</c:v>
                </c:pt>
                <c:pt idx="64">
                  <c:v>670376.33276512893</c:v>
                </c:pt>
                <c:pt idx="65">
                  <c:v>609709.46548445732</c:v>
                </c:pt>
                <c:pt idx="66">
                  <c:v>555683.03992591042</c:v>
                </c:pt>
                <c:pt idx="67">
                  <c:v>512355.32700534724</c:v>
                </c:pt>
                <c:pt idx="68">
                  <c:v>470379.79348521371</c:v>
                </c:pt>
                <c:pt idx="69">
                  <c:v>433606.83393875236</c:v>
                </c:pt>
                <c:pt idx="70">
                  <c:v>399650.58432897466</c:v>
                </c:pt>
                <c:pt idx="71">
                  <c:v>369145.33848039305</c:v>
                </c:pt>
                <c:pt idx="72">
                  <c:v>345017.49094559258</c:v>
                </c:pt>
                <c:pt idx="73">
                  <c:v>320107.15699629218</c:v>
                </c:pt>
                <c:pt idx="74">
                  <c:v>297474.94528512284</c:v>
                </c:pt>
                <c:pt idx="75">
                  <c:v>278457.30794647045</c:v>
                </c:pt>
                <c:pt idx="76">
                  <c:v>260695.12962908228</c:v>
                </c:pt>
                <c:pt idx="77">
                  <c:v>244523.60766269217</c:v>
                </c:pt>
                <c:pt idx="78">
                  <c:v>228665.0801532685</c:v>
                </c:pt>
                <c:pt idx="79">
                  <c:v>213229.41523922401</c:v>
                </c:pt>
                <c:pt idx="80">
                  <c:v>201708.61706025561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5B-4EEF-BB56-18F7C8055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882687"/>
        <c:axId val="735879327"/>
      </c:scatterChart>
      <c:valAx>
        <c:axId val="735882687"/>
        <c:scaling>
          <c:orientation val="minMax"/>
          <c:max val="35.190000000000005"/>
          <c:min val="35.09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79327"/>
        <c:crosses val="autoZero"/>
        <c:crossBetween val="midCat"/>
      </c:valAx>
      <c:valAx>
        <c:axId val="7358793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826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5115073612555585"/>
          <c:y val="6.3957389073544132E-2"/>
          <c:w val="0.24863448674347557"/>
          <c:h val="0.122971922917530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ja-JP"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rgbClr val="FF9999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RoughTEOS_01_omega!$A$22:$A$102</c:f>
              <c:numCache>
                <c:formatCode>General</c:formatCode>
                <c:ptCount val="81"/>
                <c:pt idx="0">
                  <c:v>35.0991</c:v>
                </c:pt>
                <c:pt idx="1">
                  <c:v>35.100099999999998</c:v>
                </c:pt>
                <c:pt idx="2">
                  <c:v>35.101099999999995</c:v>
                </c:pt>
                <c:pt idx="3">
                  <c:v>35.1021</c:v>
                </c:pt>
                <c:pt idx="4">
                  <c:v>35.103099999999998</c:v>
                </c:pt>
                <c:pt idx="5">
                  <c:v>35.104099999999995</c:v>
                </c:pt>
                <c:pt idx="6">
                  <c:v>35.1051</c:v>
                </c:pt>
                <c:pt idx="7">
                  <c:v>35.106099999999998</c:v>
                </c:pt>
                <c:pt idx="8">
                  <c:v>35.107099999999996</c:v>
                </c:pt>
                <c:pt idx="9">
                  <c:v>35.1081</c:v>
                </c:pt>
                <c:pt idx="10">
                  <c:v>35.109099999999998</c:v>
                </c:pt>
                <c:pt idx="11">
                  <c:v>35.110099999999996</c:v>
                </c:pt>
                <c:pt idx="12">
                  <c:v>35.1111</c:v>
                </c:pt>
                <c:pt idx="13">
                  <c:v>35.112099999999998</c:v>
                </c:pt>
                <c:pt idx="14">
                  <c:v>35.113099999999996</c:v>
                </c:pt>
                <c:pt idx="15">
                  <c:v>35.114100000000001</c:v>
                </c:pt>
                <c:pt idx="16">
                  <c:v>35.115099999999998</c:v>
                </c:pt>
                <c:pt idx="17">
                  <c:v>35.116099999999996</c:v>
                </c:pt>
                <c:pt idx="18">
                  <c:v>35.117100000000001</c:v>
                </c:pt>
                <c:pt idx="19">
                  <c:v>35.118099999999998</c:v>
                </c:pt>
                <c:pt idx="20">
                  <c:v>35.119099999999996</c:v>
                </c:pt>
                <c:pt idx="21">
                  <c:v>35.120100000000001</c:v>
                </c:pt>
                <c:pt idx="22">
                  <c:v>35.121099999999998</c:v>
                </c:pt>
                <c:pt idx="23">
                  <c:v>35.122099999999996</c:v>
                </c:pt>
                <c:pt idx="24">
                  <c:v>35.123099999999994</c:v>
                </c:pt>
                <c:pt idx="25">
                  <c:v>35.124099999999999</c:v>
                </c:pt>
                <c:pt idx="26">
                  <c:v>35.125099999999996</c:v>
                </c:pt>
                <c:pt idx="27">
                  <c:v>35.126099999999994</c:v>
                </c:pt>
                <c:pt idx="28">
                  <c:v>35.127099999999999</c:v>
                </c:pt>
                <c:pt idx="29">
                  <c:v>35.128099999999996</c:v>
                </c:pt>
                <c:pt idx="30">
                  <c:v>35.129099999999994</c:v>
                </c:pt>
                <c:pt idx="31">
                  <c:v>35.130099999999999</c:v>
                </c:pt>
                <c:pt idx="32">
                  <c:v>35.131099999999996</c:v>
                </c:pt>
                <c:pt idx="33">
                  <c:v>35.132099999999994</c:v>
                </c:pt>
                <c:pt idx="34">
                  <c:v>35.133099999999999</c:v>
                </c:pt>
                <c:pt idx="35">
                  <c:v>35.134099999999997</c:v>
                </c:pt>
                <c:pt idx="36">
                  <c:v>35.135099999999994</c:v>
                </c:pt>
                <c:pt idx="37">
                  <c:v>35.136099999999999</c:v>
                </c:pt>
                <c:pt idx="38">
                  <c:v>35.137099999999997</c:v>
                </c:pt>
                <c:pt idx="39">
                  <c:v>35.138099999999994</c:v>
                </c:pt>
                <c:pt idx="40">
                  <c:v>35.139099999999999</c:v>
                </c:pt>
                <c:pt idx="41">
                  <c:v>35.140099999999997</c:v>
                </c:pt>
                <c:pt idx="42">
                  <c:v>35.141099999999994</c:v>
                </c:pt>
                <c:pt idx="43">
                  <c:v>35.142099999999999</c:v>
                </c:pt>
                <c:pt idx="44">
                  <c:v>35.143099999999997</c:v>
                </c:pt>
                <c:pt idx="45">
                  <c:v>35.144099999999995</c:v>
                </c:pt>
                <c:pt idx="46">
                  <c:v>35.145099999999999</c:v>
                </c:pt>
                <c:pt idx="47">
                  <c:v>35.146099999999997</c:v>
                </c:pt>
                <c:pt idx="48">
                  <c:v>35.147099999999995</c:v>
                </c:pt>
                <c:pt idx="49">
                  <c:v>35.148099999999999</c:v>
                </c:pt>
                <c:pt idx="50">
                  <c:v>35.149099999999997</c:v>
                </c:pt>
                <c:pt idx="51">
                  <c:v>35.150099999999995</c:v>
                </c:pt>
                <c:pt idx="52">
                  <c:v>35.1511</c:v>
                </c:pt>
                <c:pt idx="53">
                  <c:v>35.152099999999997</c:v>
                </c:pt>
                <c:pt idx="54">
                  <c:v>35.153099999999995</c:v>
                </c:pt>
                <c:pt idx="55">
                  <c:v>35.1541</c:v>
                </c:pt>
                <c:pt idx="56">
                  <c:v>35.155099999999997</c:v>
                </c:pt>
                <c:pt idx="57">
                  <c:v>35.156099999999995</c:v>
                </c:pt>
                <c:pt idx="58">
                  <c:v>35.1571</c:v>
                </c:pt>
                <c:pt idx="59">
                  <c:v>35.158099999999997</c:v>
                </c:pt>
                <c:pt idx="60">
                  <c:v>35.159099999999995</c:v>
                </c:pt>
                <c:pt idx="61">
                  <c:v>35.1601</c:v>
                </c:pt>
                <c:pt idx="62">
                  <c:v>35.161099999999998</c:v>
                </c:pt>
                <c:pt idx="63">
                  <c:v>35.162099999999995</c:v>
                </c:pt>
                <c:pt idx="64">
                  <c:v>35.1631</c:v>
                </c:pt>
                <c:pt idx="65">
                  <c:v>35.164099999999998</c:v>
                </c:pt>
                <c:pt idx="66">
                  <c:v>35.165099999999995</c:v>
                </c:pt>
                <c:pt idx="67">
                  <c:v>35.1661</c:v>
                </c:pt>
                <c:pt idx="68">
                  <c:v>35.167099999999998</c:v>
                </c:pt>
                <c:pt idx="69">
                  <c:v>35.168099999999995</c:v>
                </c:pt>
                <c:pt idx="70">
                  <c:v>35.1691</c:v>
                </c:pt>
                <c:pt idx="71">
                  <c:v>35.170099999999998</c:v>
                </c:pt>
                <c:pt idx="72">
                  <c:v>35.171099999999996</c:v>
                </c:pt>
                <c:pt idx="73">
                  <c:v>35.1721</c:v>
                </c:pt>
                <c:pt idx="74">
                  <c:v>35.173099999999998</c:v>
                </c:pt>
                <c:pt idx="75">
                  <c:v>35.174099999999996</c:v>
                </c:pt>
                <c:pt idx="76">
                  <c:v>35.1751</c:v>
                </c:pt>
                <c:pt idx="77">
                  <c:v>35.176099999999998</c:v>
                </c:pt>
                <c:pt idx="78">
                  <c:v>35.177099999999996</c:v>
                </c:pt>
                <c:pt idx="79">
                  <c:v>35.178100000000001</c:v>
                </c:pt>
                <c:pt idx="80">
                  <c:v>35.179099999999998</c:v>
                </c:pt>
              </c:numCache>
            </c:numRef>
          </c:xVal>
          <c:yVal>
            <c:numRef>
              <c:f>RoughTEOS_01_omega!$E$22:$E$102</c:f>
              <c:numCache>
                <c:formatCode>General</c:formatCode>
                <c:ptCount val="81"/>
                <c:pt idx="0">
                  <c:v>238646.67157056328</c:v>
                </c:pt>
                <c:pt idx="1">
                  <c:v>253243.18556878914</c:v>
                </c:pt>
                <c:pt idx="2">
                  <c:v>269832.79549286835</c:v>
                </c:pt>
                <c:pt idx="3">
                  <c:v>287203.87295393064</c:v>
                </c:pt>
                <c:pt idx="4">
                  <c:v>307342.26034966786</c:v>
                </c:pt>
                <c:pt idx="5">
                  <c:v>330044.76255947328</c:v>
                </c:pt>
                <c:pt idx="6">
                  <c:v>353874.05477752438</c:v>
                </c:pt>
                <c:pt idx="7">
                  <c:v>380602.64092286234</c:v>
                </c:pt>
                <c:pt idx="8">
                  <c:v>410887.51746920461</c:v>
                </c:pt>
                <c:pt idx="9">
                  <c:v>443595.54486038396</c:v>
                </c:pt>
                <c:pt idx="10">
                  <c:v>480098.50851288892</c:v>
                </c:pt>
                <c:pt idx="11">
                  <c:v>521019.65320983535</c:v>
                </c:pt>
                <c:pt idx="12">
                  <c:v>565117.22764379892</c:v>
                </c:pt>
                <c:pt idx="13">
                  <c:v>616235.10113291536</c:v>
                </c:pt>
                <c:pt idx="14">
                  <c:v>674232.04644929001</c:v>
                </c:pt>
                <c:pt idx="15">
                  <c:v>742648.90906712774</c:v>
                </c:pt>
                <c:pt idx="16">
                  <c:v>817772.29747443204</c:v>
                </c:pt>
                <c:pt idx="17">
                  <c:v>905128.57107409358</c:v>
                </c:pt>
                <c:pt idx="18">
                  <c:v>1005151.6595493837</c:v>
                </c:pt>
                <c:pt idx="19">
                  <c:v>1118462.1954011263</c:v>
                </c:pt>
                <c:pt idx="20">
                  <c:v>1255306.0207241115</c:v>
                </c:pt>
                <c:pt idx="21">
                  <c:v>1414862.4507459672</c:v>
                </c:pt>
                <c:pt idx="22">
                  <c:v>1611597.7263386971</c:v>
                </c:pt>
                <c:pt idx="23">
                  <c:v>1848601.2387538557</c:v>
                </c:pt>
                <c:pt idx="24">
                  <c:v>2132355.508818204</c:v>
                </c:pt>
                <c:pt idx="25">
                  <c:v>2470604.8310711677</c:v>
                </c:pt>
                <c:pt idx="26">
                  <c:v>2880683.2411559178</c:v>
                </c:pt>
                <c:pt idx="27">
                  <c:v>3387179.6156850061</c:v>
                </c:pt>
                <c:pt idx="28">
                  <c:v>4023094.707203995</c:v>
                </c:pt>
                <c:pt idx="29">
                  <c:v>4824963.809568448</c:v>
                </c:pt>
                <c:pt idx="30">
                  <c:v>5846687.0208470477</c:v>
                </c:pt>
                <c:pt idx="31">
                  <c:v>7110139.013510108</c:v>
                </c:pt>
                <c:pt idx="32">
                  <c:v>8745706.8378514666</c:v>
                </c:pt>
                <c:pt idx="33">
                  <c:v>10955047.146309387</c:v>
                </c:pt>
                <c:pt idx="34">
                  <c:v>13794669.564400796</c:v>
                </c:pt>
                <c:pt idx="35">
                  <c:v>17269052.51759256</c:v>
                </c:pt>
                <c:pt idx="36">
                  <c:v>21171650.248741001</c:v>
                </c:pt>
                <c:pt idx="37">
                  <c:v>25217879.135413725</c:v>
                </c:pt>
                <c:pt idx="38">
                  <c:v>28936401.819471776</c:v>
                </c:pt>
                <c:pt idx="39">
                  <c:v>31629139.148366835</c:v>
                </c:pt>
                <c:pt idx="40">
                  <c:v>29214329.788965192</c:v>
                </c:pt>
                <c:pt idx="41">
                  <c:v>29488139.076052144</c:v>
                </c:pt>
                <c:pt idx="42">
                  <c:v>27364257.729425486</c:v>
                </c:pt>
                <c:pt idx="43">
                  <c:v>22162972.568736278</c:v>
                </c:pt>
                <c:pt idx="44">
                  <c:v>17314635.649293389</c:v>
                </c:pt>
                <c:pt idx="45">
                  <c:v>13332445.99608958</c:v>
                </c:pt>
                <c:pt idx="46">
                  <c:v>10280802.793835957</c:v>
                </c:pt>
                <c:pt idx="47">
                  <c:v>8013167.3906842861</c:v>
                </c:pt>
                <c:pt idx="48">
                  <c:v>6361453.2271540714</c:v>
                </c:pt>
                <c:pt idx="49">
                  <c:v>5163991.5286711883</c:v>
                </c:pt>
                <c:pt idx="50">
                  <c:v>4258358.4580589086</c:v>
                </c:pt>
                <c:pt idx="51">
                  <c:v>3554886.5838779835</c:v>
                </c:pt>
                <c:pt idx="52">
                  <c:v>3007726.3072372787</c:v>
                </c:pt>
                <c:pt idx="53">
                  <c:v>2576370.8537585679</c:v>
                </c:pt>
                <c:pt idx="54">
                  <c:v>2217334.0309100132</c:v>
                </c:pt>
                <c:pt idx="55">
                  <c:v>1918689.7594860713</c:v>
                </c:pt>
                <c:pt idx="56">
                  <c:v>1667162.6806098635</c:v>
                </c:pt>
                <c:pt idx="57">
                  <c:v>1458387.9308981935</c:v>
                </c:pt>
                <c:pt idx="58">
                  <c:v>1286875.9245769444</c:v>
                </c:pt>
                <c:pt idx="59">
                  <c:v>1138105.6600552183</c:v>
                </c:pt>
                <c:pt idx="60">
                  <c:v>1021243.1770607309</c:v>
                </c:pt>
                <c:pt idx="61">
                  <c:v>915650.35314948636</c:v>
                </c:pt>
                <c:pt idx="62">
                  <c:v>823481.82786467858</c:v>
                </c:pt>
                <c:pt idx="63">
                  <c:v>742385.20422811981</c:v>
                </c:pt>
                <c:pt idx="64">
                  <c:v>670376.33276512893</c:v>
                </c:pt>
                <c:pt idx="65">
                  <c:v>609709.46548445732</c:v>
                </c:pt>
                <c:pt idx="66">
                  <c:v>555683.03992591042</c:v>
                </c:pt>
                <c:pt idx="67">
                  <c:v>512355.32700534724</c:v>
                </c:pt>
                <c:pt idx="68">
                  <c:v>470379.79348521371</c:v>
                </c:pt>
                <c:pt idx="69">
                  <c:v>433606.83393875236</c:v>
                </c:pt>
                <c:pt idx="70">
                  <c:v>399650.58432897466</c:v>
                </c:pt>
                <c:pt idx="71">
                  <c:v>369145.33848039305</c:v>
                </c:pt>
                <c:pt idx="72">
                  <c:v>345017.49094559258</c:v>
                </c:pt>
                <c:pt idx="73">
                  <c:v>320107.15699629218</c:v>
                </c:pt>
                <c:pt idx="74">
                  <c:v>297474.94528512284</c:v>
                </c:pt>
                <c:pt idx="75">
                  <c:v>278457.30794647045</c:v>
                </c:pt>
                <c:pt idx="76">
                  <c:v>260695.12962908228</c:v>
                </c:pt>
                <c:pt idx="77">
                  <c:v>244523.60766269217</c:v>
                </c:pt>
                <c:pt idx="78">
                  <c:v>228665.0801532685</c:v>
                </c:pt>
                <c:pt idx="79">
                  <c:v>213229.41523922401</c:v>
                </c:pt>
                <c:pt idx="80">
                  <c:v>201708.61706025561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0-416E-8757-5D1F16B57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882687"/>
        <c:axId val="735879327"/>
      </c:scatterChart>
      <c:valAx>
        <c:axId val="73588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79327"/>
        <c:crosses val="autoZero"/>
        <c:crossBetween val="midCat"/>
      </c:valAx>
      <c:valAx>
        <c:axId val="7358793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826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rgbClr val="FF9999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Si_Thermo_01_omega!$A$22:$A$102</c:f>
              <c:numCache>
                <c:formatCode>General</c:formatCode>
                <c:ptCount val="81"/>
                <c:pt idx="0">
                  <c:v>35.0974</c:v>
                </c:pt>
                <c:pt idx="1">
                  <c:v>35.098399999999998</c:v>
                </c:pt>
                <c:pt idx="2">
                  <c:v>35.099400000000003</c:v>
                </c:pt>
                <c:pt idx="3">
                  <c:v>35.1004</c:v>
                </c:pt>
                <c:pt idx="4">
                  <c:v>35.101399999999998</c:v>
                </c:pt>
                <c:pt idx="5">
                  <c:v>35.102400000000003</c:v>
                </c:pt>
                <c:pt idx="6">
                  <c:v>35.103400000000001</c:v>
                </c:pt>
                <c:pt idx="7">
                  <c:v>35.104399999999998</c:v>
                </c:pt>
                <c:pt idx="8">
                  <c:v>35.105400000000003</c:v>
                </c:pt>
                <c:pt idx="9">
                  <c:v>35.106400000000001</c:v>
                </c:pt>
                <c:pt idx="10">
                  <c:v>35.107399999999998</c:v>
                </c:pt>
                <c:pt idx="11">
                  <c:v>35.108400000000003</c:v>
                </c:pt>
                <c:pt idx="12">
                  <c:v>35.109400000000001</c:v>
                </c:pt>
                <c:pt idx="13">
                  <c:v>35.110399999999998</c:v>
                </c:pt>
                <c:pt idx="14">
                  <c:v>35.111400000000003</c:v>
                </c:pt>
                <c:pt idx="15">
                  <c:v>35.112400000000001</c:v>
                </c:pt>
                <c:pt idx="16">
                  <c:v>35.113399999999999</c:v>
                </c:pt>
                <c:pt idx="17">
                  <c:v>35.114400000000003</c:v>
                </c:pt>
                <c:pt idx="18">
                  <c:v>35.115400000000001</c:v>
                </c:pt>
                <c:pt idx="19">
                  <c:v>35.116399999999999</c:v>
                </c:pt>
                <c:pt idx="20">
                  <c:v>35.117400000000004</c:v>
                </c:pt>
                <c:pt idx="21">
                  <c:v>35.118400000000001</c:v>
                </c:pt>
                <c:pt idx="22">
                  <c:v>35.119399999999999</c:v>
                </c:pt>
                <c:pt idx="23">
                  <c:v>35.120399999999997</c:v>
                </c:pt>
                <c:pt idx="24">
                  <c:v>35.121400000000001</c:v>
                </c:pt>
                <c:pt idx="25">
                  <c:v>35.122399999999999</c:v>
                </c:pt>
                <c:pt idx="26">
                  <c:v>35.123399999999997</c:v>
                </c:pt>
                <c:pt idx="27">
                  <c:v>35.124400000000001</c:v>
                </c:pt>
                <c:pt idx="28">
                  <c:v>35.125399999999999</c:v>
                </c:pt>
                <c:pt idx="29">
                  <c:v>35.126399999999997</c:v>
                </c:pt>
                <c:pt idx="30">
                  <c:v>35.127400000000002</c:v>
                </c:pt>
                <c:pt idx="31">
                  <c:v>35.128399999999999</c:v>
                </c:pt>
                <c:pt idx="32">
                  <c:v>35.129399999999997</c:v>
                </c:pt>
                <c:pt idx="33">
                  <c:v>35.130400000000002</c:v>
                </c:pt>
                <c:pt idx="34">
                  <c:v>35.131399999999999</c:v>
                </c:pt>
                <c:pt idx="35">
                  <c:v>35.132399999999997</c:v>
                </c:pt>
                <c:pt idx="36">
                  <c:v>35.133400000000002</c:v>
                </c:pt>
                <c:pt idx="37">
                  <c:v>35.134399999999999</c:v>
                </c:pt>
                <c:pt idx="38">
                  <c:v>35.135399999999997</c:v>
                </c:pt>
                <c:pt idx="39">
                  <c:v>35.136400000000002</c:v>
                </c:pt>
                <c:pt idx="40">
                  <c:v>35.1374</c:v>
                </c:pt>
                <c:pt idx="41">
                  <c:v>35.138399999999997</c:v>
                </c:pt>
                <c:pt idx="42">
                  <c:v>35.139400000000002</c:v>
                </c:pt>
                <c:pt idx="43">
                  <c:v>35.1404</c:v>
                </c:pt>
                <c:pt idx="44">
                  <c:v>35.141399999999997</c:v>
                </c:pt>
                <c:pt idx="45">
                  <c:v>35.142400000000002</c:v>
                </c:pt>
                <c:pt idx="46">
                  <c:v>35.1434</c:v>
                </c:pt>
                <c:pt idx="47">
                  <c:v>35.144399999999997</c:v>
                </c:pt>
                <c:pt idx="48">
                  <c:v>35.145400000000002</c:v>
                </c:pt>
                <c:pt idx="49">
                  <c:v>35.1464</c:v>
                </c:pt>
                <c:pt idx="50">
                  <c:v>35.147399999999998</c:v>
                </c:pt>
                <c:pt idx="51">
                  <c:v>35.148400000000002</c:v>
                </c:pt>
                <c:pt idx="52">
                  <c:v>35.1494</c:v>
                </c:pt>
                <c:pt idx="53">
                  <c:v>35.150399999999998</c:v>
                </c:pt>
                <c:pt idx="54">
                  <c:v>35.151400000000002</c:v>
                </c:pt>
                <c:pt idx="55">
                  <c:v>35.1524</c:v>
                </c:pt>
                <c:pt idx="56">
                  <c:v>35.153399999999998</c:v>
                </c:pt>
                <c:pt idx="57">
                  <c:v>35.154400000000003</c:v>
                </c:pt>
                <c:pt idx="58">
                  <c:v>35.1554</c:v>
                </c:pt>
                <c:pt idx="59">
                  <c:v>35.156399999999998</c:v>
                </c:pt>
                <c:pt idx="60">
                  <c:v>35.157400000000003</c:v>
                </c:pt>
                <c:pt idx="61">
                  <c:v>35.1584</c:v>
                </c:pt>
                <c:pt idx="62">
                  <c:v>35.159399999999998</c:v>
                </c:pt>
                <c:pt idx="63">
                  <c:v>35.160400000000003</c:v>
                </c:pt>
                <c:pt idx="64">
                  <c:v>35.1614</c:v>
                </c:pt>
                <c:pt idx="65">
                  <c:v>35.162399999999998</c:v>
                </c:pt>
                <c:pt idx="66">
                  <c:v>35.163400000000003</c:v>
                </c:pt>
                <c:pt idx="67">
                  <c:v>35.164400000000001</c:v>
                </c:pt>
                <c:pt idx="68">
                  <c:v>35.165399999999998</c:v>
                </c:pt>
                <c:pt idx="69">
                  <c:v>35.166400000000003</c:v>
                </c:pt>
                <c:pt idx="70">
                  <c:v>35.167400000000001</c:v>
                </c:pt>
                <c:pt idx="71">
                  <c:v>35.168399999999998</c:v>
                </c:pt>
                <c:pt idx="72">
                  <c:v>35.169400000000003</c:v>
                </c:pt>
                <c:pt idx="73">
                  <c:v>35.170400000000001</c:v>
                </c:pt>
                <c:pt idx="74">
                  <c:v>35.171399999999998</c:v>
                </c:pt>
                <c:pt idx="75">
                  <c:v>35.172400000000003</c:v>
                </c:pt>
                <c:pt idx="76">
                  <c:v>35.173400000000001</c:v>
                </c:pt>
                <c:pt idx="77">
                  <c:v>35.174399999999999</c:v>
                </c:pt>
                <c:pt idx="78">
                  <c:v>35.175400000000003</c:v>
                </c:pt>
                <c:pt idx="79">
                  <c:v>35.176400000000001</c:v>
                </c:pt>
                <c:pt idx="80">
                  <c:v>35.177399999999999</c:v>
                </c:pt>
              </c:numCache>
            </c:numRef>
          </c:xVal>
          <c:yVal>
            <c:numRef>
              <c:f>Si_Thermo_01_omega!$E$22:$E$102</c:f>
              <c:numCache>
                <c:formatCode>General</c:formatCode>
                <c:ptCount val="81"/>
                <c:pt idx="0">
                  <c:v>395.72835684416037</c:v>
                </c:pt>
                <c:pt idx="1">
                  <c:v>384.63416258676904</c:v>
                </c:pt>
                <c:pt idx="2">
                  <c:v>394.21046191325865</c:v>
                </c:pt>
                <c:pt idx="3">
                  <c:v>414.52101624484135</c:v>
                </c:pt>
                <c:pt idx="4">
                  <c:v>453.67940219035484</c:v>
                </c:pt>
                <c:pt idx="5">
                  <c:v>455.03132965025674</c:v>
                </c:pt>
                <c:pt idx="6">
                  <c:v>466.30374979865479</c:v>
                </c:pt>
                <c:pt idx="7">
                  <c:v>477.25499361478666</c:v>
                </c:pt>
                <c:pt idx="8">
                  <c:v>513.69011971596638</c:v>
                </c:pt>
                <c:pt idx="9">
                  <c:v>528.40847413529571</c:v>
                </c:pt>
                <c:pt idx="10">
                  <c:v>534.79751321796311</c:v>
                </c:pt>
                <c:pt idx="11">
                  <c:v>517.41151953823908</c:v>
                </c:pt>
                <c:pt idx="12">
                  <c:v>526.86943394669493</c:v>
                </c:pt>
                <c:pt idx="13">
                  <c:v>605.49007491890654</c:v>
                </c:pt>
                <c:pt idx="14">
                  <c:v>640.2331809325276</c:v>
                </c:pt>
                <c:pt idx="15">
                  <c:v>591.93613348299027</c:v>
                </c:pt>
                <c:pt idx="16">
                  <c:v>644.12700136124886</c:v>
                </c:pt>
                <c:pt idx="17">
                  <c:v>632.46423807975748</c:v>
                </c:pt>
                <c:pt idx="18">
                  <c:v>733.12493364154386</c:v>
                </c:pt>
                <c:pt idx="19">
                  <c:v>754.75603465538904</c:v>
                </c:pt>
                <c:pt idx="20">
                  <c:v>788.70693667688226</c:v>
                </c:pt>
                <c:pt idx="21">
                  <c:v>818.98736285379709</c:v>
                </c:pt>
                <c:pt idx="22">
                  <c:v>837.04680101966233</c:v>
                </c:pt>
                <c:pt idx="23">
                  <c:v>874.02557040739737</c:v>
                </c:pt>
                <c:pt idx="24">
                  <c:v>869.7328725490313</c:v>
                </c:pt>
                <c:pt idx="25">
                  <c:v>1029.6320054739112</c:v>
                </c:pt>
                <c:pt idx="26">
                  <c:v>1033.2331195829254</c:v>
                </c:pt>
                <c:pt idx="27">
                  <c:v>1164.3963406356138</c:v>
                </c:pt>
                <c:pt idx="28">
                  <c:v>1208.0930391031686</c:v>
                </c:pt>
                <c:pt idx="29">
                  <c:v>1308.2478707286384</c:v>
                </c:pt>
                <c:pt idx="30">
                  <c:v>1461.0625455956099</c:v>
                </c:pt>
                <c:pt idx="31">
                  <c:v>1627.5644929052405</c:v>
                </c:pt>
                <c:pt idx="32">
                  <c:v>2234.1142412192721</c:v>
                </c:pt>
                <c:pt idx="33">
                  <c:v>3224.0132631531587</c:v>
                </c:pt>
                <c:pt idx="34">
                  <c:v>5612.101539968301</c:v>
                </c:pt>
                <c:pt idx="35">
                  <c:v>12221.999717885667</c:v>
                </c:pt>
                <c:pt idx="36">
                  <c:v>31343.089407266918</c:v>
                </c:pt>
                <c:pt idx="37">
                  <c:v>378160.69386815821</c:v>
                </c:pt>
                <c:pt idx="38">
                  <c:v>2787206.9183386997</c:v>
                </c:pt>
                <c:pt idx="39">
                  <c:v>3026022.705791052</c:v>
                </c:pt>
                <c:pt idx="40">
                  <c:v>4531984.4899227899</c:v>
                </c:pt>
                <c:pt idx="41">
                  <c:v>7477016.2460219087</c:v>
                </c:pt>
                <c:pt idx="42">
                  <c:v>8588859.9307128266</c:v>
                </c:pt>
                <c:pt idx="43">
                  <c:v>9054710.7735848054</c:v>
                </c:pt>
                <c:pt idx="44">
                  <c:v>7253329.2006133106</c:v>
                </c:pt>
                <c:pt idx="45">
                  <c:v>5964171.7877319055</c:v>
                </c:pt>
                <c:pt idx="46">
                  <c:v>4113260.7399200709</c:v>
                </c:pt>
                <c:pt idx="47">
                  <c:v>1532709.5412643987</c:v>
                </c:pt>
                <c:pt idx="48">
                  <c:v>493717.45073364367</c:v>
                </c:pt>
                <c:pt idx="49">
                  <c:v>245441.7914040912</c:v>
                </c:pt>
                <c:pt idx="50">
                  <c:v>165436.43140579027</c:v>
                </c:pt>
                <c:pt idx="51">
                  <c:v>125392.40724732223</c:v>
                </c:pt>
                <c:pt idx="52">
                  <c:v>97225.934155636307</c:v>
                </c:pt>
                <c:pt idx="53">
                  <c:v>77369.627412453032</c:v>
                </c:pt>
                <c:pt idx="54">
                  <c:v>59915.784708130544</c:v>
                </c:pt>
                <c:pt idx="55">
                  <c:v>46354.11119414882</c:v>
                </c:pt>
                <c:pt idx="56">
                  <c:v>36007.587228233271</c:v>
                </c:pt>
                <c:pt idx="57">
                  <c:v>28093.823506859597</c:v>
                </c:pt>
                <c:pt idx="58">
                  <c:v>22155.289882963403</c:v>
                </c:pt>
                <c:pt idx="59">
                  <c:v>17570.828087178979</c:v>
                </c:pt>
                <c:pt idx="60">
                  <c:v>13877.736584730204</c:v>
                </c:pt>
                <c:pt idx="61">
                  <c:v>11379.507503911067</c:v>
                </c:pt>
                <c:pt idx="62">
                  <c:v>9236.9302838193798</c:v>
                </c:pt>
                <c:pt idx="63">
                  <c:v>7607.011666595834</c:v>
                </c:pt>
                <c:pt idx="64">
                  <c:v>6020.1633602473521</c:v>
                </c:pt>
                <c:pt idx="65">
                  <c:v>4993.3020914958361</c:v>
                </c:pt>
                <c:pt idx="66">
                  <c:v>4094.4203867497686</c:v>
                </c:pt>
                <c:pt idx="67">
                  <c:v>3237.3564702910294</c:v>
                </c:pt>
                <c:pt idx="68">
                  <c:v>2683.2490285675926</c:v>
                </c:pt>
                <c:pt idx="69">
                  <c:v>2090.4083016872892</c:v>
                </c:pt>
                <c:pt idx="70">
                  <c:v>1728.3220736920541</c:v>
                </c:pt>
                <c:pt idx="71">
                  <c:v>1484.1442860758009</c:v>
                </c:pt>
                <c:pt idx="72">
                  <c:v>1126.2424135273077</c:v>
                </c:pt>
                <c:pt idx="73">
                  <c:v>969.26619322811518</c:v>
                </c:pt>
                <c:pt idx="74">
                  <c:v>809.14504070414432</c:v>
                </c:pt>
                <c:pt idx="75">
                  <c:v>717.24465933562919</c:v>
                </c:pt>
                <c:pt idx="76">
                  <c:v>649.77718026656544</c:v>
                </c:pt>
                <c:pt idx="77">
                  <c:v>588.98721925594077</c:v>
                </c:pt>
                <c:pt idx="78">
                  <c:v>545.67762322513431</c:v>
                </c:pt>
                <c:pt idx="79">
                  <c:v>479.21754465270379</c:v>
                </c:pt>
                <c:pt idx="80">
                  <c:v>499.96532133472761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3-4B65-9901-DA375D25C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882687"/>
        <c:axId val="735879327"/>
      </c:scatterChart>
      <c:valAx>
        <c:axId val="735882687"/>
        <c:scaling>
          <c:orientation val="minMax"/>
          <c:max val="35.18"/>
          <c:min val="35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79327"/>
        <c:crosses val="autoZero"/>
        <c:crossBetween val="midCat"/>
      </c:valAx>
      <c:valAx>
        <c:axId val="7358793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8826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5</xdr:row>
      <xdr:rowOff>228599</xdr:rowOff>
    </xdr:from>
    <xdr:to>
      <xdr:col>14</xdr:col>
      <xdr:colOff>657224</xdr:colOff>
      <xdr:row>29</xdr:row>
      <xdr:rowOff>28574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7F8C239-9AB8-476F-99A0-73D57935D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5</xdr:row>
      <xdr:rowOff>228599</xdr:rowOff>
    </xdr:from>
    <xdr:to>
      <xdr:col>14</xdr:col>
      <xdr:colOff>657224</xdr:colOff>
      <xdr:row>29</xdr:row>
      <xdr:rowOff>28574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363B78E-A978-4578-B5BF-8C00FEBDF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5</xdr:row>
      <xdr:rowOff>228599</xdr:rowOff>
    </xdr:from>
    <xdr:to>
      <xdr:col>14</xdr:col>
      <xdr:colOff>657224</xdr:colOff>
      <xdr:row>29</xdr:row>
      <xdr:rowOff>28574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8ADF778-3909-492F-8CB5-A243BCC23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5</xdr:row>
      <xdr:rowOff>228599</xdr:rowOff>
    </xdr:from>
    <xdr:to>
      <xdr:col>14</xdr:col>
      <xdr:colOff>657224</xdr:colOff>
      <xdr:row>29</xdr:row>
      <xdr:rowOff>28574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C7F29D3-09BE-430A-B696-BB0713309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295274</xdr:colOff>
      <xdr:row>0</xdr:row>
      <xdr:rowOff>104774</xdr:rowOff>
    </xdr:from>
    <xdr:to>
      <xdr:col>15</xdr:col>
      <xdr:colOff>628649</xdr:colOff>
      <xdr:row>23</xdr:row>
      <xdr:rowOff>142874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BD858FE-F987-410A-99AF-DF416D499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5</xdr:row>
      <xdr:rowOff>228599</xdr:rowOff>
    </xdr:from>
    <xdr:to>
      <xdr:col>14</xdr:col>
      <xdr:colOff>657224</xdr:colOff>
      <xdr:row>29</xdr:row>
      <xdr:rowOff>28574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8770612-94A4-4DA8-A148-F18CA492B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533399</xdr:colOff>
      <xdr:row>5</xdr:row>
      <xdr:rowOff>228599</xdr:rowOff>
    </xdr:from>
    <xdr:to>
      <xdr:col>14</xdr:col>
      <xdr:colOff>657224</xdr:colOff>
      <xdr:row>29</xdr:row>
      <xdr:rowOff>28574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968043A-9375-4353-A910-8BAAE4934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147637</xdr:colOff>
      <xdr:row>3</xdr:row>
      <xdr:rowOff>166687</xdr:rowOff>
    </xdr:from>
    <xdr:to>
      <xdr:col>18</xdr:col>
      <xdr:colOff>609599</xdr:colOff>
      <xdr:row>27</xdr:row>
      <xdr:rowOff>19049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94D25C9-3A2A-8C61-908F-FB493E1F3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776287</xdr:colOff>
      <xdr:row>0</xdr:row>
      <xdr:rowOff>190500</xdr:rowOff>
    </xdr:from>
    <xdr:to>
      <xdr:col>14</xdr:col>
      <xdr:colOff>371475</xdr:colOff>
      <xdr:row>25</xdr:row>
      <xdr:rowOff>28575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F8D9CC1-88BF-4DE9-ACF6-A84C731E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1</xdr:row>
      <xdr:rowOff>85724</xdr:rowOff>
    </xdr:from>
    <xdr:to>
      <xdr:col>12</xdr:col>
      <xdr:colOff>9525</xdr:colOff>
      <xdr:row>19</xdr:row>
      <xdr:rowOff>19049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E000F15-DFE2-44A8-93B5-F16B51D1D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376237</xdr:colOff>
      <xdr:row>4</xdr:row>
      <xdr:rowOff>104774</xdr:rowOff>
    </xdr:from>
    <xdr:to>
      <xdr:col>12</xdr:col>
      <xdr:colOff>28575</xdr:colOff>
      <xdr:row>22</xdr:row>
      <xdr:rowOff>38099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0EEA852-A9A1-B97B-48E0-43F308D1E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6B8D-B125-4C6E-9996-4142B7E9592F}">
  <dimension ref="A1:E222"/>
  <sheetViews>
    <sheetView workbookViewId="0">
      <selection activeCell="A3" sqref="A3:D222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67</v>
      </c>
    </row>
    <row r="4" spans="1:1" x14ac:dyDescent="0.4">
      <c r="A4" t="s">
        <v>68</v>
      </c>
    </row>
    <row r="5" spans="1:1" x14ac:dyDescent="0.4">
      <c r="A5" t="s">
        <v>61</v>
      </c>
    </row>
    <row r="6" spans="1:1" x14ac:dyDescent="0.4">
      <c r="A6" t="s">
        <v>62</v>
      </c>
    </row>
    <row r="7" spans="1:1" x14ac:dyDescent="0.4">
      <c r="A7" t="s">
        <v>63</v>
      </c>
    </row>
    <row r="8" spans="1:1" x14ac:dyDescent="0.4">
      <c r="A8" t="s">
        <v>64</v>
      </c>
    </row>
    <row r="9" spans="1:1" x14ac:dyDescent="0.4">
      <c r="A9" t="s">
        <v>48</v>
      </c>
    </row>
    <row r="10" spans="1:1" x14ac:dyDescent="0.4">
      <c r="A10" t="s">
        <v>7</v>
      </c>
    </row>
    <row r="11" spans="1:1" x14ac:dyDescent="0.4">
      <c r="A11" t="s">
        <v>49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65</v>
      </c>
      <c r="B19" t="s">
        <v>66</v>
      </c>
    </row>
    <row r="20" spans="1:5" x14ac:dyDescent="0.4">
      <c r="A20" t="s">
        <v>18</v>
      </c>
      <c r="B20" t="s">
        <v>19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68.589100000000002</v>
      </c>
      <c r="B22">
        <v>4</v>
      </c>
      <c r="C22">
        <v>2800.5394000000001</v>
      </c>
      <c r="D22" s="1">
        <v>1</v>
      </c>
      <c r="E22">
        <f t="shared" ref="E22:E85" si="0">$A$1*B22/C22</f>
        <v>6.8784586283628073</v>
      </c>
    </row>
    <row r="23" spans="1:5" x14ac:dyDescent="0.4">
      <c r="A23">
        <v>68.599100000000007</v>
      </c>
      <c r="B23">
        <v>6</v>
      </c>
      <c r="C23">
        <v>2799.4765000000002</v>
      </c>
      <c r="D23" s="1">
        <v>1</v>
      </c>
      <c r="E23">
        <f t="shared" si="0"/>
        <v>10.321605342998948</v>
      </c>
    </row>
    <row r="24" spans="1:5" x14ac:dyDescent="0.4">
      <c r="A24">
        <v>68.609099999999998</v>
      </c>
      <c r="B24">
        <v>3</v>
      </c>
      <c r="C24">
        <v>2797.0967000000001</v>
      </c>
      <c r="D24" s="1">
        <v>1</v>
      </c>
      <c r="E24">
        <f t="shared" si="0"/>
        <v>5.1651935379995981</v>
      </c>
    </row>
    <row r="25" spans="1:5" x14ac:dyDescent="0.4">
      <c r="A25">
        <v>68.619100000000003</v>
      </c>
      <c r="B25">
        <v>2</v>
      </c>
      <c r="C25">
        <v>2798.6446000000001</v>
      </c>
      <c r="D25" s="1">
        <v>1</v>
      </c>
      <c r="E25">
        <f t="shared" si="0"/>
        <v>3.4415578169518204</v>
      </c>
    </row>
    <row r="26" spans="1:5" x14ac:dyDescent="0.4">
      <c r="A26">
        <v>68.629099999999994</v>
      </c>
      <c r="B26">
        <v>2</v>
      </c>
      <c r="C26">
        <v>2798.8049999999998</v>
      </c>
      <c r="D26" s="1">
        <v>1</v>
      </c>
      <c r="E26">
        <f t="shared" si="0"/>
        <v>3.4413605806763963</v>
      </c>
    </row>
    <row r="27" spans="1:5" x14ac:dyDescent="0.4">
      <c r="A27">
        <v>68.639099999999999</v>
      </c>
      <c r="B27">
        <v>12</v>
      </c>
      <c r="C27">
        <v>2798.1275000000001</v>
      </c>
      <c r="D27" s="1">
        <v>1</v>
      </c>
      <c r="E27">
        <f t="shared" si="0"/>
        <v>20.653162945576998</v>
      </c>
    </row>
    <row r="28" spans="1:5" x14ac:dyDescent="0.4">
      <c r="A28">
        <v>68.649100000000004</v>
      </c>
      <c r="B28">
        <v>3</v>
      </c>
      <c r="C28">
        <v>2799.3235</v>
      </c>
      <c r="D28" s="1">
        <v>1</v>
      </c>
      <c r="E28">
        <f t="shared" si="0"/>
        <v>5.1610847406525187</v>
      </c>
    </row>
    <row r="29" spans="1:5" x14ac:dyDescent="0.4">
      <c r="A29">
        <v>68.659099999999995</v>
      </c>
      <c r="B29">
        <v>9</v>
      </c>
      <c r="C29">
        <v>2799.3782000000001</v>
      </c>
      <c r="D29" s="1">
        <v>1</v>
      </c>
      <c r="E29">
        <f t="shared" si="0"/>
        <v>15.482951678340568</v>
      </c>
    </row>
    <row r="30" spans="1:5" x14ac:dyDescent="0.4">
      <c r="A30">
        <v>68.6691</v>
      </c>
      <c r="B30">
        <v>19</v>
      </c>
      <c r="C30">
        <v>2797.172</v>
      </c>
      <c r="D30" s="1">
        <v>1</v>
      </c>
      <c r="E30">
        <f t="shared" si="0"/>
        <v>32.712011774749641</v>
      </c>
    </row>
    <row r="31" spans="1:5" x14ac:dyDescent="0.4">
      <c r="A31">
        <v>68.679100000000005</v>
      </c>
      <c r="B31">
        <v>8</v>
      </c>
      <c r="C31">
        <v>2794.7163</v>
      </c>
      <c r="D31" s="1">
        <v>1</v>
      </c>
      <c r="E31">
        <f t="shared" si="0"/>
        <v>13.785581312850969</v>
      </c>
    </row>
    <row r="32" spans="1:5" x14ac:dyDescent="0.4">
      <c r="A32">
        <v>68.689099999999996</v>
      </c>
      <c r="B32">
        <v>6</v>
      </c>
      <c r="C32">
        <v>2794.3854999999999</v>
      </c>
      <c r="D32" s="1">
        <v>1</v>
      </c>
      <c r="E32">
        <f t="shared" si="0"/>
        <v>10.340409939859766</v>
      </c>
    </row>
    <row r="33" spans="1:5" x14ac:dyDescent="0.4">
      <c r="A33">
        <v>68.699100000000001</v>
      </c>
      <c r="B33">
        <v>14</v>
      </c>
      <c r="C33">
        <v>2790.1361000000002</v>
      </c>
      <c r="D33" s="1">
        <v>1</v>
      </c>
      <c r="E33">
        <f t="shared" si="0"/>
        <v>24.164369759597033</v>
      </c>
    </row>
    <row r="34" spans="1:5" x14ac:dyDescent="0.4">
      <c r="A34">
        <v>68.709100000000007</v>
      </c>
      <c r="B34">
        <v>8</v>
      </c>
      <c r="C34">
        <v>2788.3568</v>
      </c>
      <c r="D34" s="1">
        <v>1</v>
      </c>
      <c r="E34">
        <f t="shared" si="0"/>
        <v>13.817022556080342</v>
      </c>
    </row>
    <row r="35" spans="1:5" x14ac:dyDescent="0.4">
      <c r="A35">
        <v>68.719099999999997</v>
      </c>
      <c r="B35">
        <v>5</v>
      </c>
      <c r="C35">
        <v>2792.7703000000001</v>
      </c>
      <c r="D35" s="1">
        <v>1</v>
      </c>
      <c r="E35">
        <f t="shared" si="0"/>
        <v>8.6219919339589079</v>
      </c>
    </row>
    <row r="36" spans="1:5" x14ac:dyDescent="0.4">
      <c r="A36">
        <v>68.729100000000003</v>
      </c>
      <c r="B36">
        <v>5</v>
      </c>
      <c r="C36">
        <v>2792.0308</v>
      </c>
      <c r="D36" s="1">
        <v>1</v>
      </c>
      <c r="E36">
        <f t="shared" si="0"/>
        <v>8.6242755631492329</v>
      </c>
    </row>
    <row r="37" spans="1:5" x14ac:dyDescent="0.4">
      <c r="A37">
        <v>68.739099999999993</v>
      </c>
      <c r="B37">
        <v>6</v>
      </c>
      <c r="C37">
        <v>2788.8292000000001</v>
      </c>
      <c r="D37" s="1">
        <v>1</v>
      </c>
      <c r="E37">
        <f t="shared" si="0"/>
        <v>10.361011567147962</v>
      </c>
    </row>
    <row r="38" spans="1:5" x14ac:dyDescent="0.4">
      <c r="A38">
        <v>68.749099999999999</v>
      </c>
      <c r="B38">
        <v>10</v>
      </c>
      <c r="C38">
        <v>2788.1145000000001</v>
      </c>
      <c r="D38" s="1">
        <v>1</v>
      </c>
      <c r="E38">
        <f t="shared" si="0"/>
        <v>17.272779148775992</v>
      </c>
    </row>
    <row r="39" spans="1:5" x14ac:dyDescent="0.4">
      <c r="A39">
        <v>68.759100000000004</v>
      </c>
      <c r="B39">
        <v>4</v>
      </c>
      <c r="C39">
        <v>2788.4034999999999</v>
      </c>
      <c r="D39" s="1">
        <v>1</v>
      </c>
      <c r="E39">
        <f t="shared" si="0"/>
        <v>6.9083955747437562</v>
      </c>
    </row>
    <row r="40" spans="1:5" x14ac:dyDescent="0.4">
      <c r="A40">
        <v>68.769099999999995</v>
      </c>
      <c r="B40">
        <v>5</v>
      </c>
      <c r="C40">
        <v>2783.2543999999998</v>
      </c>
      <c r="D40" s="1">
        <v>1</v>
      </c>
      <c r="E40">
        <f t="shared" si="0"/>
        <v>8.651470379423456</v>
      </c>
    </row>
    <row r="41" spans="1:5" x14ac:dyDescent="0.4">
      <c r="A41">
        <v>68.7791</v>
      </c>
      <c r="B41">
        <v>4</v>
      </c>
      <c r="C41">
        <v>2778.9115000000002</v>
      </c>
      <c r="D41" s="1">
        <v>1</v>
      </c>
      <c r="E41">
        <f t="shared" si="0"/>
        <v>6.9319927604747402</v>
      </c>
    </row>
    <row r="42" spans="1:5" x14ac:dyDescent="0.4">
      <c r="A42">
        <v>68.789100000000005</v>
      </c>
      <c r="B42">
        <v>7</v>
      </c>
      <c r="C42">
        <v>2777.9744000000001</v>
      </c>
      <c r="D42" s="1">
        <v>1</v>
      </c>
      <c r="E42">
        <f t="shared" si="0"/>
        <v>12.135079502532495</v>
      </c>
    </row>
    <row r="43" spans="1:5" x14ac:dyDescent="0.4">
      <c r="A43">
        <v>68.799099999999996</v>
      </c>
      <c r="B43">
        <v>8</v>
      </c>
      <c r="C43">
        <v>2781.8517999999999</v>
      </c>
      <c r="D43" s="1">
        <v>1</v>
      </c>
      <c r="E43">
        <f t="shared" si="0"/>
        <v>13.849331873106973</v>
      </c>
    </row>
    <row r="44" spans="1:5" x14ac:dyDescent="0.4">
      <c r="A44">
        <v>68.809100000000001</v>
      </c>
      <c r="B44">
        <v>6</v>
      </c>
      <c r="C44">
        <v>2785.5979000000002</v>
      </c>
      <c r="D44" s="1">
        <v>1</v>
      </c>
      <c r="E44">
        <f t="shared" si="0"/>
        <v>10.37303036450451</v>
      </c>
    </row>
    <row r="45" spans="1:5" x14ac:dyDescent="0.4">
      <c r="A45">
        <v>68.819100000000006</v>
      </c>
      <c r="B45">
        <v>12</v>
      </c>
      <c r="C45">
        <v>2784.5843</v>
      </c>
      <c r="D45" s="1">
        <v>1</v>
      </c>
      <c r="E45">
        <f t="shared" si="0"/>
        <v>20.75361237941333</v>
      </c>
    </row>
    <row r="46" spans="1:5" x14ac:dyDescent="0.4">
      <c r="A46">
        <v>68.829099999999997</v>
      </c>
      <c r="B46">
        <v>17</v>
      </c>
      <c r="C46">
        <v>2782.2473</v>
      </c>
      <c r="D46" s="1">
        <v>1</v>
      </c>
      <c r="E46">
        <f t="shared" si="0"/>
        <v>29.425646742473251</v>
      </c>
    </row>
    <row r="47" spans="1:5" x14ac:dyDescent="0.4">
      <c r="A47">
        <v>68.839100000000002</v>
      </c>
      <c r="B47">
        <v>15</v>
      </c>
      <c r="C47">
        <v>2777.9991</v>
      </c>
      <c r="D47" s="1">
        <v>1</v>
      </c>
      <c r="E47">
        <f t="shared" si="0"/>
        <v>26.003510584290687</v>
      </c>
    </row>
    <row r="48" spans="1:5" x14ac:dyDescent="0.4">
      <c r="A48">
        <v>68.849100000000007</v>
      </c>
      <c r="B48">
        <v>17</v>
      </c>
      <c r="C48">
        <v>2775.43</v>
      </c>
      <c r="D48" s="1">
        <v>1</v>
      </c>
      <c r="E48">
        <f t="shared" si="0"/>
        <v>29.497925078276161</v>
      </c>
    </row>
    <row r="49" spans="1:5" x14ac:dyDescent="0.4">
      <c r="A49">
        <v>68.859099999999998</v>
      </c>
      <c r="B49">
        <v>20</v>
      </c>
      <c r="C49">
        <v>2767.1842999999999</v>
      </c>
      <c r="D49" s="1">
        <v>1</v>
      </c>
      <c r="E49">
        <f t="shared" si="0"/>
        <v>34.806851137454061</v>
      </c>
    </row>
    <row r="50" spans="1:5" x14ac:dyDescent="0.4">
      <c r="A50">
        <v>68.869100000000003</v>
      </c>
      <c r="B50">
        <v>20</v>
      </c>
      <c r="C50">
        <v>2768.5889000000002</v>
      </c>
      <c r="D50" s="1">
        <v>1</v>
      </c>
      <c r="E50">
        <f t="shared" si="0"/>
        <v>34.789192429399684</v>
      </c>
    </row>
    <row r="51" spans="1:5" x14ac:dyDescent="0.4">
      <c r="A51">
        <v>68.879099999999994</v>
      </c>
      <c r="B51">
        <v>20</v>
      </c>
      <c r="C51">
        <v>2771.7846</v>
      </c>
      <c r="D51" s="1">
        <v>1</v>
      </c>
      <c r="E51">
        <f t="shared" si="0"/>
        <v>34.749082594657615</v>
      </c>
    </row>
    <row r="52" spans="1:5" x14ac:dyDescent="0.4">
      <c r="A52">
        <v>68.889099999999999</v>
      </c>
      <c r="B52">
        <v>13</v>
      </c>
      <c r="C52">
        <v>2774.3447000000001</v>
      </c>
      <c r="D52" s="1">
        <v>1</v>
      </c>
      <c r="E52">
        <f t="shared" si="0"/>
        <v>22.566061023347245</v>
      </c>
    </row>
    <row r="53" spans="1:5" x14ac:dyDescent="0.4">
      <c r="A53">
        <v>68.899100000000004</v>
      </c>
      <c r="B53">
        <v>19</v>
      </c>
      <c r="C53">
        <v>2773.9944</v>
      </c>
      <c r="D53" s="1">
        <v>1</v>
      </c>
      <c r="E53">
        <f t="shared" si="0"/>
        <v>32.98533097254991</v>
      </c>
    </row>
    <row r="54" spans="1:5" x14ac:dyDescent="0.4">
      <c r="A54">
        <v>68.909099999999995</v>
      </c>
      <c r="B54">
        <v>21</v>
      </c>
      <c r="C54">
        <v>2773.7485999999999</v>
      </c>
      <c r="D54" s="1">
        <v>1</v>
      </c>
      <c r="E54">
        <f t="shared" si="0"/>
        <v>36.460701809817955</v>
      </c>
    </row>
    <row r="55" spans="1:5" x14ac:dyDescent="0.4">
      <c r="A55">
        <v>68.9191</v>
      </c>
      <c r="B55">
        <v>21</v>
      </c>
      <c r="C55">
        <v>2769.7175999999999</v>
      </c>
      <c r="D55" s="1">
        <v>1</v>
      </c>
      <c r="E55">
        <f t="shared" si="0"/>
        <v>36.513766096586892</v>
      </c>
    </row>
    <row r="56" spans="1:5" x14ac:dyDescent="0.4">
      <c r="A56">
        <v>68.929100000000005</v>
      </c>
      <c r="B56">
        <v>16</v>
      </c>
      <c r="C56">
        <v>2763.2629000000002</v>
      </c>
      <c r="D56" s="1">
        <v>1</v>
      </c>
      <c r="E56">
        <f t="shared" si="0"/>
        <v>27.88499697223887</v>
      </c>
    </row>
    <row r="57" spans="1:5" x14ac:dyDescent="0.4">
      <c r="A57">
        <v>68.939099999999996</v>
      </c>
      <c r="B57">
        <v>28</v>
      </c>
      <c r="C57">
        <v>2752.3150000000001</v>
      </c>
      <c r="D57" s="1">
        <v>1</v>
      </c>
      <c r="E57">
        <f t="shared" si="0"/>
        <v>48.992851762970453</v>
      </c>
    </row>
    <row r="58" spans="1:5" x14ac:dyDescent="0.4">
      <c r="A58">
        <v>68.949100000000001</v>
      </c>
      <c r="B58">
        <v>22</v>
      </c>
      <c r="C58">
        <v>2751.6052</v>
      </c>
      <c r="D58" s="1">
        <v>1</v>
      </c>
      <c r="E58">
        <f t="shared" si="0"/>
        <v>38.504313482181239</v>
      </c>
    </row>
    <row r="59" spans="1:5" x14ac:dyDescent="0.4">
      <c r="A59">
        <v>68.959100000000007</v>
      </c>
      <c r="B59">
        <v>43</v>
      </c>
      <c r="C59">
        <v>2763.1770999999999</v>
      </c>
      <c r="D59" s="1">
        <v>1</v>
      </c>
      <c r="E59">
        <f t="shared" si="0"/>
        <v>74.94325636963336</v>
      </c>
    </row>
    <row r="60" spans="1:5" x14ac:dyDescent="0.4">
      <c r="A60">
        <v>68.969099999999997</v>
      </c>
      <c r="B60">
        <v>36</v>
      </c>
      <c r="C60">
        <v>2770.7498000000001</v>
      </c>
      <c r="D60" s="1">
        <v>1</v>
      </c>
      <c r="E60">
        <f t="shared" si="0"/>
        <v>62.571708784387532</v>
      </c>
    </row>
    <row r="61" spans="1:5" x14ac:dyDescent="0.4">
      <c r="A61">
        <v>68.979100000000003</v>
      </c>
      <c r="B61">
        <v>33</v>
      </c>
      <c r="C61">
        <v>2772.0934999999999</v>
      </c>
      <c r="D61" s="1">
        <v>1</v>
      </c>
      <c r="E61">
        <f t="shared" si="0"/>
        <v>57.329597215966928</v>
      </c>
    </row>
    <row r="62" spans="1:5" x14ac:dyDescent="0.4">
      <c r="A62">
        <v>68.989099999999993</v>
      </c>
      <c r="B62">
        <v>33</v>
      </c>
      <c r="C62">
        <v>2773.6084999999998</v>
      </c>
      <c r="D62" s="1">
        <v>1</v>
      </c>
      <c r="E62">
        <f t="shared" si="0"/>
        <v>57.298282652364243</v>
      </c>
    </row>
    <row r="63" spans="1:5" x14ac:dyDescent="0.4">
      <c r="A63">
        <v>68.999099999999999</v>
      </c>
      <c r="B63">
        <v>36</v>
      </c>
      <c r="C63">
        <v>2772.3281000000002</v>
      </c>
      <c r="D63" s="1">
        <v>1</v>
      </c>
      <c r="E63">
        <f t="shared" si="0"/>
        <v>62.536086403337322</v>
      </c>
    </row>
    <row r="64" spans="1:5" x14ac:dyDescent="0.4">
      <c r="A64">
        <v>69.009100000000004</v>
      </c>
      <c r="B64">
        <v>31</v>
      </c>
      <c r="C64">
        <v>2763.6747999999998</v>
      </c>
      <c r="D64" s="1">
        <v>1</v>
      </c>
      <c r="E64">
        <f t="shared" si="0"/>
        <v>54.019129385266318</v>
      </c>
    </row>
    <row r="65" spans="1:5" x14ac:dyDescent="0.4">
      <c r="A65">
        <v>69.019099999999995</v>
      </c>
      <c r="B65">
        <v>48</v>
      </c>
      <c r="C65">
        <v>2761.3989999999999</v>
      </c>
      <c r="D65" s="1">
        <v>1</v>
      </c>
      <c r="E65">
        <f t="shared" si="0"/>
        <v>83.711456692785077</v>
      </c>
    </row>
    <row r="66" spans="1:5" x14ac:dyDescent="0.4">
      <c r="A66">
        <v>69.0291</v>
      </c>
      <c r="B66">
        <v>57</v>
      </c>
      <c r="C66">
        <v>2762.8876</v>
      </c>
      <c r="D66" s="1">
        <v>1</v>
      </c>
      <c r="E66">
        <f t="shared" si="0"/>
        <v>99.353795717205429</v>
      </c>
    </row>
    <row r="67" spans="1:5" x14ac:dyDescent="0.4">
      <c r="A67">
        <v>69.039100000000005</v>
      </c>
      <c r="B67">
        <v>37</v>
      </c>
      <c r="C67">
        <v>2765.1680999999999</v>
      </c>
      <c r="D67" s="1">
        <v>1</v>
      </c>
      <c r="E67">
        <f t="shared" si="0"/>
        <v>64.43962600320755</v>
      </c>
    </row>
    <row r="68" spans="1:5" x14ac:dyDescent="0.4">
      <c r="A68">
        <v>69.049099999999996</v>
      </c>
      <c r="B68">
        <v>41</v>
      </c>
      <c r="C68">
        <v>2759.6606999999999</v>
      </c>
      <c r="D68" s="1">
        <v>1</v>
      </c>
      <c r="E68">
        <f t="shared" si="0"/>
        <v>71.548575736140322</v>
      </c>
    </row>
    <row r="69" spans="1:5" x14ac:dyDescent="0.4">
      <c r="A69">
        <v>69.059100000000001</v>
      </c>
      <c r="B69">
        <v>57</v>
      </c>
      <c r="C69">
        <v>2758.623</v>
      </c>
      <c r="D69" s="1">
        <v>1</v>
      </c>
      <c r="E69">
        <f t="shared" si="0"/>
        <v>99.507388360062251</v>
      </c>
    </row>
    <row r="70" spans="1:5" x14ac:dyDescent="0.4">
      <c r="A70">
        <v>69.069100000000006</v>
      </c>
      <c r="B70">
        <v>61</v>
      </c>
      <c r="C70">
        <v>2758.6781000000001</v>
      </c>
      <c r="D70" s="1">
        <v>1</v>
      </c>
      <c r="E70">
        <f t="shared" si="0"/>
        <v>106.48823601419825</v>
      </c>
    </row>
    <row r="71" spans="1:5" x14ac:dyDescent="0.4">
      <c r="A71">
        <v>69.079099999999997</v>
      </c>
      <c r="B71">
        <v>56</v>
      </c>
      <c r="C71">
        <v>2751.9520000000002</v>
      </c>
      <c r="D71" s="1">
        <v>1</v>
      </c>
      <c r="E71">
        <f t="shared" si="0"/>
        <v>97.998628464449965</v>
      </c>
    </row>
    <row r="72" spans="1:5" x14ac:dyDescent="0.4">
      <c r="A72">
        <v>69.089100000000002</v>
      </c>
      <c r="B72">
        <v>57</v>
      </c>
      <c r="C72">
        <v>2751.4387000000002</v>
      </c>
      <c r="D72" s="1">
        <v>1</v>
      </c>
      <c r="E72">
        <f t="shared" si="0"/>
        <v>99.767212767633168</v>
      </c>
    </row>
    <row r="73" spans="1:5" x14ac:dyDescent="0.4">
      <c r="A73">
        <v>69.099100000000007</v>
      </c>
      <c r="B73">
        <v>74</v>
      </c>
      <c r="C73">
        <v>2747.9973</v>
      </c>
      <c r="D73" s="1">
        <v>1</v>
      </c>
      <c r="E73">
        <f t="shared" si="0"/>
        <v>129.68455114566524</v>
      </c>
    </row>
    <row r="74" spans="1:5" x14ac:dyDescent="0.4">
      <c r="A74">
        <v>69.109099999999998</v>
      </c>
      <c r="B74">
        <v>89</v>
      </c>
      <c r="C74">
        <v>2745.01</v>
      </c>
      <c r="D74" s="1">
        <v>1</v>
      </c>
      <c r="E74">
        <f t="shared" si="0"/>
        <v>156.14169908306346</v>
      </c>
    </row>
    <row r="75" spans="1:5" x14ac:dyDescent="0.4">
      <c r="A75">
        <v>69.119100000000003</v>
      </c>
      <c r="B75">
        <v>96</v>
      </c>
      <c r="C75">
        <v>2748.0453000000002</v>
      </c>
      <c r="D75" s="1">
        <v>1</v>
      </c>
      <c r="E75">
        <f t="shared" si="0"/>
        <v>168.23647907114193</v>
      </c>
    </row>
    <row r="76" spans="1:5" x14ac:dyDescent="0.4">
      <c r="A76">
        <v>69.129099999999994</v>
      </c>
      <c r="B76">
        <v>130</v>
      </c>
      <c r="C76">
        <v>2753.3868000000002</v>
      </c>
      <c r="D76" s="1">
        <v>1</v>
      </c>
      <c r="E76">
        <f t="shared" si="0"/>
        <v>227.37826664964038</v>
      </c>
    </row>
    <row r="77" spans="1:5" x14ac:dyDescent="0.4">
      <c r="A77">
        <v>69.139099999999999</v>
      </c>
      <c r="B77">
        <v>119</v>
      </c>
      <c r="C77">
        <v>2753.6233999999999</v>
      </c>
      <c r="D77" s="1">
        <v>1</v>
      </c>
      <c r="E77">
        <f t="shared" si="0"/>
        <v>208.1206832423054</v>
      </c>
    </row>
    <row r="78" spans="1:5" x14ac:dyDescent="0.4">
      <c r="A78">
        <v>69.149100000000004</v>
      </c>
      <c r="B78">
        <v>106</v>
      </c>
      <c r="C78">
        <v>2750.1666</v>
      </c>
      <c r="D78" s="1">
        <v>1</v>
      </c>
      <c r="E78">
        <f t="shared" si="0"/>
        <v>185.61782824356897</v>
      </c>
    </row>
    <row r="79" spans="1:5" x14ac:dyDescent="0.4">
      <c r="A79">
        <v>69.159099999999995</v>
      </c>
      <c r="B79">
        <v>124</v>
      </c>
      <c r="C79">
        <v>2747.1106</v>
      </c>
      <c r="D79" s="1">
        <v>1</v>
      </c>
      <c r="E79">
        <f t="shared" si="0"/>
        <v>217.37938996704395</v>
      </c>
    </row>
    <row r="80" spans="1:5" x14ac:dyDescent="0.4">
      <c r="A80">
        <v>69.1691</v>
      </c>
      <c r="B80">
        <v>157</v>
      </c>
      <c r="C80">
        <v>2747.6887000000002</v>
      </c>
      <c r="D80" s="1">
        <v>1</v>
      </c>
      <c r="E80">
        <f t="shared" si="0"/>
        <v>275.17244955733156</v>
      </c>
    </row>
    <row r="81" spans="1:5" x14ac:dyDescent="0.4">
      <c r="A81">
        <v>69.179100000000005</v>
      </c>
      <c r="B81">
        <v>179</v>
      </c>
      <c r="C81">
        <v>2745.7406000000001</v>
      </c>
      <c r="D81" s="1">
        <v>1</v>
      </c>
      <c r="E81">
        <f t="shared" si="0"/>
        <v>313.95423857592374</v>
      </c>
    </row>
    <row r="82" spans="1:5" x14ac:dyDescent="0.4">
      <c r="A82">
        <v>69.189099999999996</v>
      </c>
      <c r="B82">
        <v>196</v>
      </c>
      <c r="C82">
        <v>2738.7948999999999</v>
      </c>
      <c r="D82" s="1">
        <v>1</v>
      </c>
      <c r="E82">
        <f t="shared" si="0"/>
        <v>344.64293971045447</v>
      </c>
    </row>
    <row r="83" spans="1:5" x14ac:dyDescent="0.4">
      <c r="A83">
        <v>69.199100000000001</v>
      </c>
      <c r="B83">
        <v>212</v>
      </c>
      <c r="C83">
        <v>2734.2874999999999</v>
      </c>
      <c r="D83" s="1">
        <v>1</v>
      </c>
      <c r="E83">
        <f t="shared" si="0"/>
        <v>373.39157027196302</v>
      </c>
    </row>
    <row r="84" spans="1:5" x14ac:dyDescent="0.4">
      <c r="A84">
        <v>69.209100000000007</v>
      </c>
      <c r="B84">
        <v>197</v>
      </c>
      <c r="C84">
        <v>2737.5985000000001</v>
      </c>
      <c r="D84" s="1">
        <v>1</v>
      </c>
      <c r="E84">
        <f t="shared" si="0"/>
        <v>346.55270822218819</v>
      </c>
    </row>
    <row r="85" spans="1:5" x14ac:dyDescent="0.4">
      <c r="A85">
        <v>69.219099999999997</v>
      </c>
      <c r="B85">
        <v>218</v>
      </c>
      <c r="C85">
        <v>2736.0594000000001</v>
      </c>
      <c r="D85" s="1">
        <v>1</v>
      </c>
      <c r="E85">
        <f t="shared" si="0"/>
        <v>383.71060028886797</v>
      </c>
    </row>
    <row r="86" spans="1:5" x14ac:dyDescent="0.4">
      <c r="A86">
        <v>69.229100000000003</v>
      </c>
      <c r="B86">
        <v>278</v>
      </c>
      <c r="C86">
        <v>2739.0533999999998</v>
      </c>
      <c r="D86" s="1">
        <v>1</v>
      </c>
      <c r="E86">
        <f t="shared" ref="E86:E149" si="1">$A$1*B86/C86</f>
        <v>488.78415835193294</v>
      </c>
    </row>
    <row r="87" spans="1:5" x14ac:dyDescent="0.4">
      <c r="A87">
        <v>69.239099999999993</v>
      </c>
      <c r="B87">
        <v>320</v>
      </c>
      <c r="C87">
        <v>2740.9854</v>
      </c>
      <c r="D87" s="1">
        <v>1</v>
      </c>
      <c r="E87">
        <f t="shared" si="1"/>
        <v>562.23267442431472</v>
      </c>
    </row>
    <row r="88" spans="1:5" x14ac:dyDescent="0.4">
      <c r="A88">
        <v>69.249099999999999</v>
      </c>
      <c r="B88">
        <v>351</v>
      </c>
      <c r="C88">
        <v>2736.0176999999999</v>
      </c>
      <c r="D88" s="1">
        <v>1</v>
      </c>
      <c r="E88">
        <f t="shared" si="1"/>
        <v>617.81868538350477</v>
      </c>
    </row>
    <row r="89" spans="1:5" x14ac:dyDescent="0.4">
      <c r="A89">
        <v>69.259100000000004</v>
      </c>
      <c r="B89">
        <v>380</v>
      </c>
      <c r="C89">
        <v>2732.8339999999998</v>
      </c>
      <c r="D89" s="1">
        <v>1</v>
      </c>
      <c r="E89">
        <f t="shared" si="1"/>
        <v>669.64274741897975</v>
      </c>
    </row>
    <row r="90" spans="1:5" x14ac:dyDescent="0.4">
      <c r="A90">
        <v>69.269099999999995</v>
      </c>
      <c r="B90">
        <v>427</v>
      </c>
      <c r="C90">
        <v>2730.9913000000001</v>
      </c>
      <c r="D90" s="1">
        <v>1</v>
      </c>
      <c r="E90">
        <f t="shared" si="1"/>
        <v>752.97469904060108</v>
      </c>
    </row>
    <row r="91" spans="1:5" x14ac:dyDescent="0.4">
      <c r="A91">
        <v>69.2791</v>
      </c>
      <c r="B91">
        <v>452</v>
      </c>
      <c r="C91">
        <v>2728.6219999999998</v>
      </c>
      <c r="D91" s="1">
        <v>1</v>
      </c>
      <c r="E91">
        <f t="shared" si="1"/>
        <v>797.75196681695013</v>
      </c>
    </row>
    <row r="92" spans="1:5" x14ac:dyDescent="0.4">
      <c r="A92">
        <v>69.289100000000005</v>
      </c>
      <c r="B92">
        <v>514</v>
      </c>
      <c r="C92">
        <v>2728.6264000000001</v>
      </c>
      <c r="D92" s="1">
        <v>1</v>
      </c>
      <c r="E92">
        <f t="shared" si="1"/>
        <v>907.17665870270844</v>
      </c>
    </row>
    <row r="93" spans="1:5" x14ac:dyDescent="0.4">
      <c r="A93">
        <v>69.299099999999996</v>
      </c>
      <c r="B93">
        <v>589</v>
      </c>
      <c r="C93">
        <v>2732.3208</v>
      </c>
      <c r="D93" s="1">
        <v>1</v>
      </c>
      <c r="E93">
        <f t="shared" si="1"/>
        <v>1038.1412114565758</v>
      </c>
    </row>
    <row r="94" spans="1:5" x14ac:dyDescent="0.4">
      <c r="A94">
        <v>69.309100000000001</v>
      </c>
      <c r="B94">
        <v>675</v>
      </c>
      <c r="C94">
        <v>2734.0808999999999</v>
      </c>
      <c r="D94" s="1">
        <v>1</v>
      </c>
      <c r="E94">
        <f t="shared" si="1"/>
        <v>1188.954505698789</v>
      </c>
    </row>
    <row r="95" spans="1:5" x14ac:dyDescent="0.4">
      <c r="A95">
        <v>69.319100000000006</v>
      </c>
      <c r="B95">
        <v>781</v>
      </c>
      <c r="C95">
        <v>2732.1891999999998</v>
      </c>
      <c r="D95" s="1">
        <v>1</v>
      </c>
      <c r="E95">
        <f t="shared" si="1"/>
        <v>1376.6168743365213</v>
      </c>
    </row>
    <row r="96" spans="1:5" x14ac:dyDescent="0.4">
      <c r="A96">
        <v>69.329099999999997</v>
      </c>
      <c r="B96">
        <v>954</v>
      </c>
      <c r="C96">
        <v>2724.7393000000002</v>
      </c>
      <c r="D96" s="1">
        <v>1</v>
      </c>
      <c r="E96">
        <f t="shared" si="1"/>
        <v>1686.1501444927228</v>
      </c>
    </row>
    <row r="97" spans="1:5" x14ac:dyDescent="0.4">
      <c r="A97">
        <v>69.339100000000002</v>
      </c>
      <c r="B97">
        <v>1006</v>
      </c>
      <c r="C97">
        <v>2717.6228000000001</v>
      </c>
      <c r="D97" s="1">
        <v>1</v>
      </c>
      <c r="E97">
        <f t="shared" si="1"/>
        <v>1782.7138084063765</v>
      </c>
    </row>
    <row r="98" spans="1:5" x14ac:dyDescent="0.4">
      <c r="A98">
        <v>69.349100000000007</v>
      </c>
      <c r="B98">
        <v>1090</v>
      </c>
      <c r="C98">
        <v>2716.4367999999999</v>
      </c>
      <c r="D98" s="1">
        <v>1</v>
      </c>
      <c r="E98">
        <f t="shared" si="1"/>
        <v>1932.4119648209744</v>
      </c>
    </row>
    <row r="99" spans="1:5" x14ac:dyDescent="0.4">
      <c r="A99">
        <v>69.359099999999998</v>
      </c>
      <c r="B99">
        <v>1350</v>
      </c>
      <c r="C99">
        <v>2717.9976999999999</v>
      </c>
      <c r="D99" s="1">
        <v>1</v>
      </c>
      <c r="E99">
        <f t="shared" si="1"/>
        <v>2391.979805575259</v>
      </c>
    </row>
    <row r="100" spans="1:5" x14ac:dyDescent="0.4">
      <c r="A100">
        <v>69.369100000000003</v>
      </c>
      <c r="B100">
        <v>1529</v>
      </c>
      <c r="C100">
        <v>2715.2082</v>
      </c>
      <c r="D100" s="1">
        <v>1</v>
      </c>
      <c r="E100">
        <f t="shared" si="1"/>
        <v>2711.9218737627561</v>
      </c>
    </row>
    <row r="101" spans="1:5" x14ac:dyDescent="0.4">
      <c r="A101">
        <v>69.379099999999994</v>
      </c>
      <c r="B101">
        <v>1738</v>
      </c>
      <c r="C101">
        <v>2716.5897</v>
      </c>
      <c r="D101" s="1">
        <v>1</v>
      </c>
      <c r="E101">
        <f t="shared" si="1"/>
        <v>3081.0485907386019</v>
      </c>
    </row>
    <row r="102" spans="1:5" x14ac:dyDescent="0.4">
      <c r="A102">
        <v>69.389099999999999</v>
      </c>
      <c r="B102">
        <v>2124</v>
      </c>
      <c r="C102">
        <v>2720.3175999999999</v>
      </c>
      <c r="D102" s="1">
        <v>1</v>
      </c>
      <c r="E102">
        <f t="shared" si="1"/>
        <v>3760.1721307835528</v>
      </c>
    </row>
    <row r="103" spans="1:5" x14ac:dyDescent="0.4">
      <c r="A103">
        <v>69.399100000000004</v>
      </c>
      <c r="B103">
        <v>2421</v>
      </c>
      <c r="C103">
        <v>2724.0423999999998</v>
      </c>
      <c r="D103" s="1">
        <v>1</v>
      </c>
      <c r="E103">
        <f t="shared" si="1"/>
        <v>4280.0983790120154</v>
      </c>
    </row>
    <row r="104" spans="1:5" x14ac:dyDescent="0.4">
      <c r="A104">
        <v>69.409099999999995</v>
      </c>
      <c r="B104">
        <v>2834</v>
      </c>
      <c r="C104">
        <v>2721.3018000000002</v>
      </c>
      <c r="D104" s="1">
        <v>1</v>
      </c>
      <c r="E104">
        <f t="shared" si="1"/>
        <v>5015.2889813250413</v>
      </c>
    </row>
    <row r="105" spans="1:5" x14ac:dyDescent="0.4">
      <c r="A105">
        <v>69.4191</v>
      </c>
      <c r="B105">
        <v>3534</v>
      </c>
      <c r="C105">
        <v>2717.2386999999999</v>
      </c>
      <c r="D105" s="1">
        <v>1</v>
      </c>
      <c r="E105">
        <f t="shared" si="1"/>
        <v>6263.4206381647673</v>
      </c>
    </row>
    <row r="106" spans="1:5" x14ac:dyDescent="0.4">
      <c r="A106">
        <v>69.429100000000005</v>
      </c>
      <c r="B106">
        <v>4213</v>
      </c>
      <c r="C106">
        <v>2711.9349999999999</v>
      </c>
      <c r="D106" s="1">
        <v>1</v>
      </c>
      <c r="E106">
        <f t="shared" si="1"/>
        <v>7481.4367423260528</v>
      </c>
    </row>
    <row r="107" spans="1:5" x14ac:dyDescent="0.4">
      <c r="A107">
        <v>69.439099999999996</v>
      </c>
      <c r="B107">
        <v>5294</v>
      </c>
      <c r="C107">
        <v>2709.4531000000002</v>
      </c>
      <c r="D107" s="1">
        <v>1</v>
      </c>
      <c r="E107">
        <f t="shared" si="1"/>
        <v>9409.6858470810948</v>
      </c>
    </row>
    <row r="108" spans="1:5" x14ac:dyDescent="0.4">
      <c r="A108">
        <v>69.449100000000001</v>
      </c>
      <c r="B108">
        <v>6198</v>
      </c>
      <c r="C108">
        <v>2714.4607999999998</v>
      </c>
      <c r="D108" s="1">
        <v>1</v>
      </c>
      <c r="E108">
        <f t="shared" si="1"/>
        <v>10996.154235419426</v>
      </c>
    </row>
    <row r="109" spans="1:5" x14ac:dyDescent="0.4">
      <c r="A109">
        <v>69.459100000000007</v>
      </c>
      <c r="B109">
        <v>8059</v>
      </c>
      <c r="C109">
        <v>2721.4439000000002</v>
      </c>
      <c r="D109" s="1">
        <v>1</v>
      </c>
      <c r="E109">
        <f t="shared" si="1"/>
        <v>14261.151540694997</v>
      </c>
    </row>
    <row r="110" spans="1:5" x14ac:dyDescent="0.4">
      <c r="A110">
        <v>69.469099999999997</v>
      </c>
      <c r="B110">
        <v>10475</v>
      </c>
      <c r="C110">
        <v>2722.7456000000002</v>
      </c>
      <c r="D110" s="1">
        <v>1</v>
      </c>
      <c r="E110">
        <f t="shared" si="1"/>
        <v>18527.626703354144</v>
      </c>
    </row>
    <row r="111" spans="1:5" x14ac:dyDescent="0.4">
      <c r="A111">
        <v>69.479100000000003</v>
      </c>
      <c r="B111">
        <v>13359</v>
      </c>
      <c r="C111">
        <v>2717.2076000000002</v>
      </c>
      <c r="D111" s="1">
        <v>1</v>
      </c>
      <c r="E111">
        <f t="shared" si="1"/>
        <v>23676.851723585638</v>
      </c>
    </row>
    <row r="112" spans="1:5" x14ac:dyDescent="0.4">
      <c r="A112">
        <v>69.489099999999993</v>
      </c>
      <c r="B112">
        <v>17432</v>
      </c>
      <c r="C112">
        <v>2710.6979000000001</v>
      </c>
      <c r="D112" s="1">
        <v>1</v>
      </c>
      <c r="E112">
        <f t="shared" si="1"/>
        <v>30969.837249366668</v>
      </c>
    </row>
    <row r="113" spans="1:5" x14ac:dyDescent="0.4">
      <c r="A113">
        <v>69.499099999999999</v>
      </c>
      <c r="B113">
        <v>23643</v>
      </c>
      <c r="C113">
        <v>2707.627</v>
      </c>
      <c r="D113" s="1">
        <v>1</v>
      </c>
      <c r="E113">
        <f t="shared" si="1"/>
        <v>42051.991817853792</v>
      </c>
    </row>
    <row r="114" spans="1:5" x14ac:dyDescent="0.4">
      <c r="A114">
        <v>69.509100000000004</v>
      </c>
      <c r="B114">
        <v>33615</v>
      </c>
      <c r="C114">
        <v>2703.1552999999999</v>
      </c>
      <c r="D114" s="1">
        <v>1</v>
      </c>
      <c r="E114">
        <f t="shared" si="1"/>
        <v>59887.328962934545</v>
      </c>
    </row>
    <row r="115" spans="1:5" x14ac:dyDescent="0.4">
      <c r="A115">
        <v>69.519099999999995</v>
      </c>
      <c r="B115">
        <v>48830</v>
      </c>
      <c r="C115">
        <v>2702.0367999999999</v>
      </c>
      <c r="D115" s="1">
        <v>1</v>
      </c>
      <c r="E115">
        <f t="shared" si="1"/>
        <v>87029.861006334191</v>
      </c>
    </row>
    <row r="116" spans="1:5" x14ac:dyDescent="0.4">
      <c r="A116">
        <v>69.5291</v>
      </c>
      <c r="B116">
        <v>75737</v>
      </c>
      <c r="C116">
        <v>2704.5907999999999</v>
      </c>
      <c r="D116" s="1">
        <v>1</v>
      </c>
      <c r="E116">
        <f t="shared" si="1"/>
        <v>134858.82057211761</v>
      </c>
    </row>
    <row r="117" spans="1:5" x14ac:dyDescent="0.4">
      <c r="A117">
        <v>69.539100000000005</v>
      </c>
      <c r="B117">
        <v>127715</v>
      </c>
      <c r="C117">
        <v>2711.6569</v>
      </c>
      <c r="D117" s="1">
        <v>1</v>
      </c>
      <c r="E117">
        <f t="shared" si="1"/>
        <v>226819.2941182935</v>
      </c>
    </row>
    <row r="118" spans="1:5" x14ac:dyDescent="0.4">
      <c r="A118">
        <v>69.549099999999996</v>
      </c>
      <c r="B118">
        <v>237487</v>
      </c>
      <c r="C118">
        <v>2711.2511</v>
      </c>
      <c r="D118" s="1">
        <v>1</v>
      </c>
      <c r="E118">
        <f t="shared" si="1"/>
        <v>421835.30565213971</v>
      </c>
    </row>
    <row r="119" spans="1:5" x14ac:dyDescent="0.4">
      <c r="A119">
        <v>69.559100000000001</v>
      </c>
      <c r="B119">
        <v>518688</v>
      </c>
      <c r="C119">
        <v>2705.0832999999998</v>
      </c>
      <c r="D119" s="1">
        <v>1</v>
      </c>
      <c r="E119">
        <f t="shared" si="1"/>
        <v>923418.09904219978</v>
      </c>
    </row>
    <row r="120" spans="1:5" x14ac:dyDescent="0.4">
      <c r="A120">
        <v>69.569100000000006</v>
      </c>
      <c r="B120">
        <v>1479196</v>
      </c>
      <c r="C120">
        <v>2701.9753000000001</v>
      </c>
      <c r="D120" s="1">
        <v>1</v>
      </c>
      <c r="E120">
        <f t="shared" si="1"/>
        <v>2636435.6423708242</v>
      </c>
    </row>
    <row r="121" spans="1:5" x14ac:dyDescent="0.4">
      <c r="A121">
        <v>69.579099999999997</v>
      </c>
      <c r="B121">
        <v>6898958</v>
      </c>
      <c r="C121">
        <v>2699.7451999999998</v>
      </c>
      <c r="D121" s="1">
        <v>1</v>
      </c>
      <c r="E121">
        <f t="shared" si="1"/>
        <v>12306471.449883049</v>
      </c>
    </row>
    <row r="122" spans="1:5" x14ac:dyDescent="0.4">
      <c r="A122">
        <v>69.589100000000002</v>
      </c>
      <c r="B122">
        <v>18171850</v>
      </c>
      <c r="C122">
        <v>2697.5126</v>
      </c>
      <c r="D122" s="1">
        <v>1</v>
      </c>
      <c r="E122">
        <f t="shared" si="1"/>
        <v>32442064.731008116</v>
      </c>
    </row>
    <row r="123" spans="1:5" x14ac:dyDescent="0.4">
      <c r="A123">
        <v>69.599100000000007</v>
      </c>
      <c r="B123">
        <v>6296920</v>
      </c>
      <c r="C123">
        <v>2692.9108999999999</v>
      </c>
      <c r="D123" s="1">
        <v>1</v>
      </c>
      <c r="E123">
        <f t="shared" si="1"/>
        <v>11261053.370281208</v>
      </c>
    </row>
    <row r="124" spans="1:5" x14ac:dyDescent="0.4">
      <c r="A124">
        <v>69.609099999999998</v>
      </c>
      <c r="B124">
        <v>1401652</v>
      </c>
      <c r="C124">
        <v>2685.2559999999999</v>
      </c>
      <c r="D124" s="1">
        <v>1</v>
      </c>
      <c r="E124">
        <f t="shared" si="1"/>
        <v>2513780.3702467103</v>
      </c>
    </row>
    <row r="125" spans="1:5" x14ac:dyDescent="0.4">
      <c r="A125">
        <v>69.619100000000003</v>
      </c>
      <c r="B125">
        <v>444985</v>
      </c>
      <c r="C125">
        <v>2686.2755000000002</v>
      </c>
      <c r="D125" s="1">
        <v>1</v>
      </c>
      <c r="E125">
        <f t="shared" si="1"/>
        <v>797751.52968152368</v>
      </c>
    </row>
    <row r="126" spans="1:5" x14ac:dyDescent="0.4">
      <c r="A126">
        <v>69.629099999999994</v>
      </c>
      <c r="B126">
        <v>179793</v>
      </c>
      <c r="C126">
        <v>2694.0971</v>
      </c>
      <c r="D126" s="1">
        <v>1</v>
      </c>
      <c r="E126">
        <f t="shared" si="1"/>
        <v>321390.00013763423</v>
      </c>
    </row>
    <row r="127" spans="1:5" x14ac:dyDescent="0.4">
      <c r="A127">
        <v>69.639099999999999</v>
      </c>
      <c r="B127">
        <v>82298</v>
      </c>
      <c r="C127">
        <v>2695.1536999999998</v>
      </c>
      <c r="D127" s="1">
        <v>1</v>
      </c>
      <c r="E127">
        <f t="shared" si="1"/>
        <v>147054.58470988131</v>
      </c>
    </row>
    <row r="128" spans="1:5" x14ac:dyDescent="0.4">
      <c r="A128">
        <v>69.649100000000004</v>
      </c>
      <c r="B128">
        <v>43312</v>
      </c>
      <c r="C128">
        <v>2689.6904</v>
      </c>
      <c r="D128" s="1">
        <v>1</v>
      </c>
      <c r="E128">
        <f t="shared" si="1"/>
        <v>77549.458689817984</v>
      </c>
    </row>
    <row r="129" spans="1:5" x14ac:dyDescent="0.4">
      <c r="A129">
        <v>69.659099999999995</v>
      </c>
      <c r="B129">
        <v>25095</v>
      </c>
      <c r="C129">
        <v>2687.5282999999999</v>
      </c>
      <c r="D129" s="1">
        <v>1</v>
      </c>
      <c r="E129">
        <f t="shared" si="1"/>
        <v>44968.352748880825</v>
      </c>
    </row>
    <row r="130" spans="1:5" x14ac:dyDescent="0.4">
      <c r="A130">
        <v>69.6691</v>
      </c>
      <c r="B130">
        <v>15538</v>
      </c>
      <c r="C130">
        <v>2689.5315000000001</v>
      </c>
      <c r="D130" s="1">
        <v>1</v>
      </c>
      <c r="E130">
        <f t="shared" si="1"/>
        <v>27822.189681288357</v>
      </c>
    </row>
    <row r="131" spans="1:5" x14ac:dyDescent="0.4">
      <c r="A131">
        <v>69.679100000000005</v>
      </c>
      <c r="B131">
        <v>9996</v>
      </c>
      <c r="C131">
        <v>2687.0392999999999</v>
      </c>
      <c r="D131" s="1">
        <v>1</v>
      </c>
      <c r="E131">
        <f t="shared" si="1"/>
        <v>17915.339982411126</v>
      </c>
    </row>
    <row r="132" spans="1:5" x14ac:dyDescent="0.4">
      <c r="A132">
        <v>69.689099999999996</v>
      </c>
      <c r="B132">
        <v>6718</v>
      </c>
      <c r="C132">
        <v>2684.9573</v>
      </c>
      <c r="D132" s="1">
        <v>1</v>
      </c>
      <c r="E132">
        <f t="shared" si="1"/>
        <v>12049.67799480461</v>
      </c>
    </row>
    <row r="133" spans="1:5" x14ac:dyDescent="0.4">
      <c r="A133">
        <v>69.699100000000001</v>
      </c>
      <c r="B133">
        <v>4667</v>
      </c>
      <c r="C133">
        <v>2682.6588000000002</v>
      </c>
      <c r="D133" s="1">
        <v>1</v>
      </c>
      <c r="E133">
        <f t="shared" si="1"/>
        <v>8378.0931873259469</v>
      </c>
    </row>
    <row r="134" spans="1:5" x14ac:dyDescent="0.4">
      <c r="A134">
        <v>69.709100000000007</v>
      </c>
      <c r="B134">
        <v>3398</v>
      </c>
      <c r="C134">
        <v>2680.4958000000001</v>
      </c>
      <c r="D134" s="1">
        <v>1</v>
      </c>
      <c r="E134">
        <f t="shared" si="1"/>
        <v>6104.9353417378979</v>
      </c>
    </row>
    <row r="135" spans="1:5" x14ac:dyDescent="0.4">
      <c r="A135">
        <v>69.719099999999997</v>
      </c>
      <c r="B135">
        <v>2489</v>
      </c>
      <c r="C135">
        <v>2679.2525000000001</v>
      </c>
      <c r="D135" s="1">
        <v>1</v>
      </c>
      <c r="E135">
        <f t="shared" si="1"/>
        <v>4473.8773838598636</v>
      </c>
    </row>
    <row r="136" spans="1:5" x14ac:dyDescent="0.4">
      <c r="A136">
        <v>69.729100000000003</v>
      </c>
      <c r="B136">
        <v>1893</v>
      </c>
      <c r="C136">
        <v>2683.1851999999999</v>
      </c>
      <c r="D136" s="1">
        <v>1</v>
      </c>
      <c r="E136">
        <f t="shared" si="1"/>
        <v>3397.6042353692173</v>
      </c>
    </row>
    <row r="137" spans="1:5" x14ac:dyDescent="0.4">
      <c r="A137">
        <v>69.739099999999993</v>
      </c>
      <c r="B137">
        <v>1471</v>
      </c>
      <c r="C137">
        <v>2686.5347000000002</v>
      </c>
      <c r="D137" s="1">
        <v>1</v>
      </c>
      <c r="E137">
        <f t="shared" si="1"/>
        <v>2636.8962554624736</v>
      </c>
    </row>
    <row r="138" spans="1:5" x14ac:dyDescent="0.4">
      <c r="A138">
        <v>69.749099999999999</v>
      </c>
      <c r="B138">
        <v>1132</v>
      </c>
      <c r="C138">
        <v>2687.7150000000001</v>
      </c>
      <c r="D138" s="1">
        <v>1</v>
      </c>
      <c r="E138">
        <f t="shared" si="1"/>
        <v>2028.3179634745497</v>
      </c>
    </row>
    <row r="139" spans="1:5" x14ac:dyDescent="0.4">
      <c r="A139">
        <v>69.759100000000004</v>
      </c>
      <c r="B139">
        <v>920</v>
      </c>
      <c r="C139">
        <v>2689.9472999999998</v>
      </c>
      <c r="D139" s="1">
        <v>1</v>
      </c>
      <c r="E139">
        <f t="shared" si="1"/>
        <v>1647.0882950011699</v>
      </c>
    </row>
    <row r="140" spans="1:5" x14ac:dyDescent="0.4">
      <c r="A140">
        <v>69.769099999999995</v>
      </c>
      <c r="B140">
        <v>728</v>
      </c>
      <c r="C140">
        <v>2687.9373000000001</v>
      </c>
      <c r="D140" s="1">
        <v>1</v>
      </c>
      <c r="E140">
        <f t="shared" si="1"/>
        <v>1304.3227536594698</v>
      </c>
    </row>
    <row r="141" spans="1:5" x14ac:dyDescent="0.4">
      <c r="A141">
        <v>69.7791</v>
      </c>
      <c r="B141">
        <v>575</v>
      </c>
      <c r="C141">
        <v>2687.9252999999999</v>
      </c>
      <c r="D141" s="1">
        <v>1</v>
      </c>
      <c r="E141">
        <f t="shared" si="1"/>
        <v>1030.2045763697379</v>
      </c>
    </row>
    <row r="142" spans="1:5" x14ac:dyDescent="0.4">
      <c r="A142">
        <v>69.789100000000005</v>
      </c>
      <c r="B142">
        <v>486</v>
      </c>
      <c r="C142">
        <v>2679.8056999999999</v>
      </c>
      <c r="D142" s="1">
        <v>1</v>
      </c>
      <c r="E142">
        <f t="shared" si="1"/>
        <v>873.38511877932058</v>
      </c>
    </row>
    <row r="143" spans="1:5" x14ac:dyDescent="0.4">
      <c r="A143">
        <v>69.799099999999996</v>
      </c>
      <c r="B143">
        <v>374</v>
      </c>
      <c r="C143">
        <v>2678.2190000000001</v>
      </c>
      <c r="D143" s="1">
        <v>1</v>
      </c>
      <c r="E143">
        <f t="shared" si="1"/>
        <v>672.50937148903813</v>
      </c>
    </row>
    <row r="144" spans="1:5" x14ac:dyDescent="0.4">
      <c r="A144">
        <v>69.809100000000001</v>
      </c>
      <c r="B144">
        <v>356</v>
      </c>
      <c r="C144">
        <v>2682.9069</v>
      </c>
      <c r="D144" s="1">
        <v>1</v>
      </c>
      <c r="E144">
        <f t="shared" si="1"/>
        <v>639.02407556520143</v>
      </c>
    </row>
    <row r="145" spans="1:5" x14ac:dyDescent="0.4">
      <c r="A145">
        <v>69.819100000000006</v>
      </c>
      <c r="B145">
        <v>257</v>
      </c>
      <c r="C145">
        <v>2688.4809</v>
      </c>
      <c r="D145" s="1">
        <v>1</v>
      </c>
      <c r="E145">
        <f t="shared" si="1"/>
        <v>460.36149641234198</v>
      </c>
    </row>
    <row r="146" spans="1:5" x14ac:dyDescent="0.4">
      <c r="A146">
        <v>69.829099999999997</v>
      </c>
      <c r="B146">
        <v>254</v>
      </c>
      <c r="C146">
        <v>2688.0219999999999</v>
      </c>
      <c r="D146" s="1">
        <v>1</v>
      </c>
      <c r="E146">
        <f t="shared" si="1"/>
        <v>455.06530244172109</v>
      </c>
    </row>
    <row r="147" spans="1:5" x14ac:dyDescent="0.4">
      <c r="A147">
        <v>69.839100000000002</v>
      </c>
      <c r="B147">
        <v>209</v>
      </c>
      <c r="C147">
        <v>2684.7874000000002</v>
      </c>
      <c r="D147" s="1">
        <v>1</v>
      </c>
      <c r="E147">
        <f t="shared" si="1"/>
        <v>374.89462197267466</v>
      </c>
    </row>
    <row r="148" spans="1:5" x14ac:dyDescent="0.4">
      <c r="A148">
        <v>69.849100000000007</v>
      </c>
      <c r="B148">
        <v>165</v>
      </c>
      <c r="C148">
        <v>2675.9335999999998</v>
      </c>
      <c r="D148" s="1">
        <v>1</v>
      </c>
      <c r="E148">
        <f t="shared" si="1"/>
        <v>296.94870567789877</v>
      </c>
    </row>
    <row r="149" spans="1:5" x14ac:dyDescent="0.4">
      <c r="A149">
        <v>69.859099999999998</v>
      </c>
      <c r="B149">
        <v>127</v>
      </c>
      <c r="C149">
        <v>2670.5709000000002</v>
      </c>
      <c r="D149" s="1">
        <v>1</v>
      </c>
      <c r="E149">
        <f t="shared" si="1"/>
        <v>229.01948500974078</v>
      </c>
    </row>
    <row r="150" spans="1:5" x14ac:dyDescent="0.4">
      <c r="A150">
        <v>69.869100000000003</v>
      </c>
      <c r="B150">
        <v>121</v>
      </c>
      <c r="C150">
        <v>2668.2426999999998</v>
      </c>
      <c r="D150" s="1">
        <v>1</v>
      </c>
      <c r="E150">
        <f t="shared" ref="E150:E213" si="2">$A$1*B150/C150</f>
        <v>218.39005897027289</v>
      </c>
    </row>
    <row r="151" spans="1:5" x14ac:dyDescent="0.4">
      <c r="A151">
        <v>69.879099999999994</v>
      </c>
      <c r="B151">
        <v>109</v>
      </c>
      <c r="C151">
        <v>2672.7157000000002</v>
      </c>
      <c r="D151" s="1">
        <v>1</v>
      </c>
      <c r="E151">
        <f t="shared" si="2"/>
        <v>196.40229501401888</v>
      </c>
    </row>
    <row r="152" spans="1:5" x14ac:dyDescent="0.4">
      <c r="A152">
        <v>69.889099999999999</v>
      </c>
      <c r="B152">
        <v>96</v>
      </c>
      <c r="C152">
        <v>2670.2559999999999</v>
      </c>
      <c r="D152" s="1">
        <v>1</v>
      </c>
      <c r="E152">
        <f t="shared" si="2"/>
        <v>173.13750651622917</v>
      </c>
    </row>
    <row r="153" spans="1:5" x14ac:dyDescent="0.4">
      <c r="A153">
        <v>69.899100000000004</v>
      </c>
      <c r="B153">
        <v>98</v>
      </c>
      <c r="C153">
        <v>2672.8692000000001</v>
      </c>
      <c r="D153" s="1">
        <v>1</v>
      </c>
      <c r="E153">
        <f t="shared" si="2"/>
        <v>176.57173901364123</v>
      </c>
    </row>
    <row r="154" spans="1:5" x14ac:dyDescent="0.4">
      <c r="A154">
        <v>69.909099999999995</v>
      </c>
      <c r="B154">
        <v>75</v>
      </c>
      <c r="C154">
        <v>2676.9256999999998</v>
      </c>
      <c r="D154" s="1">
        <v>1</v>
      </c>
      <c r="E154">
        <f t="shared" si="2"/>
        <v>134.92666045979539</v>
      </c>
    </row>
    <row r="155" spans="1:5" x14ac:dyDescent="0.4">
      <c r="A155">
        <v>69.9191</v>
      </c>
      <c r="B155">
        <v>51</v>
      </c>
      <c r="C155">
        <v>2678.8852999999999</v>
      </c>
      <c r="D155" s="1">
        <v>1</v>
      </c>
      <c r="E155">
        <f t="shared" si="2"/>
        <v>91.683014050657576</v>
      </c>
    </row>
    <row r="156" spans="1:5" x14ac:dyDescent="0.4">
      <c r="A156">
        <v>69.929100000000005</v>
      </c>
      <c r="B156">
        <v>68</v>
      </c>
      <c r="C156">
        <v>2673.6035000000002</v>
      </c>
      <c r="D156" s="1">
        <v>1</v>
      </c>
      <c r="E156">
        <f t="shared" si="2"/>
        <v>122.4855161956513</v>
      </c>
    </row>
    <row r="157" spans="1:5" x14ac:dyDescent="0.4">
      <c r="A157">
        <v>69.939099999999996</v>
      </c>
      <c r="B157">
        <v>61</v>
      </c>
      <c r="C157">
        <v>2669.2044999999998</v>
      </c>
      <c r="D157" s="1">
        <v>1</v>
      </c>
      <c r="E157">
        <f t="shared" si="2"/>
        <v>110.05779609617773</v>
      </c>
    </row>
    <row r="158" spans="1:5" x14ac:dyDescent="0.4">
      <c r="A158">
        <v>69.949100000000001</v>
      </c>
      <c r="B158">
        <v>57</v>
      </c>
      <c r="C158">
        <v>2669.8375000000001</v>
      </c>
      <c r="D158" s="1">
        <v>1</v>
      </c>
      <c r="E158">
        <f t="shared" si="2"/>
        <v>102.81650857027815</v>
      </c>
    </row>
    <row r="159" spans="1:5" x14ac:dyDescent="0.4">
      <c r="A159">
        <v>69.959100000000007</v>
      </c>
      <c r="B159">
        <v>39</v>
      </c>
      <c r="C159">
        <v>2668.9636999999998</v>
      </c>
      <c r="D159" s="1">
        <v>1</v>
      </c>
      <c r="E159">
        <f t="shared" si="2"/>
        <v>70.371168929723567</v>
      </c>
    </row>
    <row r="160" spans="1:5" x14ac:dyDescent="0.4">
      <c r="A160">
        <v>69.969099999999997</v>
      </c>
      <c r="B160">
        <v>31</v>
      </c>
      <c r="C160">
        <v>2671.7855</v>
      </c>
      <c r="D160" s="1">
        <v>1</v>
      </c>
      <c r="E160">
        <f t="shared" si="2"/>
        <v>55.876980618391713</v>
      </c>
    </row>
    <row r="161" spans="1:5" x14ac:dyDescent="0.4">
      <c r="A161">
        <v>69.979100000000003</v>
      </c>
      <c r="B161">
        <v>35</v>
      </c>
      <c r="C161">
        <v>2671.2860000000001</v>
      </c>
      <c r="D161" s="1">
        <v>1</v>
      </c>
      <c r="E161">
        <f t="shared" si="2"/>
        <v>63.098710134369739</v>
      </c>
    </row>
    <row r="162" spans="1:5" x14ac:dyDescent="0.4">
      <c r="A162">
        <v>69.989099999999993</v>
      </c>
      <c r="B162">
        <v>36</v>
      </c>
      <c r="C162">
        <v>2662.4747000000002</v>
      </c>
      <c r="D162" s="1">
        <v>1</v>
      </c>
      <c r="E162">
        <f t="shared" si="2"/>
        <v>65.116318138159201</v>
      </c>
    </row>
    <row r="163" spans="1:5" x14ac:dyDescent="0.4">
      <c r="A163">
        <v>69.999099999999999</v>
      </c>
      <c r="B163">
        <v>31</v>
      </c>
      <c r="C163">
        <v>2657.5439999999999</v>
      </c>
      <c r="D163" s="1">
        <v>1</v>
      </c>
      <c r="E163">
        <f t="shared" si="2"/>
        <v>56.176419506130479</v>
      </c>
    </row>
    <row r="164" spans="1:5" x14ac:dyDescent="0.4">
      <c r="A164">
        <v>70.009100000000004</v>
      </c>
      <c r="B164">
        <v>21</v>
      </c>
      <c r="C164">
        <v>2656.0708</v>
      </c>
      <c r="D164" s="1">
        <v>1</v>
      </c>
      <c r="E164">
        <f t="shared" si="2"/>
        <v>38.076101209350298</v>
      </c>
    </row>
    <row r="165" spans="1:5" x14ac:dyDescent="0.4">
      <c r="A165">
        <v>70.019099999999995</v>
      </c>
      <c r="B165">
        <v>30</v>
      </c>
      <c r="C165">
        <v>2655.2002000000002</v>
      </c>
      <c r="D165" s="1">
        <v>1</v>
      </c>
      <c r="E165">
        <f t="shared" si="2"/>
        <v>54.412265410344574</v>
      </c>
    </row>
    <row r="166" spans="1:5" x14ac:dyDescent="0.4">
      <c r="A166">
        <v>70.0291</v>
      </c>
      <c r="B166">
        <v>20</v>
      </c>
      <c r="C166">
        <v>2655.9101000000001</v>
      </c>
      <c r="D166" s="1">
        <v>1</v>
      </c>
      <c r="E166">
        <f t="shared" si="2"/>
        <v>36.265147679509184</v>
      </c>
    </row>
    <row r="167" spans="1:5" x14ac:dyDescent="0.4">
      <c r="A167">
        <v>70.039100000000005</v>
      </c>
      <c r="B167">
        <v>22</v>
      </c>
      <c r="C167">
        <v>2656.2489</v>
      </c>
      <c r="D167" s="1">
        <v>1</v>
      </c>
      <c r="E167">
        <f t="shared" si="2"/>
        <v>39.886574334204902</v>
      </c>
    </row>
    <row r="168" spans="1:5" x14ac:dyDescent="0.4">
      <c r="A168">
        <v>70.049099999999996</v>
      </c>
      <c r="B168">
        <v>31</v>
      </c>
      <c r="C168">
        <v>2653.2626</v>
      </c>
      <c r="D168" s="1">
        <v>1</v>
      </c>
      <c r="E168">
        <f t="shared" si="2"/>
        <v>56.267067797963158</v>
      </c>
    </row>
    <row r="169" spans="1:5" x14ac:dyDescent="0.4">
      <c r="A169">
        <v>70.059100000000001</v>
      </c>
      <c r="B169">
        <v>8</v>
      </c>
      <c r="C169">
        <v>2652.3236000000002</v>
      </c>
      <c r="D169" s="1">
        <v>1</v>
      </c>
      <c r="E169">
        <f t="shared" si="2"/>
        <v>14.525674318171433</v>
      </c>
    </row>
    <row r="170" spans="1:5" x14ac:dyDescent="0.4">
      <c r="A170">
        <v>70.069100000000006</v>
      </c>
      <c r="B170">
        <v>17</v>
      </c>
      <c r="C170">
        <v>2654.7278000000001</v>
      </c>
      <c r="D170" s="1">
        <v>1</v>
      </c>
      <c r="E170">
        <f t="shared" si="2"/>
        <v>30.839103805670774</v>
      </c>
    </row>
    <row r="171" spans="1:5" x14ac:dyDescent="0.4">
      <c r="A171">
        <v>70.079099999999997</v>
      </c>
      <c r="B171">
        <v>6</v>
      </c>
      <c r="C171">
        <v>2653.7078000000001</v>
      </c>
      <c r="D171" s="1">
        <v>1</v>
      </c>
      <c r="E171">
        <f t="shared" si="2"/>
        <v>10.888573188050319</v>
      </c>
    </row>
    <row r="172" spans="1:5" x14ac:dyDescent="0.4">
      <c r="A172">
        <v>70.089100000000002</v>
      </c>
      <c r="B172">
        <v>15</v>
      </c>
      <c r="C172">
        <v>2648.9648999999999</v>
      </c>
      <c r="D172" s="1">
        <v>1</v>
      </c>
      <c r="E172">
        <f t="shared" si="2"/>
        <v>27.270172209529846</v>
      </c>
    </row>
    <row r="173" spans="1:5" x14ac:dyDescent="0.4">
      <c r="A173">
        <v>70.099100000000007</v>
      </c>
      <c r="B173">
        <v>16</v>
      </c>
      <c r="C173">
        <v>2647.7678000000001</v>
      </c>
      <c r="D173" s="1">
        <v>1</v>
      </c>
      <c r="E173">
        <f t="shared" si="2"/>
        <v>29.101334943343598</v>
      </c>
    </row>
    <row r="174" spans="1:5" x14ac:dyDescent="0.4">
      <c r="A174">
        <v>70.109099999999998</v>
      </c>
      <c r="B174">
        <v>19</v>
      </c>
      <c r="C174">
        <v>2652.4874</v>
      </c>
      <c r="D174" s="1">
        <v>1</v>
      </c>
      <c r="E174">
        <f t="shared" si="2"/>
        <v>34.496346108939107</v>
      </c>
    </row>
    <row r="175" spans="1:5" x14ac:dyDescent="0.4">
      <c r="A175">
        <v>70.119100000000003</v>
      </c>
      <c r="B175">
        <v>14</v>
      </c>
      <c r="C175">
        <v>2650.2618000000002</v>
      </c>
      <c r="D175" s="1">
        <v>1</v>
      </c>
      <c r="E175">
        <f t="shared" si="2"/>
        <v>25.439705767935834</v>
      </c>
    </row>
    <row r="176" spans="1:5" x14ac:dyDescent="0.4">
      <c r="A176">
        <v>70.129099999999994</v>
      </c>
      <c r="B176">
        <v>13</v>
      </c>
      <c r="C176">
        <v>2648.2446</v>
      </c>
      <c r="D176" s="1">
        <v>1</v>
      </c>
      <c r="E176">
        <f t="shared" si="2"/>
        <v>23.640577535775964</v>
      </c>
    </row>
    <row r="177" spans="1:5" x14ac:dyDescent="0.4">
      <c r="A177">
        <v>70.139099999999999</v>
      </c>
      <c r="B177">
        <v>10</v>
      </c>
      <c r="C177">
        <v>2648.3220000000001</v>
      </c>
      <c r="D177" s="1">
        <v>1</v>
      </c>
      <c r="E177">
        <f t="shared" si="2"/>
        <v>18.184528165381703</v>
      </c>
    </row>
    <row r="178" spans="1:5" x14ac:dyDescent="0.4">
      <c r="A178">
        <v>70.149100000000004</v>
      </c>
      <c r="B178">
        <v>7</v>
      </c>
      <c r="C178">
        <v>2649.8253</v>
      </c>
      <c r="D178" s="1">
        <v>1</v>
      </c>
      <c r="E178">
        <f t="shared" si="2"/>
        <v>12.72194819786799</v>
      </c>
    </row>
    <row r="179" spans="1:5" x14ac:dyDescent="0.4">
      <c r="A179">
        <v>70.159099999999995</v>
      </c>
      <c r="B179">
        <v>7</v>
      </c>
      <c r="C179">
        <v>2648.14</v>
      </c>
      <c r="D179" s="1">
        <v>1</v>
      </c>
      <c r="E179">
        <f t="shared" si="2"/>
        <v>12.730044559577669</v>
      </c>
    </row>
    <row r="180" spans="1:5" x14ac:dyDescent="0.4">
      <c r="A180">
        <v>70.1691</v>
      </c>
      <c r="B180">
        <v>13</v>
      </c>
      <c r="C180">
        <v>2645.9119000000001</v>
      </c>
      <c r="D180" s="1">
        <v>1</v>
      </c>
      <c r="E180">
        <f t="shared" si="2"/>
        <v>23.661419641372035</v>
      </c>
    </row>
    <row r="181" spans="1:5" x14ac:dyDescent="0.4">
      <c r="A181">
        <v>70.179100000000005</v>
      </c>
      <c r="B181">
        <v>12</v>
      </c>
      <c r="C181">
        <v>2644.4938999999999</v>
      </c>
      <c r="D181" s="1">
        <v>1</v>
      </c>
      <c r="E181">
        <f t="shared" si="2"/>
        <v>21.853021933610812</v>
      </c>
    </row>
    <row r="182" spans="1:5" x14ac:dyDescent="0.4">
      <c r="A182">
        <v>70.189099999999996</v>
      </c>
      <c r="B182">
        <v>7</v>
      </c>
      <c r="C182">
        <v>2639.1707999999999</v>
      </c>
      <c r="D182" s="1">
        <v>1</v>
      </c>
      <c r="E182">
        <f t="shared" si="2"/>
        <v>12.773307510070969</v>
      </c>
    </row>
    <row r="183" spans="1:5" x14ac:dyDescent="0.4">
      <c r="A183">
        <v>70.199100000000001</v>
      </c>
      <c r="B183">
        <v>4</v>
      </c>
      <c r="C183">
        <v>2640.1033000000002</v>
      </c>
      <c r="D183" s="1">
        <v>1</v>
      </c>
      <c r="E183">
        <f t="shared" si="2"/>
        <v>7.2964548015981041</v>
      </c>
    </row>
    <row r="184" spans="1:5" x14ac:dyDescent="0.4">
      <c r="A184">
        <v>70.209100000000007</v>
      </c>
      <c r="B184">
        <v>6</v>
      </c>
      <c r="C184">
        <v>2635.9301</v>
      </c>
      <c r="D184" s="1">
        <v>1</v>
      </c>
      <c r="E184">
        <f t="shared" si="2"/>
        <v>10.962009804432977</v>
      </c>
    </row>
    <row r="185" spans="1:5" x14ac:dyDescent="0.4">
      <c r="A185">
        <v>70.219099999999997</v>
      </c>
      <c r="B185">
        <v>6</v>
      </c>
      <c r="C185">
        <v>2631.0711999999999</v>
      </c>
      <c r="D185" s="1">
        <v>1</v>
      </c>
      <c r="E185">
        <f t="shared" si="2"/>
        <v>10.982253767971008</v>
      </c>
    </row>
    <row r="186" spans="1:5" x14ac:dyDescent="0.4">
      <c r="A186">
        <v>70.229100000000003</v>
      </c>
      <c r="B186">
        <v>2</v>
      </c>
      <c r="C186">
        <v>2630.2019</v>
      </c>
      <c r="D186" s="1">
        <v>1</v>
      </c>
      <c r="E186">
        <f t="shared" si="2"/>
        <v>3.6619611597117316</v>
      </c>
    </row>
    <row r="187" spans="1:5" x14ac:dyDescent="0.4">
      <c r="A187">
        <v>70.239099999999993</v>
      </c>
      <c r="B187">
        <v>7</v>
      </c>
      <c r="C187">
        <v>2634.8294000000001</v>
      </c>
      <c r="D187" s="1">
        <v>1</v>
      </c>
      <c r="E187">
        <f t="shared" si="2"/>
        <v>12.794354048121674</v>
      </c>
    </row>
    <row r="188" spans="1:5" x14ac:dyDescent="0.4">
      <c r="A188">
        <v>70.249099999999999</v>
      </c>
      <c r="B188">
        <v>11</v>
      </c>
      <c r="C188">
        <v>2632.5603000000001</v>
      </c>
      <c r="D188" s="1">
        <v>1</v>
      </c>
      <c r="E188">
        <f t="shared" si="2"/>
        <v>20.122743095381328</v>
      </c>
    </row>
    <row r="189" spans="1:5" x14ac:dyDescent="0.4">
      <c r="A189">
        <v>70.259100000000004</v>
      </c>
      <c r="B189">
        <v>5</v>
      </c>
      <c r="C189">
        <v>2633.0052999999998</v>
      </c>
      <c r="D189" s="1">
        <v>1</v>
      </c>
      <c r="E189">
        <f t="shared" si="2"/>
        <v>9.1451555376664082</v>
      </c>
    </row>
    <row r="190" spans="1:5" x14ac:dyDescent="0.4">
      <c r="A190">
        <v>70.269099999999995</v>
      </c>
      <c r="B190">
        <v>7</v>
      </c>
      <c r="C190">
        <v>2628.8353000000002</v>
      </c>
      <c r="D190" s="1">
        <v>1</v>
      </c>
      <c r="E190">
        <f t="shared" si="2"/>
        <v>12.823526905622426</v>
      </c>
    </row>
    <row r="191" spans="1:5" x14ac:dyDescent="0.4">
      <c r="A191">
        <v>70.2791</v>
      </c>
      <c r="B191">
        <v>11</v>
      </c>
      <c r="C191">
        <v>2629.6628000000001</v>
      </c>
      <c r="D191" s="1">
        <v>1</v>
      </c>
      <c r="E191">
        <f t="shared" si="2"/>
        <v>20.144915386109581</v>
      </c>
    </row>
    <row r="192" spans="1:5" x14ac:dyDescent="0.4">
      <c r="A192">
        <v>70.289100000000005</v>
      </c>
      <c r="B192">
        <v>5</v>
      </c>
      <c r="C192">
        <v>2630.5201000000002</v>
      </c>
      <c r="D192" s="1">
        <v>1</v>
      </c>
      <c r="E192">
        <f t="shared" si="2"/>
        <v>9.153795479456706</v>
      </c>
    </row>
    <row r="193" spans="1:5" x14ac:dyDescent="0.4">
      <c r="A193">
        <v>70.299099999999996</v>
      </c>
      <c r="B193">
        <v>15</v>
      </c>
      <c r="C193">
        <v>2628.1176999999998</v>
      </c>
      <c r="D193" s="1">
        <v>1</v>
      </c>
      <c r="E193">
        <f t="shared" si="2"/>
        <v>27.48648928470746</v>
      </c>
    </row>
    <row r="194" spans="1:5" x14ac:dyDescent="0.4">
      <c r="A194">
        <v>70.309100000000001</v>
      </c>
      <c r="B194">
        <v>4</v>
      </c>
      <c r="C194">
        <v>2630.0331000000001</v>
      </c>
      <c r="D194" s="1">
        <v>1</v>
      </c>
      <c r="E194">
        <f t="shared" si="2"/>
        <v>7.3243923812213616</v>
      </c>
    </row>
    <row r="195" spans="1:5" x14ac:dyDescent="0.4">
      <c r="A195">
        <v>70.319100000000006</v>
      </c>
      <c r="B195">
        <v>2</v>
      </c>
      <c r="C195">
        <v>2631.6125000000002</v>
      </c>
      <c r="D195" s="1">
        <v>1</v>
      </c>
      <c r="E195">
        <f t="shared" si="2"/>
        <v>3.6599982710220442</v>
      </c>
    </row>
    <row r="196" spans="1:5" x14ac:dyDescent="0.4">
      <c r="A196">
        <v>70.329099999999997</v>
      </c>
      <c r="B196">
        <v>4</v>
      </c>
      <c r="C196">
        <v>2637.1491000000001</v>
      </c>
      <c r="D196" s="1">
        <v>1</v>
      </c>
      <c r="E196">
        <f t="shared" si="2"/>
        <v>7.3046284717083312</v>
      </c>
    </row>
    <row r="197" spans="1:5" x14ac:dyDescent="0.4">
      <c r="A197">
        <v>70.339100000000002</v>
      </c>
      <c r="B197">
        <v>4</v>
      </c>
      <c r="C197">
        <v>2633.7352000000001</v>
      </c>
      <c r="D197" s="1">
        <v>1</v>
      </c>
      <c r="E197">
        <f t="shared" si="2"/>
        <v>7.3140968765576737</v>
      </c>
    </row>
    <row r="198" spans="1:5" x14ac:dyDescent="0.4">
      <c r="A198">
        <v>70.349100000000007</v>
      </c>
      <c r="B198">
        <v>3</v>
      </c>
      <c r="C198">
        <v>2632.3</v>
      </c>
      <c r="D198" s="1">
        <v>1</v>
      </c>
      <c r="E198">
        <f t="shared" si="2"/>
        <v>5.4885635375907</v>
      </c>
    </row>
    <row r="199" spans="1:5" x14ac:dyDescent="0.4">
      <c r="A199">
        <v>70.359099999999998</v>
      </c>
      <c r="B199">
        <v>2</v>
      </c>
      <c r="C199">
        <v>2629.4045000000001</v>
      </c>
      <c r="D199" s="1">
        <v>1</v>
      </c>
      <c r="E199">
        <f t="shared" si="2"/>
        <v>3.6630716955112841</v>
      </c>
    </row>
    <row r="200" spans="1:5" x14ac:dyDescent="0.4">
      <c r="A200">
        <v>70.369100000000003</v>
      </c>
      <c r="B200">
        <v>5</v>
      </c>
      <c r="C200">
        <v>2628.0367999999999</v>
      </c>
      <c r="D200" s="1">
        <v>1</v>
      </c>
      <c r="E200">
        <f t="shared" si="2"/>
        <v>9.1624451377545419</v>
      </c>
    </row>
    <row r="201" spans="1:5" x14ac:dyDescent="0.4">
      <c r="A201">
        <v>70.379099999999994</v>
      </c>
      <c r="B201">
        <v>0</v>
      </c>
      <c r="C201">
        <v>2627.8842</v>
      </c>
      <c r="D201" s="1">
        <v>1</v>
      </c>
      <c r="E201">
        <f t="shared" si="2"/>
        <v>0</v>
      </c>
    </row>
    <row r="202" spans="1:5" x14ac:dyDescent="0.4">
      <c r="A202">
        <v>70.389099999999999</v>
      </c>
      <c r="B202">
        <v>5</v>
      </c>
      <c r="C202">
        <v>2625.8901999999998</v>
      </c>
      <c r="D202" s="1">
        <v>1</v>
      </c>
      <c r="E202">
        <f t="shared" si="2"/>
        <v>9.1699352090197852</v>
      </c>
    </row>
    <row r="203" spans="1:5" x14ac:dyDescent="0.4">
      <c r="A203">
        <v>70.399100000000004</v>
      </c>
      <c r="B203">
        <v>1</v>
      </c>
      <c r="C203">
        <v>2623.2438000000002</v>
      </c>
      <c r="D203" s="1">
        <v>1</v>
      </c>
      <c r="E203">
        <f t="shared" si="2"/>
        <v>1.8358372180275428</v>
      </c>
    </row>
    <row r="204" spans="1:5" x14ac:dyDescent="0.4">
      <c r="A204">
        <v>70.409099999999995</v>
      </c>
      <c r="B204">
        <v>2</v>
      </c>
      <c r="C204">
        <v>2619.9679000000001</v>
      </c>
      <c r="D204" s="1">
        <v>1</v>
      </c>
      <c r="E204">
        <f t="shared" si="2"/>
        <v>3.6762653466097812</v>
      </c>
    </row>
    <row r="205" spans="1:5" x14ac:dyDescent="0.4">
      <c r="A205">
        <v>70.4191</v>
      </c>
      <c r="B205">
        <v>2</v>
      </c>
      <c r="C205">
        <v>2619.0864000000001</v>
      </c>
      <c r="D205" s="1">
        <v>1</v>
      </c>
      <c r="E205">
        <f t="shared" si="2"/>
        <v>3.6775026589424464</v>
      </c>
    </row>
    <row r="206" spans="1:5" x14ac:dyDescent="0.4">
      <c r="A206">
        <v>70.429100000000005</v>
      </c>
      <c r="B206">
        <v>4</v>
      </c>
      <c r="C206">
        <v>2620.6309000000001</v>
      </c>
      <c r="D206" s="1">
        <v>1</v>
      </c>
      <c r="E206">
        <f t="shared" si="2"/>
        <v>7.3506705579942606</v>
      </c>
    </row>
    <row r="207" spans="1:5" x14ac:dyDescent="0.4">
      <c r="A207">
        <v>70.439099999999996</v>
      </c>
      <c r="B207">
        <v>2</v>
      </c>
      <c r="C207">
        <v>2622.3456999999999</v>
      </c>
      <c r="D207" s="1">
        <v>1</v>
      </c>
      <c r="E207">
        <f t="shared" si="2"/>
        <v>3.6729319097783337</v>
      </c>
    </row>
    <row r="208" spans="1:5" x14ac:dyDescent="0.4">
      <c r="A208">
        <v>70.449100000000001</v>
      </c>
      <c r="B208">
        <v>2</v>
      </c>
      <c r="C208">
        <v>2625.6412</v>
      </c>
      <c r="D208" s="1">
        <v>1</v>
      </c>
      <c r="E208">
        <f t="shared" si="2"/>
        <v>3.6683219321817471</v>
      </c>
    </row>
    <row r="209" spans="1:5" x14ac:dyDescent="0.4">
      <c r="A209">
        <v>70.459100000000007</v>
      </c>
      <c r="B209">
        <v>3</v>
      </c>
      <c r="C209">
        <v>2624.1037000000001</v>
      </c>
      <c r="D209" s="1">
        <v>1</v>
      </c>
      <c r="E209">
        <f t="shared" si="2"/>
        <v>5.5057068819345814</v>
      </c>
    </row>
    <row r="210" spans="1:5" x14ac:dyDescent="0.4">
      <c r="A210">
        <v>70.469099999999997</v>
      </c>
      <c r="B210">
        <v>4</v>
      </c>
      <c r="C210">
        <v>2618.8535999999999</v>
      </c>
      <c r="D210" s="1">
        <v>1</v>
      </c>
      <c r="E210">
        <f t="shared" si="2"/>
        <v>7.3556591326830949</v>
      </c>
    </row>
    <row r="211" spans="1:5" x14ac:dyDescent="0.4">
      <c r="A211">
        <v>70.479100000000003</v>
      </c>
      <c r="B211">
        <v>2</v>
      </c>
      <c r="C211">
        <v>2614.6639</v>
      </c>
      <c r="D211" s="1">
        <v>1</v>
      </c>
      <c r="E211">
        <f t="shared" si="2"/>
        <v>3.6837228677842688</v>
      </c>
    </row>
    <row r="212" spans="1:5" x14ac:dyDescent="0.4">
      <c r="A212">
        <v>70.489099999999993</v>
      </c>
      <c r="B212">
        <v>0</v>
      </c>
      <c r="C212">
        <v>2610.0538000000001</v>
      </c>
      <c r="D212" s="1">
        <v>1</v>
      </c>
      <c r="E212">
        <f t="shared" si="2"/>
        <v>0</v>
      </c>
    </row>
    <row r="213" spans="1:5" x14ac:dyDescent="0.4">
      <c r="A213">
        <v>70.499099999999999</v>
      </c>
      <c r="B213">
        <v>12</v>
      </c>
      <c r="C213">
        <v>2613.0699</v>
      </c>
      <c r="D213" s="1">
        <v>1</v>
      </c>
      <c r="E213">
        <f t="shared" si="2"/>
        <v>22.115819863831426</v>
      </c>
    </row>
    <row r="214" spans="1:5" x14ac:dyDescent="0.4">
      <c r="A214">
        <v>70.509100000000004</v>
      </c>
      <c r="B214">
        <v>4</v>
      </c>
      <c r="C214">
        <v>2611.8085999999998</v>
      </c>
      <c r="D214" s="1">
        <v>1</v>
      </c>
      <c r="E214">
        <f t="shared" ref="E214:E222" si="3">$A$1*B214/C214</f>
        <v>7.375500027069366</v>
      </c>
    </row>
    <row r="215" spans="1:5" x14ac:dyDescent="0.4">
      <c r="A215">
        <v>70.519099999999995</v>
      </c>
      <c r="B215">
        <v>3</v>
      </c>
      <c r="C215">
        <v>2608.4400999999998</v>
      </c>
      <c r="D215" s="1">
        <v>1</v>
      </c>
      <c r="E215">
        <f t="shared" si="3"/>
        <v>5.5387684769912875</v>
      </c>
    </row>
    <row r="216" spans="1:5" x14ac:dyDescent="0.4">
      <c r="A216">
        <v>70.5291</v>
      </c>
      <c r="B216">
        <v>8</v>
      </c>
      <c r="C216">
        <v>2607.056</v>
      </c>
      <c r="D216" s="1">
        <v>1</v>
      </c>
      <c r="E216">
        <f t="shared" si="3"/>
        <v>14.777890770278812</v>
      </c>
    </row>
    <row r="217" spans="1:5" x14ac:dyDescent="0.4">
      <c r="A217">
        <v>70.539100000000005</v>
      </c>
      <c r="B217">
        <v>1</v>
      </c>
      <c r="C217">
        <v>2608.6997000000001</v>
      </c>
      <c r="D217" s="1">
        <v>1</v>
      </c>
      <c r="E217">
        <f t="shared" si="3"/>
        <v>1.8460724321776094</v>
      </c>
    </row>
    <row r="218" spans="1:5" x14ac:dyDescent="0.4">
      <c r="A218">
        <v>70.549099999999996</v>
      </c>
      <c r="B218">
        <v>2</v>
      </c>
      <c r="C218">
        <v>2613.9128000000001</v>
      </c>
      <c r="D218" s="1">
        <v>1</v>
      </c>
      <c r="E218">
        <f t="shared" si="3"/>
        <v>3.6847813744972671</v>
      </c>
    </row>
    <row r="219" spans="1:5" x14ac:dyDescent="0.4">
      <c r="A219">
        <v>70.559100000000001</v>
      </c>
      <c r="B219">
        <v>3</v>
      </c>
      <c r="C219">
        <v>2616.6894000000002</v>
      </c>
      <c r="D219" s="1">
        <v>1</v>
      </c>
      <c r="E219">
        <f t="shared" si="3"/>
        <v>5.5213071142490193</v>
      </c>
    </row>
    <row r="220" spans="1:5" x14ac:dyDescent="0.4">
      <c r="A220">
        <v>70.569100000000006</v>
      </c>
      <c r="B220">
        <v>1</v>
      </c>
      <c r="C220">
        <v>2609.4866999999999</v>
      </c>
      <c r="D220" s="1">
        <v>1</v>
      </c>
      <c r="E220">
        <f t="shared" si="3"/>
        <v>1.8455156717219523</v>
      </c>
    </row>
    <row r="221" spans="1:5" x14ac:dyDescent="0.4">
      <c r="A221">
        <v>70.579099999999997</v>
      </c>
      <c r="B221">
        <v>1</v>
      </c>
      <c r="C221">
        <v>2599.9895999999999</v>
      </c>
      <c r="D221" s="1">
        <v>1</v>
      </c>
      <c r="E221">
        <f t="shared" si="3"/>
        <v>1.8522568705659439</v>
      </c>
    </row>
    <row r="222" spans="1:5" x14ac:dyDescent="0.4">
      <c r="A222">
        <v>70.589100000000002</v>
      </c>
      <c r="B222">
        <v>1</v>
      </c>
      <c r="C222">
        <v>2603.2613999999999</v>
      </c>
      <c r="D222" s="1">
        <v>1</v>
      </c>
      <c r="E222">
        <f t="shared" si="3"/>
        <v>1.8499289391376528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9085-1FAA-4D80-8635-A60A6F9569F6}">
  <dimension ref="A1:E222"/>
  <sheetViews>
    <sheetView workbookViewId="0">
      <selection activeCell="G5" sqref="G5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59</v>
      </c>
    </row>
    <row r="4" spans="1:1" x14ac:dyDescent="0.4">
      <c r="A4" t="s">
        <v>60</v>
      </c>
    </row>
    <row r="5" spans="1:1" x14ac:dyDescent="0.4">
      <c r="A5" t="s">
        <v>61</v>
      </c>
    </row>
    <row r="6" spans="1:1" x14ac:dyDescent="0.4">
      <c r="A6" t="s">
        <v>62</v>
      </c>
    </row>
    <row r="7" spans="1:1" x14ac:dyDescent="0.4">
      <c r="A7" t="s">
        <v>63</v>
      </c>
    </row>
    <row r="8" spans="1:1" x14ac:dyDescent="0.4">
      <c r="A8" t="s">
        <v>64</v>
      </c>
    </row>
    <row r="9" spans="1:1" x14ac:dyDescent="0.4">
      <c r="A9" t="s">
        <v>48</v>
      </c>
    </row>
    <row r="10" spans="1:1" x14ac:dyDescent="0.4">
      <c r="A10" t="s">
        <v>7</v>
      </c>
    </row>
    <row r="11" spans="1:1" x14ac:dyDescent="0.4">
      <c r="A11" t="s">
        <v>49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65</v>
      </c>
      <c r="B19" t="s">
        <v>66</v>
      </c>
    </row>
    <row r="20" spans="1:5" x14ac:dyDescent="0.4">
      <c r="A20" t="s">
        <v>18</v>
      </c>
      <c r="B20" t="s">
        <v>52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68.589100000000002</v>
      </c>
      <c r="B22">
        <v>0</v>
      </c>
      <c r="C22">
        <v>283.86090000000002</v>
      </c>
      <c r="D22" s="1">
        <v>1</v>
      </c>
      <c r="E22">
        <f t="shared" ref="E22:E85" si="0">$A$1*B22/C22</f>
        <v>0</v>
      </c>
    </row>
    <row r="23" spans="1:5" x14ac:dyDescent="0.4">
      <c r="A23">
        <v>68.599100000000007</v>
      </c>
      <c r="B23">
        <v>0</v>
      </c>
      <c r="C23">
        <v>283.95490000000001</v>
      </c>
      <c r="D23" s="1">
        <v>1</v>
      </c>
      <c r="E23">
        <f t="shared" si="0"/>
        <v>0</v>
      </c>
    </row>
    <row r="24" spans="1:5" x14ac:dyDescent="0.4">
      <c r="A24">
        <v>68.609099999999998</v>
      </c>
      <c r="B24">
        <v>0</v>
      </c>
      <c r="C24">
        <v>283.54840000000002</v>
      </c>
      <c r="D24" s="1">
        <v>1</v>
      </c>
      <c r="E24">
        <f t="shared" si="0"/>
        <v>0</v>
      </c>
    </row>
    <row r="25" spans="1:5" x14ac:dyDescent="0.4">
      <c r="A25">
        <v>68.619100000000003</v>
      </c>
      <c r="B25">
        <v>1</v>
      </c>
      <c r="C25">
        <v>283.61059999999998</v>
      </c>
      <c r="D25" s="1">
        <v>1</v>
      </c>
      <c r="E25">
        <f t="shared" si="0"/>
        <v>16.980495792470382</v>
      </c>
    </row>
    <row r="26" spans="1:5" x14ac:dyDescent="0.4">
      <c r="A26">
        <v>68.629099999999994</v>
      </c>
      <c r="B26">
        <v>0</v>
      </c>
      <c r="C26">
        <v>284.09070000000003</v>
      </c>
      <c r="D26" s="1">
        <v>1</v>
      </c>
      <c r="E26">
        <f t="shared" si="0"/>
        <v>0</v>
      </c>
    </row>
    <row r="27" spans="1:5" x14ac:dyDescent="0.4">
      <c r="A27">
        <v>68.639099999999999</v>
      </c>
      <c r="B27">
        <v>2</v>
      </c>
      <c r="C27">
        <v>283.94159999999999</v>
      </c>
      <c r="D27" s="1">
        <v>1</v>
      </c>
      <c r="E27">
        <f t="shared" si="0"/>
        <v>33.921402147483853</v>
      </c>
    </row>
    <row r="28" spans="1:5" x14ac:dyDescent="0.4">
      <c r="A28">
        <v>68.649100000000004</v>
      </c>
      <c r="B28">
        <v>0</v>
      </c>
      <c r="C28">
        <v>283.94369999999998</v>
      </c>
      <c r="D28" s="1">
        <v>1</v>
      </c>
      <c r="E28">
        <f t="shared" si="0"/>
        <v>0</v>
      </c>
    </row>
    <row r="29" spans="1:5" x14ac:dyDescent="0.4">
      <c r="A29">
        <v>68.659099999999995</v>
      </c>
      <c r="B29">
        <v>0</v>
      </c>
      <c r="C29">
        <v>284.27280000000002</v>
      </c>
      <c r="D29" s="1">
        <v>1</v>
      </c>
      <c r="E29">
        <f t="shared" si="0"/>
        <v>0</v>
      </c>
    </row>
    <row r="30" spans="1:5" x14ac:dyDescent="0.4">
      <c r="A30">
        <v>68.6691</v>
      </c>
      <c r="B30">
        <v>0</v>
      </c>
      <c r="C30">
        <v>283.87970000000001</v>
      </c>
      <c r="D30" s="1">
        <v>1</v>
      </c>
      <c r="E30">
        <f t="shared" si="0"/>
        <v>0</v>
      </c>
    </row>
    <row r="31" spans="1:5" x14ac:dyDescent="0.4">
      <c r="A31">
        <v>68.679100000000005</v>
      </c>
      <c r="B31">
        <v>0</v>
      </c>
      <c r="C31">
        <v>283.93790000000001</v>
      </c>
      <c r="D31" s="1">
        <v>1</v>
      </c>
      <c r="E31">
        <f t="shared" si="0"/>
        <v>0</v>
      </c>
    </row>
    <row r="32" spans="1:5" x14ac:dyDescent="0.4">
      <c r="A32">
        <v>68.689099999999996</v>
      </c>
      <c r="B32">
        <v>0</v>
      </c>
      <c r="C32">
        <v>284.03870000000001</v>
      </c>
      <c r="D32" s="1">
        <v>1</v>
      </c>
      <c r="E32">
        <f t="shared" si="0"/>
        <v>0</v>
      </c>
    </row>
    <row r="33" spans="1:5" x14ac:dyDescent="0.4">
      <c r="A33">
        <v>68.699100000000001</v>
      </c>
      <c r="B33">
        <v>0</v>
      </c>
      <c r="C33">
        <v>284.24650000000003</v>
      </c>
      <c r="D33" s="1">
        <v>1</v>
      </c>
      <c r="E33">
        <f t="shared" si="0"/>
        <v>0</v>
      </c>
    </row>
    <row r="34" spans="1:5" x14ac:dyDescent="0.4">
      <c r="A34">
        <v>68.709100000000007</v>
      </c>
      <c r="B34">
        <v>1</v>
      </c>
      <c r="C34">
        <v>284.1302</v>
      </c>
      <c r="D34" s="1">
        <v>1</v>
      </c>
      <c r="E34">
        <f t="shared" si="0"/>
        <v>16.949442896249678</v>
      </c>
    </row>
    <row r="35" spans="1:5" x14ac:dyDescent="0.4">
      <c r="A35">
        <v>68.719099999999997</v>
      </c>
      <c r="B35">
        <v>0</v>
      </c>
      <c r="C35">
        <v>284.22309999999999</v>
      </c>
      <c r="D35" s="1">
        <v>1</v>
      </c>
      <c r="E35">
        <f t="shared" si="0"/>
        <v>0</v>
      </c>
    </row>
    <row r="36" spans="1:5" x14ac:dyDescent="0.4">
      <c r="A36">
        <v>68.729100000000003</v>
      </c>
      <c r="B36">
        <v>0</v>
      </c>
      <c r="C36">
        <v>283.8682</v>
      </c>
      <c r="D36" s="1">
        <v>1</v>
      </c>
      <c r="E36">
        <f t="shared" si="0"/>
        <v>0</v>
      </c>
    </row>
    <row r="37" spans="1:5" x14ac:dyDescent="0.4">
      <c r="A37">
        <v>68.739099999999993</v>
      </c>
      <c r="B37">
        <v>0</v>
      </c>
      <c r="C37">
        <v>284.04450000000003</v>
      </c>
      <c r="D37" s="1">
        <v>1</v>
      </c>
      <c r="E37">
        <f t="shared" si="0"/>
        <v>0</v>
      </c>
    </row>
    <row r="38" spans="1:5" x14ac:dyDescent="0.4">
      <c r="A38">
        <v>68.749099999999999</v>
      </c>
      <c r="B38">
        <v>0</v>
      </c>
      <c r="C38">
        <v>283.62189999999998</v>
      </c>
      <c r="D38" s="1">
        <v>1</v>
      </c>
      <c r="E38">
        <f t="shared" si="0"/>
        <v>0</v>
      </c>
    </row>
    <row r="39" spans="1:5" x14ac:dyDescent="0.4">
      <c r="A39">
        <v>68.759100000000004</v>
      </c>
      <c r="B39">
        <v>1</v>
      </c>
      <c r="C39">
        <v>283.49770000000001</v>
      </c>
      <c r="D39" s="1">
        <v>1</v>
      </c>
      <c r="E39">
        <f t="shared" si="0"/>
        <v>16.987258097684744</v>
      </c>
    </row>
    <row r="40" spans="1:5" x14ac:dyDescent="0.4">
      <c r="A40">
        <v>68.769099999999995</v>
      </c>
      <c r="B40">
        <v>0</v>
      </c>
      <c r="C40">
        <v>283.57299999999998</v>
      </c>
      <c r="D40" s="1">
        <v>1</v>
      </c>
      <c r="E40">
        <f t="shared" si="0"/>
        <v>0</v>
      </c>
    </row>
    <row r="41" spans="1:5" x14ac:dyDescent="0.4">
      <c r="A41">
        <v>68.7791</v>
      </c>
      <c r="B41">
        <v>0</v>
      </c>
      <c r="C41">
        <v>283.61380000000003</v>
      </c>
      <c r="D41" s="1">
        <v>1</v>
      </c>
      <c r="E41">
        <f t="shared" si="0"/>
        <v>0</v>
      </c>
    </row>
    <row r="42" spans="1:5" x14ac:dyDescent="0.4">
      <c r="A42">
        <v>68.789100000000005</v>
      </c>
      <c r="B42">
        <v>0</v>
      </c>
      <c r="C42">
        <v>283.43810000000002</v>
      </c>
      <c r="D42" s="1">
        <v>1</v>
      </c>
      <c r="E42">
        <f t="shared" si="0"/>
        <v>0</v>
      </c>
    </row>
    <row r="43" spans="1:5" x14ac:dyDescent="0.4">
      <c r="A43">
        <v>68.799099999999996</v>
      </c>
      <c r="B43">
        <v>0</v>
      </c>
      <c r="C43">
        <v>283.43939999999998</v>
      </c>
      <c r="D43" s="1">
        <v>1</v>
      </c>
      <c r="E43">
        <f t="shared" si="0"/>
        <v>0</v>
      </c>
    </row>
    <row r="44" spans="1:5" x14ac:dyDescent="0.4">
      <c r="A44">
        <v>68.809100000000001</v>
      </c>
      <c r="B44">
        <v>2</v>
      </c>
      <c r="C44">
        <v>283.6148</v>
      </c>
      <c r="D44" s="1">
        <v>1</v>
      </c>
      <c r="E44">
        <f t="shared" si="0"/>
        <v>33.960488662791931</v>
      </c>
    </row>
    <row r="45" spans="1:5" x14ac:dyDescent="0.4">
      <c r="A45">
        <v>68.819100000000006</v>
      </c>
      <c r="B45">
        <v>1</v>
      </c>
      <c r="C45">
        <v>283.75209999999998</v>
      </c>
      <c r="D45" s="1">
        <v>1</v>
      </c>
      <c r="E45">
        <f t="shared" si="0"/>
        <v>16.972028048426779</v>
      </c>
    </row>
    <row r="46" spans="1:5" x14ac:dyDescent="0.4">
      <c r="A46">
        <v>68.829099999999997</v>
      </c>
      <c r="B46">
        <v>1</v>
      </c>
      <c r="C46">
        <v>283.73719999999997</v>
      </c>
      <c r="D46" s="1">
        <v>1</v>
      </c>
      <c r="E46">
        <f t="shared" si="0"/>
        <v>16.972919307020724</v>
      </c>
    </row>
    <row r="47" spans="1:5" x14ac:dyDescent="0.4">
      <c r="A47">
        <v>68.839100000000002</v>
      </c>
      <c r="B47">
        <v>2</v>
      </c>
      <c r="C47">
        <v>284.0256</v>
      </c>
      <c r="D47" s="1">
        <v>1</v>
      </c>
      <c r="E47">
        <f t="shared" si="0"/>
        <v>33.911369961017598</v>
      </c>
    </row>
    <row r="48" spans="1:5" x14ac:dyDescent="0.4">
      <c r="A48">
        <v>68.849100000000007</v>
      </c>
      <c r="B48">
        <v>0</v>
      </c>
      <c r="C48">
        <v>284.13979999999998</v>
      </c>
      <c r="D48" s="1">
        <v>1</v>
      </c>
      <c r="E48">
        <f t="shared" si="0"/>
        <v>0</v>
      </c>
    </row>
    <row r="49" spans="1:5" x14ac:dyDescent="0.4">
      <c r="A49">
        <v>68.859099999999998</v>
      </c>
      <c r="B49">
        <v>1</v>
      </c>
      <c r="C49">
        <v>284.24349999999998</v>
      </c>
      <c r="D49" s="1">
        <v>1</v>
      </c>
      <c r="E49">
        <f t="shared" si="0"/>
        <v>16.94268681605736</v>
      </c>
    </row>
    <row r="50" spans="1:5" x14ac:dyDescent="0.4">
      <c r="A50">
        <v>68.869100000000003</v>
      </c>
      <c r="B50">
        <v>1</v>
      </c>
      <c r="C50">
        <v>283.8843</v>
      </c>
      <c r="D50" s="1">
        <v>1</v>
      </c>
      <c r="E50">
        <f t="shared" si="0"/>
        <v>16.964124469017836</v>
      </c>
    </row>
    <row r="51" spans="1:5" x14ac:dyDescent="0.4">
      <c r="A51">
        <v>68.879099999999994</v>
      </c>
      <c r="B51">
        <v>3</v>
      </c>
      <c r="C51">
        <v>284.12349999999998</v>
      </c>
      <c r="D51" s="1">
        <v>1</v>
      </c>
      <c r="E51">
        <f t="shared" si="0"/>
        <v>50.849527758175583</v>
      </c>
    </row>
    <row r="52" spans="1:5" x14ac:dyDescent="0.4">
      <c r="A52">
        <v>68.889099999999999</v>
      </c>
      <c r="B52">
        <v>0</v>
      </c>
      <c r="C52">
        <v>283.96030000000002</v>
      </c>
      <c r="D52" s="1">
        <v>1</v>
      </c>
      <c r="E52">
        <f t="shared" si="0"/>
        <v>0</v>
      </c>
    </row>
    <row r="53" spans="1:5" x14ac:dyDescent="0.4">
      <c r="A53">
        <v>68.899100000000004</v>
      </c>
      <c r="B53">
        <v>1</v>
      </c>
      <c r="C53">
        <v>283.68990000000002</v>
      </c>
      <c r="D53" s="1">
        <v>1</v>
      </c>
      <c r="E53">
        <f t="shared" si="0"/>
        <v>16.975749224769721</v>
      </c>
    </row>
    <row r="54" spans="1:5" x14ac:dyDescent="0.4">
      <c r="A54">
        <v>68.909099999999995</v>
      </c>
      <c r="B54">
        <v>2</v>
      </c>
      <c r="C54">
        <v>283.69589999999999</v>
      </c>
      <c r="D54" s="1">
        <v>1</v>
      </c>
      <c r="E54">
        <f t="shared" si="0"/>
        <v>33.950780395486859</v>
      </c>
    </row>
    <row r="55" spans="1:5" x14ac:dyDescent="0.4">
      <c r="A55">
        <v>68.9191</v>
      </c>
      <c r="B55">
        <v>0</v>
      </c>
      <c r="C55">
        <v>283.6918</v>
      </c>
      <c r="D55" s="1">
        <v>1</v>
      </c>
      <c r="E55">
        <f t="shared" si="0"/>
        <v>0</v>
      </c>
    </row>
    <row r="56" spans="1:5" x14ac:dyDescent="0.4">
      <c r="A56">
        <v>68.929100000000005</v>
      </c>
      <c r="B56">
        <v>5</v>
      </c>
      <c r="C56">
        <v>283.4932</v>
      </c>
      <c r="D56" s="1">
        <v>1</v>
      </c>
      <c r="E56">
        <f t="shared" si="0"/>
        <v>84.937638715849275</v>
      </c>
    </row>
    <row r="57" spans="1:5" x14ac:dyDescent="0.4">
      <c r="A57">
        <v>68.939099999999996</v>
      </c>
      <c r="B57">
        <v>3</v>
      </c>
      <c r="C57">
        <v>283.45080000000002</v>
      </c>
      <c r="D57" s="1">
        <v>1</v>
      </c>
      <c r="E57">
        <f t="shared" si="0"/>
        <v>50.970206469694212</v>
      </c>
    </row>
    <row r="58" spans="1:5" x14ac:dyDescent="0.4">
      <c r="A58">
        <v>68.949100000000001</v>
      </c>
      <c r="B58">
        <v>4</v>
      </c>
      <c r="C58">
        <v>283.50319999999999</v>
      </c>
      <c r="D58" s="1">
        <v>1</v>
      </c>
      <c r="E58">
        <f t="shared" si="0"/>
        <v>67.947714170422074</v>
      </c>
    </row>
    <row r="59" spans="1:5" x14ac:dyDescent="0.4">
      <c r="A59">
        <v>68.959100000000007</v>
      </c>
      <c r="B59">
        <v>3</v>
      </c>
      <c r="C59">
        <v>283.76459999999997</v>
      </c>
      <c r="D59" s="1">
        <v>1</v>
      </c>
      <c r="E59">
        <f t="shared" si="0"/>
        <v>50.91384126138356</v>
      </c>
    </row>
    <row r="60" spans="1:5" x14ac:dyDescent="0.4">
      <c r="A60">
        <v>68.969099999999997</v>
      </c>
      <c r="B60">
        <v>0</v>
      </c>
      <c r="C60">
        <v>283.88499999999999</v>
      </c>
      <c r="D60" s="1">
        <v>1</v>
      </c>
      <c r="E60">
        <f t="shared" si="0"/>
        <v>0</v>
      </c>
    </row>
    <row r="61" spans="1:5" x14ac:dyDescent="0.4">
      <c r="A61">
        <v>68.979100000000003</v>
      </c>
      <c r="B61">
        <v>3</v>
      </c>
      <c r="C61">
        <v>283.81130000000002</v>
      </c>
      <c r="D61" s="1">
        <v>1</v>
      </c>
      <c r="E61">
        <f t="shared" si="0"/>
        <v>50.905463595001322</v>
      </c>
    </row>
    <row r="62" spans="1:5" x14ac:dyDescent="0.4">
      <c r="A62">
        <v>68.989099999999993</v>
      </c>
      <c r="B62">
        <v>2</v>
      </c>
      <c r="C62">
        <v>283.72840000000002</v>
      </c>
      <c r="D62" s="1">
        <v>1</v>
      </c>
      <c r="E62">
        <f t="shared" si="0"/>
        <v>33.946891463808349</v>
      </c>
    </row>
    <row r="63" spans="1:5" x14ac:dyDescent="0.4">
      <c r="A63">
        <v>68.999099999999999</v>
      </c>
      <c r="B63">
        <v>3</v>
      </c>
      <c r="C63">
        <v>283.58949999999999</v>
      </c>
      <c r="D63" s="1">
        <v>1</v>
      </c>
      <c r="E63">
        <f t="shared" si="0"/>
        <v>50.945277593140794</v>
      </c>
    </row>
    <row r="64" spans="1:5" x14ac:dyDescent="0.4">
      <c r="A64">
        <v>69.009100000000004</v>
      </c>
      <c r="B64">
        <v>3</v>
      </c>
      <c r="C64">
        <v>283.5582</v>
      </c>
      <c r="D64" s="1">
        <v>1</v>
      </c>
      <c r="E64">
        <f t="shared" si="0"/>
        <v>50.950901084856653</v>
      </c>
    </row>
    <row r="65" spans="1:5" x14ac:dyDescent="0.4">
      <c r="A65">
        <v>69.019099999999995</v>
      </c>
      <c r="B65">
        <v>3</v>
      </c>
      <c r="C65">
        <v>283.45940000000002</v>
      </c>
      <c r="D65" s="1">
        <v>1</v>
      </c>
      <c r="E65">
        <f t="shared" si="0"/>
        <v>50.968660062075905</v>
      </c>
    </row>
    <row r="66" spans="1:5" x14ac:dyDescent="0.4">
      <c r="A66">
        <v>69.0291</v>
      </c>
      <c r="B66">
        <v>3</v>
      </c>
      <c r="C66">
        <v>283.4828</v>
      </c>
      <c r="D66" s="1">
        <v>1</v>
      </c>
      <c r="E66">
        <f t="shared" si="0"/>
        <v>50.964452869803743</v>
      </c>
    </row>
    <row r="67" spans="1:5" x14ac:dyDescent="0.4">
      <c r="A67">
        <v>69.039100000000005</v>
      </c>
      <c r="B67">
        <v>6</v>
      </c>
      <c r="C67">
        <v>283.44420000000002</v>
      </c>
      <c r="D67" s="1">
        <v>1</v>
      </c>
      <c r="E67">
        <f t="shared" si="0"/>
        <v>101.94278662255215</v>
      </c>
    </row>
    <row r="68" spans="1:5" x14ac:dyDescent="0.4">
      <c r="A68">
        <v>69.049099999999996</v>
      </c>
      <c r="B68">
        <v>5</v>
      </c>
      <c r="C68">
        <v>283.77030000000002</v>
      </c>
      <c r="D68" s="1">
        <v>1</v>
      </c>
      <c r="E68">
        <f t="shared" si="0"/>
        <v>84.85469761987072</v>
      </c>
    </row>
    <row r="69" spans="1:5" x14ac:dyDescent="0.4">
      <c r="A69">
        <v>69.059100000000001</v>
      </c>
      <c r="B69">
        <v>3</v>
      </c>
      <c r="C69">
        <v>283.88389999999998</v>
      </c>
      <c r="D69" s="1">
        <v>1</v>
      </c>
      <c r="E69">
        <f t="shared" si="0"/>
        <v>50.892445115767401</v>
      </c>
    </row>
    <row r="70" spans="1:5" x14ac:dyDescent="0.4">
      <c r="A70">
        <v>69.069100000000006</v>
      </c>
      <c r="B70">
        <v>7</v>
      </c>
      <c r="C70">
        <v>283.72129999999999</v>
      </c>
      <c r="D70" s="1">
        <v>1</v>
      </c>
      <c r="E70">
        <f t="shared" si="0"/>
        <v>118.81709339411601</v>
      </c>
    </row>
    <row r="71" spans="1:5" x14ac:dyDescent="0.4">
      <c r="A71">
        <v>69.079099999999997</v>
      </c>
      <c r="B71">
        <v>7</v>
      </c>
      <c r="C71">
        <v>283.74959999999999</v>
      </c>
      <c r="D71" s="1">
        <v>1</v>
      </c>
      <c r="E71">
        <f t="shared" si="0"/>
        <v>118.80524307347044</v>
      </c>
    </row>
    <row r="72" spans="1:5" x14ac:dyDescent="0.4">
      <c r="A72">
        <v>69.089100000000002</v>
      </c>
      <c r="B72">
        <v>2</v>
      </c>
      <c r="C72">
        <v>283.72570000000002</v>
      </c>
      <c r="D72" s="1">
        <v>1</v>
      </c>
      <c r="E72">
        <f t="shared" si="0"/>
        <v>33.947214510352779</v>
      </c>
    </row>
    <row r="73" spans="1:5" x14ac:dyDescent="0.4">
      <c r="A73">
        <v>69.099100000000007</v>
      </c>
      <c r="B73">
        <v>4</v>
      </c>
      <c r="C73">
        <v>283.96609999999998</v>
      </c>
      <c r="D73" s="1">
        <v>1</v>
      </c>
      <c r="E73">
        <f t="shared" si="0"/>
        <v>67.836950959991356</v>
      </c>
    </row>
    <row r="74" spans="1:5" x14ac:dyDescent="0.4">
      <c r="A74">
        <v>69.109099999999998</v>
      </c>
      <c r="B74">
        <v>7</v>
      </c>
      <c r="C74">
        <v>283.62360000000001</v>
      </c>
      <c r="D74" s="1">
        <v>1</v>
      </c>
      <c r="E74">
        <f t="shared" si="0"/>
        <v>118.85802239305899</v>
      </c>
    </row>
    <row r="75" spans="1:5" x14ac:dyDescent="0.4">
      <c r="A75">
        <v>69.119100000000003</v>
      </c>
      <c r="B75">
        <v>8</v>
      </c>
      <c r="C75">
        <v>283.53930000000003</v>
      </c>
      <c r="D75" s="1">
        <v>1</v>
      </c>
      <c r="E75">
        <f t="shared" si="0"/>
        <v>135.87812624211176</v>
      </c>
    </row>
    <row r="76" spans="1:5" x14ac:dyDescent="0.4">
      <c r="A76">
        <v>69.129099999999994</v>
      </c>
      <c r="B76">
        <v>6</v>
      </c>
      <c r="C76">
        <v>283.154</v>
      </c>
      <c r="D76" s="1">
        <v>1</v>
      </c>
      <c r="E76">
        <f t="shared" si="0"/>
        <v>102.04726615198797</v>
      </c>
    </row>
    <row r="77" spans="1:5" x14ac:dyDescent="0.4">
      <c r="A77">
        <v>69.139099999999999</v>
      </c>
      <c r="B77">
        <v>11</v>
      </c>
      <c r="C77">
        <v>283.4425</v>
      </c>
      <c r="D77" s="1">
        <v>1</v>
      </c>
      <c r="E77">
        <f t="shared" si="0"/>
        <v>186.89622974677405</v>
      </c>
    </row>
    <row r="78" spans="1:5" x14ac:dyDescent="0.4">
      <c r="A78">
        <v>69.149100000000004</v>
      </c>
      <c r="B78">
        <v>14</v>
      </c>
      <c r="C78">
        <v>283.51089999999999</v>
      </c>
      <c r="D78" s="1">
        <v>1</v>
      </c>
      <c r="E78">
        <f t="shared" si="0"/>
        <v>237.81054061766235</v>
      </c>
    </row>
    <row r="79" spans="1:5" x14ac:dyDescent="0.4">
      <c r="A79">
        <v>69.159099999999995</v>
      </c>
      <c r="B79">
        <v>8</v>
      </c>
      <c r="C79">
        <v>283.26839999999999</v>
      </c>
      <c r="D79" s="1">
        <v>1</v>
      </c>
      <c r="E79">
        <f t="shared" si="0"/>
        <v>136.00807149685599</v>
      </c>
    </row>
    <row r="80" spans="1:5" x14ac:dyDescent="0.4">
      <c r="A80">
        <v>69.1691</v>
      </c>
      <c r="B80">
        <v>16</v>
      </c>
      <c r="C80">
        <v>283.24560000000002</v>
      </c>
      <c r="D80" s="1">
        <v>1</v>
      </c>
      <c r="E80">
        <f t="shared" si="0"/>
        <v>272.03803907280468</v>
      </c>
    </row>
    <row r="81" spans="1:5" x14ac:dyDescent="0.4">
      <c r="A81">
        <v>69.179100000000005</v>
      </c>
      <c r="B81">
        <v>15</v>
      </c>
      <c r="C81">
        <v>283.1728</v>
      </c>
      <c r="D81" s="1">
        <v>1</v>
      </c>
      <c r="E81">
        <f t="shared" si="0"/>
        <v>255.10122794279678</v>
      </c>
    </row>
    <row r="82" spans="1:5" x14ac:dyDescent="0.4">
      <c r="A82">
        <v>69.189099999999996</v>
      </c>
      <c r="B82">
        <v>16</v>
      </c>
      <c r="C82">
        <v>283.20920000000001</v>
      </c>
      <c r="D82" s="1">
        <v>1</v>
      </c>
      <c r="E82">
        <f t="shared" si="0"/>
        <v>272.0730032781421</v>
      </c>
    </row>
    <row r="83" spans="1:5" x14ac:dyDescent="0.4">
      <c r="A83">
        <v>69.199100000000001</v>
      </c>
      <c r="B83">
        <v>19</v>
      </c>
      <c r="C83">
        <v>283.3621</v>
      </c>
      <c r="D83" s="1">
        <v>1</v>
      </c>
      <c r="E83">
        <f t="shared" si="0"/>
        <v>322.91235631017702</v>
      </c>
    </row>
    <row r="84" spans="1:5" x14ac:dyDescent="0.4">
      <c r="A84">
        <v>69.209100000000007</v>
      </c>
      <c r="B84">
        <v>25</v>
      </c>
      <c r="C84">
        <v>283.21469999999999</v>
      </c>
      <c r="D84" s="1">
        <v>1</v>
      </c>
      <c r="E84">
        <f t="shared" si="0"/>
        <v>425.10581195114526</v>
      </c>
    </row>
    <row r="85" spans="1:5" x14ac:dyDescent="0.4">
      <c r="A85">
        <v>69.219099999999997</v>
      </c>
      <c r="B85">
        <v>22</v>
      </c>
      <c r="C85">
        <v>283.30669999999998</v>
      </c>
      <c r="D85" s="1">
        <v>1</v>
      </c>
      <c r="E85">
        <f t="shared" si="0"/>
        <v>373.97163286290095</v>
      </c>
    </row>
    <row r="86" spans="1:5" x14ac:dyDescent="0.4">
      <c r="A86">
        <v>69.229100000000003</v>
      </c>
      <c r="B86">
        <v>37</v>
      </c>
      <c r="C86">
        <v>283.387</v>
      </c>
      <c r="D86" s="1">
        <v>1</v>
      </c>
      <c r="E86">
        <f t="shared" ref="E86:E149" si="1">$A$1*B86/C86</f>
        <v>628.77407291089571</v>
      </c>
    </row>
    <row r="87" spans="1:5" x14ac:dyDescent="0.4">
      <c r="A87">
        <v>69.239099999999993</v>
      </c>
      <c r="B87">
        <v>27</v>
      </c>
      <c r="C87">
        <v>283.41879999999998</v>
      </c>
      <c r="D87" s="1">
        <v>1</v>
      </c>
      <c r="E87">
        <f t="shared" si="1"/>
        <v>458.78365231946509</v>
      </c>
    </row>
    <row r="88" spans="1:5" x14ac:dyDescent="0.4">
      <c r="A88">
        <v>69.249099999999999</v>
      </c>
      <c r="B88">
        <v>33</v>
      </c>
      <c r="C88">
        <v>283.1687</v>
      </c>
      <c r="D88" s="1">
        <v>1</v>
      </c>
      <c r="E88">
        <f t="shared" si="1"/>
        <v>561.23082741842586</v>
      </c>
    </row>
    <row r="89" spans="1:5" x14ac:dyDescent="0.4">
      <c r="A89">
        <v>69.259100000000004</v>
      </c>
      <c r="B89">
        <v>28</v>
      </c>
      <c r="C89">
        <v>283.43900000000002</v>
      </c>
      <c r="D89" s="1">
        <v>1</v>
      </c>
      <c r="E89">
        <f t="shared" si="1"/>
        <v>475.74173208344655</v>
      </c>
    </row>
    <row r="90" spans="1:5" x14ac:dyDescent="0.4">
      <c r="A90">
        <v>69.269099999999995</v>
      </c>
      <c r="B90">
        <v>37</v>
      </c>
      <c r="C90">
        <v>283.19589999999999</v>
      </c>
      <c r="D90" s="1">
        <v>1</v>
      </c>
      <c r="E90">
        <f t="shared" si="1"/>
        <v>629.19836833795966</v>
      </c>
    </row>
    <row r="91" spans="1:5" x14ac:dyDescent="0.4">
      <c r="A91">
        <v>69.2791</v>
      </c>
      <c r="B91">
        <v>36</v>
      </c>
      <c r="C91">
        <v>283.1671</v>
      </c>
      <c r="D91" s="1">
        <v>1</v>
      </c>
      <c r="E91">
        <f t="shared" si="1"/>
        <v>612.25527118086814</v>
      </c>
    </row>
    <row r="92" spans="1:5" x14ac:dyDescent="0.4">
      <c r="A92">
        <v>69.289100000000005</v>
      </c>
      <c r="B92">
        <v>43</v>
      </c>
      <c r="C92">
        <v>282.83139999999997</v>
      </c>
      <c r="D92" s="1">
        <v>1</v>
      </c>
      <c r="E92">
        <f t="shared" si="1"/>
        <v>732.17291220140351</v>
      </c>
    </row>
    <row r="93" spans="1:5" x14ac:dyDescent="0.4">
      <c r="A93">
        <v>69.299099999999996</v>
      </c>
      <c r="B93">
        <v>68</v>
      </c>
      <c r="C93">
        <v>282.70530000000002</v>
      </c>
      <c r="D93" s="1">
        <v>1</v>
      </c>
      <c r="E93">
        <f t="shared" si="1"/>
        <v>1158.3712961872309</v>
      </c>
    </row>
    <row r="94" spans="1:5" x14ac:dyDescent="0.4">
      <c r="A94">
        <v>69.309100000000001</v>
      </c>
      <c r="B94">
        <v>70</v>
      </c>
      <c r="C94">
        <v>282.83890000000002</v>
      </c>
      <c r="D94" s="1">
        <v>1</v>
      </c>
      <c r="E94">
        <f t="shared" si="1"/>
        <v>1191.8777862592451</v>
      </c>
    </row>
    <row r="95" spans="1:5" x14ac:dyDescent="0.4">
      <c r="A95">
        <v>69.319100000000006</v>
      </c>
      <c r="B95">
        <v>78</v>
      </c>
      <c r="C95">
        <v>282.53890000000001</v>
      </c>
      <c r="D95" s="1">
        <v>1</v>
      </c>
      <c r="E95">
        <f t="shared" si="1"/>
        <v>1329.5025598245056</v>
      </c>
    </row>
    <row r="96" spans="1:5" x14ac:dyDescent="0.4">
      <c r="A96">
        <v>69.329099999999997</v>
      </c>
      <c r="B96">
        <v>94</v>
      </c>
      <c r="C96">
        <v>282.39249999999998</v>
      </c>
      <c r="D96" s="1">
        <v>1</v>
      </c>
      <c r="E96">
        <f t="shared" si="1"/>
        <v>1603.0516688651435</v>
      </c>
    </row>
    <row r="97" spans="1:5" x14ac:dyDescent="0.4">
      <c r="A97">
        <v>69.339100000000002</v>
      </c>
      <c r="B97">
        <v>109</v>
      </c>
      <c r="C97">
        <v>282.41969999999998</v>
      </c>
      <c r="D97" s="1">
        <v>1</v>
      </c>
      <c r="E97">
        <f t="shared" si="1"/>
        <v>1858.678758599347</v>
      </c>
    </row>
    <row r="98" spans="1:5" x14ac:dyDescent="0.4">
      <c r="A98">
        <v>69.349100000000007</v>
      </c>
      <c r="B98">
        <v>110</v>
      </c>
      <c r="C98">
        <v>282.47910000000002</v>
      </c>
      <c r="D98" s="1">
        <v>1</v>
      </c>
      <c r="E98">
        <f t="shared" si="1"/>
        <v>1875.3364266595297</v>
      </c>
    </row>
    <row r="99" spans="1:5" x14ac:dyDescent="0.4">
      <c r="A99">
        <v>69.359099999999998</v>
      </c>
      <c r="B99">
        <v>145</v>
      </c>
      <c r="C99">
        <v>282.13839999999999</v>
      </c>
      <c r="D99" s="1">
        <v>1</v>
      </c>
      <c r="E99">
        <f t="shared" si="1"/>
        <v>2475.0195187893601</v>
      </c>
    </row>
    <row r="100" spans="1:5" x14ac:dyDescent="0.4">
      <c r="A100">
        <v>69.369100000000003</v>
      </c>
      <c r="B100">
        <v>158</v>
      </c>
      <c r="C100">
        <v>281.90629999999999</v>
      </c>
      <c r="D100" s="1">
        <v>1</v>
      </c>
      <c r="E100">
        <f t="shared" si="1"/>
        <v>2699.1382555125588</v>
      </c>
    </row>
    <row r="101" spans="1:5" x14ac:dyDescent="0.4">
      <c r="A101">
        <v>69.379099999999994</v>
      </c>
      <c r="B101">
        <v>163</v>
      </c>
      <c r="C101">
        <v>281.72539999999998</v>
      </c>
      <c r="D101" s="1">
        <v>1</v>
      </c>
      <c r="E101">
        <f t="shared" si="1"/>
        <v>2786.342025958611</v>
      </c>
    </row>
    <row r="102" spans="1:5" x14ac:dyDescent="0.4">
      <c r="A102">
        <v>69.389099999999999</v>
      </c>
      <c r="B102">
        <v>209</v>
      </c>
      <c r="C102">
        <v>282.05549999999999</v>
      </c>
      <c r="D102" s="1">
        <v>1</v>
      </c>
      <c r="E102">
        <f t="shared" si="1"/>
        <v>3568.4904474474001</v>
      </c>
    </row>
    <row r="103" spans="1:5" x14ac:dyDescent="0.4">
      <c r="A103">
        <v>69.399100000000004</v>
      </c>
      <c r="B103">
        <v>264</v>
      </c>
      <c r="C103">
        <v>281.96699999999998</v>
      </c>
      <c r="D103" s="1">
        <v>1</v>
      </c>
      <c r="E103">
        <f t="shared" si="1"/>
        <v>4508.9816553000883</v>
      </c>
    </row>
    <row r="104" spans="1:5" x14ac:dyDescent="0.4">
      <c r="A104">
        <v>69.409099999999995</v>
      </c>
      <c r="B104">
        <v>318</v>
      </c>
      <c r="C104">
        <v>281.8494</v>
      </c>
      <c r="D104" s="1">
        <v>1</v>
      </c>
      <c r="E104">
        <f t="shared" si="1"/>
        <v>5433.5395242991472</v>
      </c>
    </row>
    <row r="105" spans="1:5" x14ac:dyDescent="0.4">
      <c r="A105">
        <v>69.4191</v>
      </c>
      <c r="B105">
        <v>355</v>
      </c>
      <c r="C105">
        <v>281.70269999999999</v>
      </c>
      <c r="D105" s="1">
        <v>1</v>
      </c>
      <c r="E105">
        <f t="shared" si="1"/>
        <v>6068.9026161268603</v>
      </c>
    </row>
    <row r="106" spans="1:5" x14ac:dyDescent="0.4">
      <c r="A106">
        <v>69.429100000000005</v>
      </c>
      <c r="B106">
        <v>437</v>
      </c>
      <c r="C106">
        <v>281.44389999999999</v>
      </c>
      <c r="D106" s="1">
        <v>1</v>
      </c>
      <c r="E106">
        <f t="shared" si="1"/>
        <v>7477.6033099313936</v>
      </c>
    </row>
    <row r="107" spans="1:5" x14ac:dyDescent="0.4">
      <c r="A107">
        <v>69.439099999999996</v>
      </c>
      <c r="B107">
        <v>570</v>
      </c>
      <c r="C107">
        <v>281.66210000000001</v>
      </c>
      <c r="D107" s="1">
        <v>1</v>
      </c>
      <c r="E107">
        <f t="shared" si="1"/>
        <v>9745.8397917220664</v>
      </c>
    </row>
    <row r="108" spans="1:5" x14ac:dyDescent="0.4">
      <c r="A108">
        <v>69.449100000000001</v>
      </c>
      <c r="B108">
        <v>664</v>
      </c>
      <c r="C108">
        <v>281.62040000000002</v>
      </c>
      <c r="D108" s="1">
        <v>1</v>
      </c>
      <c r="E108">
        <f t="shared" si="1"/>
        <v>11354.729523855516</v>
      </c>
    </row>
    <row r="109" spans="1:5" x14ac:dyDescent="0.4">
      <c r="A109">
        <v>69.459100000000007</v>
      </c>
      <c r="B109">
        <v>847</v>
      </c>
      <c r="C109">
        <v>281.72930000000002</v>
      </c>
      <c r="D109" s="1">
        <v>1</v>
      </c>
      <c r="E109">
        <f t="shared" si="1"/>
        <v>14478.521631225434</v>
      </c>
    </row>
    <row r="110" spans="1:5" x14ac:dyDescent="0.4">
      <c r="A110">
        <v>69.469099999999997</v>
      </c>
      <c r="B110">
        <v>1057</v>
      </c>
      <c r="C110">
        <v>281.65620000000001</v>
      </c>
      <c r="D110" s="1">
        <v>1</v>
      </c>
      <c r="E110">
        <f t="shared" si="1"/>
        <v>18072.927101196423</v>
      </c>
    </row>
    <row r="111" spans="1:5" x14ac:dyDescent="0.4">
      <c r="A111">
        <v>69.479100000000003</v>
      </c>
      <c r="B111">
        <v>1386</v>
      </c>
      <c r="C111">
        <v>282.09530000000001</v>
      </c>
      <c r="D111" s="1">
        <v>1</v>
      </c>
      <c r="E111">
        <f t="shared" si="1"/>
        <v>23661.387338250584</v>
      </c>
    </row>
    <row r="112" spans="1:5" x14ac:dyDescent="0.4">
      <c r="A112">
        <v>69.489099999999993</v>
      </c>
      <c r="B112">
        <v>1861</v>
      </c>
      <c r="C112">
        <v>281.84410000000003</v>
      </c>
      <c r="D112" s="1">
        <v>1</v>
      </c>
      <c r="E112">
        <f t="shared" si="1"/>
        <v>31798.764794437771</v>
      </c>
    </row>
    <row r="113" spans="1:5" x14ac:dyDescent="0.4">
      <c r="A113">
        <v>69.499099999999999</v>
      </c>
      <c r="B113">
        <v>2474</v>
      </c>
      <c r="C113">
        <v>281.8449</v>
      </c>
      <c r="D113" s="1">
        <v>1</v>
      </c>
      <c r="E113">
        <f t="shared" si="1"/>
        <v>42272.928963412145</v>
      </c>
    </row>
    <row r="114" spans="1:5" x14ac:dyDescent="0.4">
      <c r="A114">
        <v>69.509100000000004</v>
      </c>
      <c r="B114">
        <v>3491</v>
      </c>
      <c r="C114">
        <v>282.0378</v>
      </c>
      <c r="D114" s="1">
        <v>1</v>
      </c>
      <c r="E114">
        <f t="shared" si="1"/>
        <v>59609.483064326836</v>
      </c>
    </row>
    <row r="115" spans="1:5" x14ac:dyDescent="0.4">
      <c r="A115">
        <v>69.519099999999995</v>
      </c>
      <c r="B115">
        <v>5148</v>
      </c>
      <c r="C115">
        <v>282.19369999999998</v>
      </c>
      <c r="D115" s="1">
        <v>1</v>
      </c>
      <c r="E115">
        <f t="shared" si="1"/>
        <v>87854.507711547078</v>
      </c>
    </row>
    <row r="116" spans="1:5" x14ac:dyDescent="0.4">
      <c r="A116">
        <v>69.5291</v>
      </c>
      <c r="B116">
        <v>7890</v>
      </c>
      <c r="C116">
        <v>282.26749999999998</v>
      </c>
      <c r="D116" s="1">
        <v>1</v>
      </c>
      <c r="E116">
        <f t="shared" si="1"/>
        <v>134613.60395369644</v>
      </c>
    </row>
    <row r="117" spans="1:5" x14ac:dyDescent="0.4">
      <c r="A117">
        <v>69.539100000000005</v>
      </c>
      <c r="B117">
        <v>13317</v>
      </c>
      <c r="C117">
        <v>282.31220000000002</v>
      </c>
      <c r="D117" s="1">
        <v>1</v>
      </c>
      <c r="E117">
        <f t="shared" si="1"/>
        <v>227169.26794591238</v>
      </c>
    </row>
    <row r="118" spans="1:5" x14ac:dyDescent="0.4">
      <c r="A118">
        <v>69.549099999999996</v>
      </c>
      <c r="B118">
        <v>24698</v>
      </c>
      <c r="C118">
        <v>282.11320000000001</v>
      </c>
      <c r="D118" s="1">
        <v>1</v>
      </c>
      <c r="E118">
        <f t="shared" si="1"/>
        <v>421610.29233229783</v>
      </c>
    </row>
    <row r="119" spans="1:5" x14ac:dyDescent="0.4">
      <c r="A119">
        <v>69.559100000000001</v>
      </c>
      <c r="B119">
        <v>54524</v>
      </c>
      <c r="C119">
        <v>282.07690000000002</v>
      </c>
      <c r="D119" s="1">
        <v>1</v>
      </c>
      <c r="E119">
        <f t="shared" si="1"/>
        <v>930878.52662305918</v>
      </c>
    </row>
    <row r="120" spans="1:5" x14ac:dyDescent="0.4">
      <c r="A120">
        <v>69.569100000000006</v>
      </c>
      <c r="B120">
        <v>156029</v>
      </c>
      <c r="C120">
        <v>282.1542</v>
      </c>
      <c r="D120" s="1">
        <v>1</v>
      </c>
      <c r="E120">
        <f t="shared" si="1"/>
        <v>2663125.4867352676</v>
      </c>
    </row>
    <row r="121" spans="1:5" x14ac:dyDescent="0.4">
      <c r="A121">
        <v>69.579099999999997</v>
      </c>
      <c r="B121">
        <v>729177</v>
      </c>
      <c r="C121">
        <v>281.70710000000003</v>
      </c>
      <c r="D121" s="1">
        <v>1</v>
      </c>
      <c r="E121">
        <f t="shared" si="1"/>
        <v>12465450.940363944</v>
      </c>
    </row>
    <row r="122" spans="1:5" x14ac:dyDescent="0.4">
      <c r="A122">
        <v>69.589100000000002</v>
      </c>
      <c r="B122">
        <v>2011400</v>
      </c>
      <c r="C122">
        <v>281.91300000000001</v>
      </c>
      <c r="D122" s="1">
        <v>1</v>
      </c>
      <c r="E122">
        <f t="shared" si="1"/>
        <v>34360238.350271188</v>
      </c>
    </row>
    <row r="123" spans="1:5" x14ac:dyDescent="0.4">
      <c r="A123">
        <v>69.599100000000007</v>
      </c>
      <c r="B123">
        <v>652998</v>
      </c>
      <c r="C123">
        <v>282.13040000000001</v>
      </c>
      <c r="D123" s="1">
        <v>1</v>
      </c>
      <c r="E123">
        <f t="shared" si="1"/>
        <v>11146404.301354269</v>
      </c>
    </row>
    <row r="124" spans="1:5" x14ac:dyDescent="0.4">
      <c r="A124">
        <v>69.609099999999998</v>
      </c>
      <c r="B124">
        <v>146681</v>
      </c>
      <c r="C124">
        <v>282.03250000000003</v>
      </c>
      <c r="D124" s="1">
        <v>1</v>
      </c>
      <c r="E124">
        <f t="shared" si="1"/>
        <v>2504652.7917761249</v>
      </c>
    </row>
    <row r="125" spans="1:5" x14ac:dyDescent="0.4">
      <c r="A125">
        <v>69.619100000000003</v>
      </c>
      <c r="B125">
        <v>46096</v>
      </c>
      <c r="C125">
        <v>282.03550000000001</v>
      </c>
      <c r="D125" s="1">
        <v>1</v>
      </c>
      <c r="E125">
        <f t="shared" si="1"/>
        <v>787104.3080236353</v>
      </c>
    </row>
    <row r="126" spans="1:5" x14ac:dyDescent="0.4">
      <c r="A126">
        <v>69.629099999999994</v>
      </c>
      <c r="B126">
        <v>18862</v>
      </c>
      <c r="C126">
        <v>282.07249999999999</v>
      </c>
      <c r="D126" s="1">
        <v>1</v>
      </c>
      <c r="E126">
        <f t="shared" si="1"/>
        <v>322032.58486098435</v>
      </c>
    </row>
    <row r="127" spans="1:5" x14ac:dyDescent="0.4">
      <c r="A127">
        <v>69.639099999999999</v>
      </c>
      <c r="B127">
        <v>8682</v>
      </c>
      <c r="C127">
        <v>281.6062</v>
      </c>
      <c r="D127" s="1">
        <v>1</v>
      </c>
      <c r="E127">
        <f t="shared" si="1"/>
        <v>148473.99505124535</v>
      </c>
    </row>
    <row r="128" spans="1:5" x14ac:dyDescent="0.4">
      <c r="A128">
        <v>69.649100000000004</v>
      </c>
      <c r="B128">
        <v>4548</v>
      </c>
      <c r="C128">
        <v>281.58670000000001</v>
      </c>
      <c r="D128" s="1">
        <v>1</v>
      </c>
      <c r="E128">
        <f t="shared" si="1"/>
        <v>77782.364837543821</v>
      </c>
    </row>
    <row r="129" spans="1:5" x14ac:dyDescent="0.4">
      <c r="A129">
        <v>69.659099999999995</v>
      </c>
      <c r="B129">
        <v>2647</v>
      </c>
      <c r="C129">
        <v>281.55250000000001</v>
      </c>
      <c r="D129" s="1">
        <v>1</v>
      </c>
      <c r="E129">
        <f t="shared" si="1"/>
        <v>45275.929868141822</v>
      </c>
    </row>
    <row r="130" spans="1:5" x14ac:dyDescent="0.4">
      <c r="A130">
        <v>69.6691</v>
      </c>
      <c r="B130">
        <v>1686</v>
      </c>
      <c r="C130">
        <v>281.6746</v>
      </c>
      <c r="D130" s="1">
        <v>1</v>
      </c>
      <c r="E130">
        <f t="shared" si="1"/>
        <v>28825.88894987337</v>
      </c>
    </row>
    <row r="131" spans="1:5" x14ac:dyDescent="0.4">
      <c r="A131">
        <v>69.679100000000005</v>
      </c>
      <c r="B131">
        <v>1103</v>
      </c>
      <c r="C131">
        <v>281.72410000000002</v>
      </c>
      <c r="D131" s="1">
        <v>1</v>
      </c>
      <c r="E131">
        <f t="shared" si="1"/>
        <v>18854.904517575884</v>
      </c>
    </row>
    <row r="132" spans="1:5" x14ac:dyDescent="0.4">
      <c r="A132">
        <v>69.689099999999996</v>
      </c>
      <c r="B132">
        <v>751</v>
      </c>
      <c r="C132">
        <v>281.68009999999998</v>
      </c>
      <c r="D132" s="1">
        <v>1</v>
      </c>
      <c r="E132">
        <f t="shared" si="1"/>
        <v>12839.750832948443</v>
      </c>
    </row>
    <row r="133" spans="1:5" x14ac:dyDescent="0.4">
      <c r="A133">
        <v>69.699100000000001</v>
      </c>
      <c r="B133">
        <v>480</v>
      </c>
      <c r="C133">
        <v>281.7543</v>
      </c>
      <c r="D133" s="1">
        <v>1</v>
      </c>
      <c r="E133">
        <f t="shared" si="1"/>
        <v>8204.3373535026803</v>
      </c>
    </row>
    <row r="134" spans="1:5" x14ac:dyDescent="0.4">
      <c r="A134">
        <v>69.709100000000007</v>
      </c>
      <c r="B134">
        <v>346</v>
      </c>
      <c r="C134">
        <v>281.73469999999998</v>
      </c>
      <c r="D134" s="1">
        <v>1</v>
      </c>
      <c r="E134">
        <f t="shared" si="1"/>
        <v>5914.3712705605676</v>
      </c>
    </row>
    <row r="135" spans="1:5" x14ac:dyDescent="0.4">
      <c r="A135">
        <v>69.719099999999997</v>
      </c>
      <c r="B135">
        <v>259</v>
      </c>
      <c r="C135">
        <v>281.79020000000003</v>
      </c>
      <c r="D135" s="1">
        <v>1</v>
      </c>
      <c r="E135">
        <f t="shared" si="1"/>
        <v>4426.3597080381078</v>
      </c>
    </row>
    <row r="136" spans="1:5" x14ac:dyDescent="0.4">
      <c r="A136">
        <v>69.729100000000003</v>
      </c>
      <c r="B136">
        <v>212</v>
      </c>
      <c r="C136">
        <v>282.31229999999999</v>
      </c>
      <c r="D136" s="1">
        <v>1</v>
      </c>
      <c r="E136">
        <f t="shared" si="1"/>
        <v>3616.4201956485781</v>
      </c>
    </row>
    <row r="137" spans="1:5" x14ac:dyDescent="0.4">
      <c r="A137">
        <v>69.739099999999993</v>
      </c>
      <c r="B137">
        <v>149</v>
      </c>
      <c r="C137">
        <v>282.38650000000001</v>
      </c>
      <c r="D137" s="1">
        <v>1</v>
      </c>
      <c r="E137">
        <f t="shared" si="1"/>
        <v>2541.0614225538402</v>
      </c>
    </row>
    <row r="138" spans="1:5" x14ac:dyDescent="0.4">
      <c r="A138">
        <v>69.749099999999999</v>
      </c>
      <c r="B138">
        <v>130</v>
      </c>
      <c r="C138">
        <v>282.25049999999999</v>
      </c>
      <c r="D138" s="1">
        <v>1</v>
      </c>
      <c r="E138">
        <f t="shared" si="1"/>
        <v>2218.1017146116665</v>
      </c>
    </row>
    <row r="139" spans="1:5" x14ac:dyDescent="0.4">
      <c r="A139">
        <v>69.759100000000004</v>
      </c>
      <c r="B139">
        <v>103</v>
      </c>
      <c r="C139">
        <v>282.54410000000001</v>
      </c>
      <c r="D139" s="1">
        <v>1</v>
      </c>
      <c r="E139">
        <f t="shared" si="1"/>
        <v>1755.5928642643748</v>
      </c>
    </row>
    <row r="140" spans="1:5" x14ac:dyDescent="0.4">
      <c r="A140">
        <v>69.769099999999995</v>
      </c>
      <c r="B140">
        <v>78</v>
      </c>
      <c r="C140">
        <v>282.303</v>
      </c>
      <c r="D140" s="1">
        <v>1</v>
      </c>
      <c r="E140">
        <f t="shared" si="1"/>
        <v>1330.6135280177682</v>
      </c>
    </row>
    <row r="141" spans="1:5" x14ac:dyDescent="0.4">
      <c r="A141">
        <v>69.7791</v>
      </c>
      <c r="B141">
        <v>65</v>
      </c>
      <c r="C141">
        <v>282.65390000000002</v>
      </c>
      <c r="D141" s="1">
        <v>1</v>
      </c>
      <c r="E141">
        <f t="shared" si="1"/>
        <v>1107.4680342284328</v>
      </c>
    </row>
    <row r="142" spans="1:5" x14ac:dyDescent="0.4">
      <c r="A142">
        <v>69.789100000000005</v>
      </c>
      <c r="B142">
        <v>52</v>
      </c>
      <c r="C142">
        <v>282.51280000000003</v>
      </c>
      <c r="D142" s="1">
        <v>1</v>
      </c>
      <c r="E142">
        <f t="shared" si="1"/>
        <v>886.41692411812846</v>
      </c>
    </row>
    <row r="143" spans="1:5" x14ac:dyDescent="0.4">
      <c r="A143">
        <v>69.799099999999996</v>
      </c>
      <c r="B143">
        <v>39</v>
      </c>
      <c r="C143">
        <v>282.7106</v>
      </c>
      <c r="D143" s="1">
        <v>1</v>
      </c>
      <c r="E143">
        <f t="shared" si="1"/>
        <v>664.34755329301424</v>
      </c>
    </row>
    <row r="144" spans="1:5" x14ac:dyDescent="0.4">
      <c r="A144">
        <v>69.809100000000001</v>
      </c>
      <c r="B144">
        <v>35</v>
      </c>
      <c r="C144">
        <v>282.60629999999998</v>
      </c>
      <c r="D144" s="1">
        <v>1</v>
      </c>
      <c r="E144">
        <f t="shared" si="1"/>
        <v>596.42938250138093</v>
      </c>
    </row>
    <row r="145" spans="1:5" x14ac:dyDescent="0.4">
      <c r="A145">
        <v>69.819100000000006</v>
      </c>
      <c r="B145">
        <v>31</v>
      </c>
      <c r="C145">
        <v>282.32040000000001</v>
      </c>
      <c r="D145" s="1">
        <v>1</v>
      </c>
      <c r="E145">
        <f t="shared" si="1"/>
        <v>528.80098852226058</v>
      </c>
    </row>
    <row r="146" spans="1:5" x14ac:dyDescent="0.4">
      <c r="A146">
        <v>69.829099999999997</v>
      </c>
      <c r="B146">
        <v>32</v>
      </c>
      <c r="C146">
        <v>282.16570000000002</v>
      </c>
      <c r="D146" s="1">
        <v>1</v>
      </c>
      <c r="E146">
        <f t="shared" si="1"/>
        <v>546.15835730565414</v>
      </c>
    </row>
    <row r="147" spans="1:5" x14ac:dyDescent="0.4">
      <c r="A147">
        <v>69.839100000000002</v>
      </c>
      <c r="B147">
        <v>24</v>
      </c>
      <c r="C147">
        <v>282.09410000000003</v>
      </c>
      <c r="D147" s="1">
        <v>1</v>
      </c>
      <c r="E147">
        <f t="shared" si="1"/>
        <v>409.72273578213793</v>
      </c>
    </row>
    <row r="148" spans="1:5" x14ac:dyDescent="0.4">
      <c r="A148">
        <v>69.849100000000007</v>
      </c>
      <c r="B148">
        <v>18</v>
      </c>
      <c r="C148">
        <v>282.4427</v>
      </c>
      <c r="D148" s="1">
        <v>1</v>
      </c>
      <c r="E148">
        <f t="shared" si="1"/>
        <v>306.91278195541963</v>
      </c>
    </row>
    <row r="149" spans="1:5" x14ac:dyDescent="0.4">
      <c r="A149">
        <v>69.859099999999998</v>
      </c>
      <c r="B149">
        <v>14</v>
      </c>
      <c r="C149">
        <v>282.42110000000002</v>
      </c>
      <c r="D149" s="1">
        <v>1</v>
      </c>
      <c r="E149">
        <f t="shared" si="1"/>
        <v>238.72819842426787</v>
      </c>
    </row>
    <row r="150" spans="1:5" x14ac:dyDescent="0.4">
      <c r="A150">
        <v>69.869100000000003</v>
      </c>
      <c r="B150">
        <v>14</v>
      </c>
      <c r="C150">
        <v>281.81959999999998</v>
      </c>
      <c r="D150" s="1">
        <v>1</v>
      </c>
      <c r="E150">
        <f t="shared" ref="E150:E213" si="2">$A$1*B150/C150</f>
        <v>239.23772654563422</v>
      </c>
    </row>
    <row r="151" spans="1:5" x14ac:dyDescent="0.4">
      <c r="A151">
        <v>69.879099999999994</v>
      </c>
      <c r="B151">
        <v>13</v>
      </c>
      <c r="C151">
        <v>281.38159999999999</v>
      </c>
      <c r="D151" s="1">
        <v>1</v>
      </c>
      <c r="E151">
        <f t="shared" si="2"/>
        <v>222.49511624072082</v>
      </c>
    </row>
    <row r="152" spans="1:5" x14ac:dyDescent="0.4">
      <c r="A152">
        <v>69.889099999999999</v>
      </c>
      <c r="B152">
        <v>11</v>
      </c>
      <c r="C152">
        <v>281.3657</v>
      </c>
      <c r="D152" s="1">
        <v>1</v>
      </c>
      <c r="E152">
        <f t="shared" si="2"/>
        <v>188.27573723449589</v>
      </c>
    </row>
    <row r="153" spans="1:5" x14ac:dyDescent="0.4">
      <c r="A153">
        <v>69.899100000000004</v>
      </c>
      <c r="B153">
        <v>9</v>
      </c>
      <c r="C153">
        <v>281.32240000000002</v>
      </c>
      <c r="D153" s="1">
        <v>1</v>
      </c>
      <c r="E153">
        <f t="shared" si="2"/>
        <v>154.06749480311555</v>
      </c>
    </row>
    <row r="154" spans="1:5" x14ac:dyDescent="0.4">
      <c r="A154">
        <v>69.909099999999995</v>
      </c>
      <c r="B154">
        <v>7</v>
      </c>
      <c r="C154">
        <v>281.33789999999999</v>
      </c>
      <c r="D154" s="1">
        <v>1</v>
      </c>
      <c r="E154">
        <f t="shared" si="2"/>
        <v>119.82367181954513</v>
      </c>
    </row>
    <row r="155" spans="1:5" x14ac:dyDescent="0.4">
      <c r="A155">
        <v>69.9191</v>
      </c>
      <c r="B155">
        <v>5</v>
      </c>
      <c r="C155">
        <v>280.83699999999999</v>
      </c>
      <c r="D155" s="1">
        <v>1</v>
      </c>
      <c r="E155">
        <f t="shared" si="2"/>
        <v>85.740992105741057</v>
      </c>
    </row>
    <row r="156" spans="1:5" x14ac:dyDescent="0.4">
      <c r="A156">
        <v>69.929100000000005</v>
      </c>
      <c r="B156">
        <v>5</v>
      </c>
      <c r="C156">
        <v>280.59840000000003</v>
      </c>
      <c r="D156" s="1">
        <v>1</v>
      </c>
      <c r="E156">
        <f t="shared" si="2"/>
        <v>85.813899865430457</v>
      </c>
    </row>
    <row r="157" spans="1:5" x14ac:dyDescent="0.4">
      <c r="A157">
        <v>69.939099999999996</v>
      </c>
      <c r="B157">
        <v>10</v>
      </c>
      <c r="C157">
        <v>280.29239999999999</v>
      </c>
      <c r="D157" s="1">
        <v>1</v>
      </c>
      <c r="E157">
        <f t="shared" si="2"/>
        <v>171.81516873093958</v>
      </c>
    </row>
    <row r="158" spans="1:5" x14ac:dyDescent="0.4">
      <c r="A158">
        <v>69.949100000000001</v>
      </c>
      <c r="B158">
        <v>3</v>
      </c>
      <c r="C158">
        <v>280.33580000000001</v>
      </c>
      <c r="D158" s="1">
        <v>1</v>
      </c>
      <c r="E158">
        <f t="shared" si="2"/>
        <v>51.536570784038283</v>
      </c>
    </row>
    <row r="159" spans="1:5" x14ac:dyDescent="0.4">
      <c r="A159">
        <v>69.959100000000007</v>
      </c>
      <c r="B159">
        <v>1</v>
      </c>
      <c r="C159">
        <v>280.43959999999998</v>
      </c>
      <c r="D159" s="1">
        <v>1</v>
      </c>
      <c r="E159">
        <f t="shared" si="2"/>
        <v>17.172498463127177</v>
      </c>
    </row>
    <row r="160" spans="1:5" x14ac:dyDescent="0.4">
      <c r="A160">
        <v>69.969099999999997</v>
      </c>
      <c r="B160">
        <v>3</v>
      </c>
      <c r="C160">
        <v>280.46859999999998</v>
      </c>
      <c r="D160" s="1">
        <v>1</v>
      </c>
      <c r="E160">
        <f t="shared" si="2"/>
        <v>51.512168563611048</v>
      </c>
    </row>
    <row r="161" spans="1:5" x14ac:dyDescent="0.4">
      <c r="A161">
        <v>69.979100000000003</v>
      </c>
      <c r="B161">
        <v>1</v>
      </c>
      <c r="C161">
        <v>280.32420000000002</v>
      </c>
      <c r="D161" s="1">
        <v>1</v>
      </c>
      <c r="E161">
        <f t="shared" si="2"/>
        <v>17.179567800425364</v>
      </c>
    </row>
    <row r="162" spans="1:5" x14ac:dyDescent="0.4">
      <c r="A162">
        <v>69.989099999999993</v>
      </c>
      <c r="B162">
        <v>4</v>
      </c>
      <c r="C162">
        <v>280.483</v>
      </c>
      <c r="D162" s="1">
        <v>1</v>
      </c>
      <c r="E162">
        <f t="shared" si="2"/>
        <v>68.679365237821898</v>
      </c>
    </row>
    <row r="163" spans="1:5" x14ac:dyDescent="0.4">
      <c r="A163">
        <v>69.999099999999999</v>
      </c>
      <c r="B163">
        <v>3</v>
      </c>
      <c r="C163">
        <v>280.14670000000001</v>
      </c>
      <c r="D163" s="1">
        <v>1</v>
      </c>
      <c r="E163">
        <f t="shared" si="2"/>
        <v>51.571358149141147</v>
      </c>
    </row>
    <row r="164" spans="1:5" x14ac:dyDescent="0.4">
      <c r="A164">
        <v>70.009100000000004</v>
      </c>
      <c r="B164">
        <v>4</v>
      </c>
      <c r="C164">
        <v>280.73340000000002</v>
      </c>
      <c r="D164" s="1">
        <v>1</v>
      </c>
      <c r="E164">
        <f t="shared" si="2"/>
        <v>68.618106716194077</v>
      </c>
    </row>
    <row r="165" spans="1:5" x14ac:dyDescent="0.4">
      <c r="A165">
        <v>70.019099999999995</v>
      </c>
      <c r="B165">
        <v>4</v>
      </c>
      <c r="C165">
        <v>280.88659999999999</v>
      </c>
      <c r="D165" s="1">
        <v>1</v>
      </c>
      <c r="E165">
        <f t="shared" si="2"/>
        <v>68.580681314096154</v>
      </c>
    </row>
    <row r="166" spans="1:5" x14ac:dyDescent="0.4">
      <c r="A166">
        <v>70.0291</v>
      </c>
      <c r="B166">
        <v>1</v>
      </c>
      <c r="C166">
        <v>281.09660000000002</v>
      </c>
      <c r="D166" s="1">
        <v>1</v>
      </c>
      <c r="E166">
        <f t="shared" si="2"/>
        <v>17.132361615188515</v>
      </c>
    </row>
    <row r="167" spans="1:5" x14ac:dyDescent="0.4">
      <c r="A167">
        <v>70.039100000000005</v>
      </c>
      <c r="B167">
        <v>4</v>
      </c>
      <c r="C167">
        <v>281.14609999999999</v>
      </c>
      <c r="D167" s="1">
        <v>1</v>
      </c>
      <c r="E167">
        <f t="shared" si="2"/>
        <v>68.517380820861476</v>
      </c>
    </row>
    <row r="168" spans="1:5" x14ac:dyDescent="0.4">
      <c r="A168">
        <v>70.049099999999996</v>
      </c>
      <c r="B168">
        <v>3</v>
      </c>
      <c r="C168">
        <v>281.05099999999999</v>
      </c>
      <c r="D168" s="1">
        <v>1</v>
      </c>
      <c r="E168">
        <f t="shared" si="2"/>
        <v>51.405423926618305</v>
      </c>
    </row>
    <row r="169" spans="1:5" x14ac:dyDescent="0.4">
      <c r="A169">
        <v>70.059100000000001</v>
      </c>
      <c r="B169">
        <v>1</v>
      </c>
      <c r="C169">
        <v>281.40179999999998</v>
      </c>
      <c r="D169" s="1">
        <v>1</v>
      </c>
      <c r="E169">
        <f t="shared" si="2"/>
        <v>17.11378036672118</v>
      </c>
    </row>
    <row r="170" spans="1:5" x14ac:dyDescent="0.4">
      <c r="A170">
        <v>70.069100000000006</v>
      </c>
      <c r="B170">
        <v>2</v>
      </c>
      <c r="C170">
        <v>281.08269999999999</v>
      </c>
      <c r="D170" s="1">
        <v>1</v>
      </c>
      <c r="E170">
        <f t="shared" si="2"/>
        <v>34.266417677075111</v>
      </c>
    </row>
    <row r="171" spans="1:5" x14ac:dyDescent="0.4">
      <c r="A171">
        <v>70.079099999999997</v>
      </c>
      <c r="B171">
        <v>2</v>
      </c>
      <c r="C171">
        <v>280.89190000000002</v>
      </c>
      <c r="D171" s="1">
        <v>1</v>
      </c>
      <c r="E171">
        <f t="shared" si="2"/>
        <v>34.289693650831509</v>
      </c>
    </row>
    <row r="172" spans="1:5" x14ac:dyDescent="0.4">
      <c r="A172">
        <v>70.089100000000002</v>
      </c>
      <c r="B172">
        <v>6</v>
      </c>
      <c r="C172">
        <v>280.78160000000003</v>
      </c>
      <c r="D172" s="1">
        <v>1</v>
      </c>
      <c r="E172">
        <f t="shared" si="2"/>
        <v>102.90949122022239</v>
      </c>
    </row>
    <row r="173" spans="1:5" x14ac:dyDescent="0.4">
      <c r="A173">
        <v>70.099100000000007</v>
      </c>
      <c r="B173">
        <v>2</v>
      </c>
      <c r="C173">
        <v>280.80029999999999</v>
      </c>
      <c r="D173" s="1">
        <v>1</v>
      </c>
      <c r="E173">
        <f t="shared" si="2"/>
        <v>34.300879308177379</v>
      </c>
    </row>
    <row r="174" spans="1:5" x14ac:dyDescent="0.4">
      <c r="A174">
        <v>70.109099999999998</v>
      </c>
      <c r="B174">
        <v>1</v>
      </c>
      <c r="C174">
        <v>280.86189999999999</v>
      </c>
      <c r="D174" s="1">
        <v>1</v>
      </c>
      <c r="E174">
        <f t="shared" si="2"/>
        <v>17.146678136123128</v>
      </c>
    </row>
    <row r="175" spans="1:5" x14ac:dyDescent="0.4">
      <c r="A175">
        <v>70.119100000000003</v>
      </c>
      <c r="B175">
        <v>2</v>
      </c>
      <c r="C175">
        <v>280.91239999999999</v>
      </c>
      <c r="D175" s="1">
        <v>1</v>
      </c>
      <c r="E175">
        <f t="shared" si="2"/>
        <v>34.287191309461598</v>
      </c>
    </row>
    <row r="176" spans="1:5" x14ac:dyDescent="0.4">
      <c r="A176">
        <v>70.129099999999994</v>
      </c>
      <c r="B176">
        <v>2</v>
      </c>
      <c r="C176">
        <v>280.85149999999999</v>
      </c>
      <c r="D176" s="1">
        <v>1</v>
      </c>
      <c r="E176">
        <f t="shared" si="2"/>
        <v>34.294626163648765</v>
      </c>
    </row>
    <row r="177" spans="1:5" x14ac:dyDescent="0.4">
      <c r="A177">
        <v>70.139099999999999</v>
      </c>
      <c r="B177">
        <v>0</v>
      </c>
      <c r="C177">
        <v>280.84100000000001</v>
      </c>
      <c r="D177" s="1">
        <v>1</v>
      </c>
      <c r="E177">
        <f t="shared" si="2"/>
        <v>0</v>
      </c>
    </row>
    <row r="178" spans="1:5" x14ac:dyDescent="0.4">
      <c r="A178">
        <v>70.149100000000004</v>
      </c>
      <c r="B178">
        <v>2</v>
      </c>
      <c r="C178">
        <v>280.68020000000001</v>
      </c>
      <c r="D178" s="1">
        <v>1</v>
      </c>
      <c r="E178">
        <f t="shared" si="2"/>
        <v>34.315556280777912</v>
      </c>
    </row>
    <row r="179" spans="1:5" x14ac:dyDescent="0.4">
      <c r="A179">
        <v>70.159099999999995</v>
      </c>
      <c r="B179">
        <v>0</v>
      </c>
      <c r="C179">
        <v>280.40660000000003</v>
      </c>
      <c r="D179" s="1">
        <v>1</v>
      </c>
      <c r="E179">
        <f t="shared" si="2"/>
        <v>0</v>
      </c>
    </row>
    <row r="180" spans="1:5" x14ac:dyDescent="0.4">
      <c r="A180">
        <v>70.1691</v>
      </c>
      <c r="B180">
        <v>0</v>
      </c>
      <c r="C180">
        <v>280.4547</v>
      </c>
      <c r="D180" s="1">
        <v>1</v>
      </c>
      <c r="E180">
        <f t="shared" si="2"/>
        <v>0</v>
      </c>
    </row>
    <row r="181" spans="1:5" x14ac:dyDescent="0.4">
      <c r="A181">
        <v>70.179100000000005</v>
      </c>
      <c r="B181">
        <v>3</v>
      </c>
      <c r="C181">
        <v>280.39060000000001</v>
      </c>
      <c r="D181" s="1">
        <v>1</v>
      </c>
      <c r="E181">
        <f t="shared" si="2"/>
        <v>51.526498391886172</v>
      </c>
    </row>
    <row r="182" spans="1:5" x14ac:dyDescent="0.4">
      <c r="A182">
        <v>70.189099999999996</v>
      </c>
      <c r="B182">
        <v>0</v>
      </c>
      <c r="C182">
        <v>280.3569</v>
      </c>
      <c r="D182" s="1">
        <v>1</v>
      </c>
      <c r="E182">
        <f t="shared" si="2"/>
        <v>0</v>
      </c>
    </row>
    <row r="183" spans="1:5" x14ac:dyDescent="0.4">
      <c r="A183">
        <v>70.199100000000001</v>
      </c>
      <c r="B183">
        <v>2</v>
      </c>
      <c r="C183">
        <v>280.64519999999999</v>
      </c>
      <c r="D183" s="1">
        <v>1</v>
      </c>
      <c r="E183">
        <f t="shared" si="2"/>
        <v>34.319835863930692</v>
      </c>
    </row>
    <row r="184" spans="1:5" x14ac:dyDescent="0.4">
      <c r="A184">
        <v>70.209100000000007</v>
      </c>
      <c r="B184">
        <v>0</v>
      </c>
      <c r="C184">
        <v>280.38459999999998</v>
      </c>
      <c r="D184" s="1">
        <v>1</v>
      </c>
      <c r="E184">
        <f t="shared" si="2"/>
        <v>0</v>
      </c>
    </row>
    <row r="185" spans="1:5" x14ac:dyDescent="0.4">
      <c r="A185">
        <v>70.219099999999997</v>
      </c>
      <c r="B185">
        <v>2</v>
      </c>
      <c r="C185">
        <v>280.43669999999997</v>
      </c>
      <c r="D185" s="1">
        <v>1</v>
      </c>
      <c r="E185">
        <f t="shared" si="2"/>
        <v>34.345352088367896</v>
      </c>
    </row>
    <row r="186" spans="1:5" x14ac:dyDescent="0.4">
      <c r="A186">
        <v>70.229100000000003</v>
      </c>
      <c r="B186">
        <v>2</v>
      </c>
      <c r="C186">
        <v>280.5204</v>
      </c>
      <c r="D186" s="1">
        <v>1</v>
      </c>
      <c r="E186">
        <f t="shared" si="2"/>
        <v>34.335104327528413</v>
      </c>
    </row>
    <row r="187" spans="1:5" x14ac:dyDescent="0.4">
      <c r="A187">
        <v>70.239099999999993</v>
      </c>
      <c r="B187">
        <v>0</v>
      </c>
      <c r="C187">
        <v>280.64580000000001</v>
      </c>
      <c r="D187" s="1">
        <v>1</v>
      </c>
      <c r="E187">
        <f t="shared" si="2"/>
        <v>0</v>
      </c>
    </row>
    <row r="188" spans="1:5" x14ac:dyDescent="0.4">
      <c r="A188">
        <v>70.249099999999999</v>
      </c>
      <c r="B188">
        <v>2</v>
      </c>
      <c r="C188">
        <v>280.85910000000001</v>
      </c>
      <c r="D188" s="1">
        <v>1</v>
      </c>
      <c r="E188">
        <f t="shared" si="2"/>
        <v>34.293698156833798</v>
      </c>
    </row>
    <row r="189" spans="1:5" x14ac:dyDescent="0.4">
      <c r="A189">
        <v>70.259100000000004</v>
      </c>
      <c r="B189">
        <v>1</v>
      </c>
      <c r="C189">
        <v>280.85300000000001</v>
      </c>
      <c r="D189" s="1">
        <v>1</v>
      </c>
      <c r="E189">
        <f t="shared" si="2"/>
        <v>17.147221500215416</v>
      </c>
    </row>
    <row r="190" spans="1:5" x14ac:dyDescent="0.4">
      <c r="A190">
        <v>70.269099999999995</v>
      </c>
      <c r="B190">
        <v>0</v>
      </c>
      <c r="C190">
        <v>280.76740000000001</v>
      </c>
      <c r="D190" s="1">
        <v>1</v>
      </c>
      <c r="E190">
        <f t="shared" si="2"/>
        <v>0</v>
      </c>
    </row>
    <row r="191" spans="1:5" x14ac:dyDescent="0.4">
      <c r="A191">
        <v>70.2791</v>
      </c>
      <c r="B191">
        <v>1</v>
      </c>
      <c r="C191">
        <v>280.84190000000001</v>
      </c>
      <c r="D191" s="1">
        <v>1</v>
      </c>
      <c r="E191">
        <f t="shared" si="2"/>
        <v>17.147899227287667</v>
      </c>
    </row>
    <row r="192" spans="1:5" x14ac:dyDescent="0.4">
      <c r="A192">
        <v>70.289100000000005</v>
      </c>
      <c r="B192">
        <v>1</v>
      </c>
      <c r="C192">
        <v>281.30149999999998</v>
      </c>
      <c r="D192" s="1">
        <v>1</v>
      </c>
      <c r="E192">
        <f t="shared" si="2"/>
        <v>17.119882403755405</v>
      </c>
    </row>
    <row r="193" spans="1:5" x14ac:dyDescent="0.4">
      <c r="A193">
        <v>70.299099999999996</v>
      </c>
      <c r="B193">
        <v>0</v>
      </c>
      <c r="C193">
        <v>281.15940000000001</v>
      </c>
      <c r="D193" s="1">
        <v>1</v>
      </c>
      <c r="E193">
        <f t="shared" si="2"/>
        <v>0</v>
      </c>
    </row>
    <row r="194" spans="1:5" x14ac:dyDescent="0.4">
      <c r="A194">
        <v>70.309100000000001</v>
      </c>
      <c r="B194">
        <v>1</v>
      </c>
      <c r="C194">
        <v>281.01299999999998</v>
      </c>
      <c r="D194" s="1">
        <v>1</v>
      </c>
      <c r="E194">
        <f t="shared" si="2"/>
        <v>17.137458409397432</v>
      </c>
    </row>
    <row r="195" spans="1:5" x14ac:dyDescent="0.4">
      <c r="A195">
        <v>70.319100000000006</v>
      </c>
      <c r="B195">
        <v>0</v>
      </c>
      <c r="C195">
        <v>281.08730000000003</v>
      </c>
      <c r="D195" s="1">
        <v>1</v>
      </c>
      <c r="E195">
        <f t="shared" si="2"/>
        <v>0</v>
      </c>
    </row>
    <row r="196" spans="1:5" x14ac:dyDescent="0.4">
      <c r="A196">
        <v>70.329099999999997</v>
      </c>
      <c r="B196">
        <v>1</v>
      </c>
      <c r="C196">
        <v>280.88749999999999</v>
      </c>
      <c r="D196" s="1">
        <v>1</v>
      </c>
      <c r="E196">
        <f t="shared" si="2"/>
        <v>17.145115393173427</v>
      </c>
    </row>
    <row r="197" spans="1:5" x14ac:dyDescent="0.4">
      <c r="A197">
        <v>70.339100000000002</v>
      </c>
      <c r="B197">
        <v>0</v>
      </c>
      <c r="C197">
        <v>281.11810000000003</v>
      </c>
      <c r="D197" s="1">
        <v>1</v>
      </c>
      <c r="E197">
        <f t="shared" si="2"/>
        <v>0</v>
      </c>
    </row>
    <row r="198" spans="1:5" x14ac:dyDescent="0.4">
      <c r="A198">
        <v>70.349100000000007</v>
      </c>
      <c r="B198">
        <v>0</v>
      </c>
      <c r="C198">
        <v>280.99489999999997</v>
      </c>
      <c r="D198" s="1">
        <v>1</v>
      </c>
      <c r="E198">
        <f t="shared" si="2"/>
        <v>0</v>
      </c>
    </row>
    <row r="199" spans="1:5" x14ac:dyDescent="0.4">
      <c r="A199">
        <v>70.359099999999998</v>
      </c>
      <c r="B199">
        <v>1</v>
      </c>
      <c r="C199">
        <v>281.1771</v>
      </c>
      <c r="D199" s="1">
        <v>1</v>
      </c>
      <c r="E199">
        <f t="shared" si="2"/>
        <v>17.127456681216216</v>
      </c>
    </row>
    <row r="200" spans="1:5" x14ac:dyDescent="0.4">
      <c r="A200">
        <v>70.369100000000003</v>
      </c>
      <c r="B200">
        <v>1</v>
      </c>
      <c r="C200">
        <v>281.01650000000001</v>
      </c>
      <c r="D200" s="1">
        <v>1</v>
      </c>
      <c r="E200">
        <f t="shared" si="2"/>
        <v>17.137244966042921</v>
      </c>
    </row>
    <row r="201" spans="1:5" x14ac:dyDescent="0.4">
      <c r="A201">
        <v>70.379099999999994</v>
      </c>
      <c r="B201">
        <v>1</v>
      </c>
      <c r="C201">
        <v>281.1103</v>
      </c>
      <c r="D201" s="1">
        <v>1</v>
      </c>
      <c r="E201">
        <f t="shared" si="2"/>
        <v>17.131526664088796</v>
      </c>
    </row>
    <row r="202" spans="1:5" x14ac:dyDescent="0.4">
      <c r="A202">
        <v>70.389099999999999</v>
      </c>
      <c r="B202">
        <v>1</v>
      </c>
      <c r="C202">
        <v>281.4171</v>
      </c>
      <c r="D202" s="1">
        <v>1</v>
      </c>
      <c r="E202">
        <f t="shared" si="2"/>
        <v>17.112849929872777</v>
      </c>
    </row>
    <row r="203" spans="1:5" x14ac:dyDescent="0.4">
      <c r="A203">
        <v>70.399100000000004</v>
      </c>
      <c r="B203">
        <v>0</v>
      </c>
      <c r="C203">
        <v>281.0822</v>
      </c>
      <c r="D203" s="1">
        <v>1</v>
      </c>
      <c r="E203">
        <f t="shared" si="2"/>
        <v>0</v>
      </c>
    </row>
    <row r="204" spans="1:5" x14ac:dyDescent="0.4">
      <c r="A204">
        <v>70.409099999999995</v>
      </c>
      <c r="B204">
        <v>0</v>
      </c>
      <c r="C204">
        <v>281.09800000000001</v>
      </c>
      <c r="D204" s="1">
        <v>1</v>
      </c>
      <c r="E204">
        <f t="shared" si="2"/>
        <v>0</v>
      </c>
    </row>
    <row r="205" spans="1:5" x14ac:dyDescent="0.4">
      <c r="A205">
        <v>70.4191</v>
      </c>
      <c r="B205">
        <v>0</v>
      </c>
      <c r="C205">
        <v>281.27330000000001</v>
      </c>
      <c r="D205" s="1">
        <v>1</v>
      </c>
      <c r="E205">
        <f t="shared" si="2"/>
        <v>0</v>
      </c>
    </row>
    <row r="206" spans="1:5" x14ac:dyDescent="0.4">
      <c r="A206">
        <v>70.429100000000005</v>
      </c>
      <c r="B206">
        <v>0</v>
      </c>
      <c r="C206">
        <v>281.13139999999999</v>
      </c>
      <c r="D206" s="1">
        <v>1</v>
      </c>
      <c r="E206">
        <f t="shared" si="2"/>
        <v>0</v>
      </c>
    </row>
    <row r="207" spans="1:5" x14ac:dyDescent="0.4">
      <c r="A207">
        <v>70.439099999999996</v>
      </c>
      <c r="B207">
        <v>0</v>
      </c>
      <c r="C207">
        <v>281.05630000000002</v>
      </c>
      <c r="D207" s="1">
        <v>1</v>
      </c>
      <c r="E207">
        <f t="shared" si="2"/>
        <v>0</v>
      </c>
    </row>
    <row r="208" spans="1:5" x14ac:dyDescent="0.4">
      <c r="A208">
        <v>70.449100000000001</v>
      </c>
      <c r="B208">
        <v>0</v>
      </c>
      <c r="C208">
        <v>281.11869999999999</v>
      </c>
      <c r="D208" s="1">
        <v>1</v>
      </c>
      <c r="E208">
        <f t="shared" si="2"/>
        <v>0</v>
      </c>
    </row>
    <row r="209" spans="1:5" x14ac:dyDescent="0.4">
      <c r="A209">
        <v>70.459100000000007</v>
      </c>
      <c r="B209">
        <v>0</v>
      </c>
      <c r="C209">
        <v>280.98500000000001</v>
      </c>
      <c r="D209" s="1">
        <v>1</v>
      </c>
      <c r="E209">
        <f t="shared" si="2"/>
        <v>0</v>
      </c>
    </row>
    <row r="210" spans="1:5" x14ac:dyDescent="0.4">
      <c r="A210">
        <v>70.469099999999997</v>
      </c>
      <c r="B210">
        <v>1</v>
      </c>
      <c r="C210">
        <v>280.9425</v>
      </c>
      <c r="D210" s="1">
        <v>1</v>
      </c>
      <c r="E210">
        <f t="shared" si="2"/>
        <v>17.141758900842699</v>
      </c>
    </row>
    <row r="211" spans="1:5" x14ac:dyDescent="0.4">
      <c r="A211">
        <v>70.479100000000003</v>
      </c>
      <c r="B211">
        <v>0</v>
      </c>
      <c r="C211">
        <v>280.75130000000001</v>
      </c>
      <c r="D211" s="1">
        <v>1</v>
      </c>
      <c r="E211">
        <f t="shared" si="2"/>
        <v>0</v>
      </c>
    </row>
    <row r="212" spans="1:5" x14ac:dyDescent="0.4">
      <c r="A212">
        <v>70.489099999999993</v>
      </c>
      <c r="B212">
        <v>0</v>
      </c>
      <c r="C212">
        <v>280.96559999999999</v>
      </c>
      <c r="D212" s="1">
        <v>1</v>
      </c>
      <c r="E212">
        <f t="shared" si="2"/>
        <v>0</v>
      </c>
    </row>
    <row r="213" spans="1:5" x14ac:dyDescent="0.4">
      <c r="A213">
        <v>70.499099999999999</v>
      </c>
      <c r="B213">
        <v>0</v>
      </c>
      <c r="C213">
        <v>280.54989999999998</v>
      </c>
      <c r="D213" s="1">
        <v>1</v>
      </c>
      <c r="E213">
        <f t="shared" si="2"/>
        <v>0</v>
      </c>
    </row>
    <row r="214" spans="1:5" x14ac:dyDescent="0.4">
      <c r="A214">
        <v>70.509100000000004</v>
      </c>
      <c r="B214">
        <v>0</v>
      </c>
      <c r="C214">
        <v>280.44080000000002</v>
      </c>
      <c r="D214" s="1">
        <v>1</v>
      </c>
      <c r="E214">
        <f t="shared" ref="E214:E222" si="3">$A$1*B214/C214</f>
        <v>0</v>
      </c>
    </row>
    <row r="215" spans="1:5" x14ac:dyDescent="0.4">
      <c r="A215">
        <v>70.519099999999995</v>
      </c>
      <c r="B215">
        <v>1</v>
      </c>
      <c r="C215">
        <v>280.1703</v>
      </c>
      <c r="D215" s="1">
        <v>1</v>
      </c>
      <c r="E215">
        <f t="shared" si="3"/>
        <v>17.189004687506134</v>
      </c>
    </row>
    <row r="216" spans="1:5" x14ac:dyDescent="0.4">
      <c r="A216">
        <v>70.5291</v>
      </c>
      <c r="B216">
        <v>0</v>
      </c>
      <c r="C216">
        <v>280.17169999999999</v>
      </c>
      <c r="D216" s="1">
        <v>1</v>
      </c>
      <c r="E216">
        <f t="shared" si="3"/>
        <v>0</v>
      </c>
    </row>
    <row r="217" spans="1:5" x14ac:dyDescent="0.4">
      <c r="A217">
        <v>70.539100000000005</v>
      </c>
      <c r="B217">
        <v>0</v>
      </c>
      <c r="C217">
        <v>279.99990000000003</v>
      </c>
      <c r="D217" s="1">
        <v>1</v>
      </c>
      <c r="E217">
        <f t="shared" si="3"/>
        <v>0</v>
      </c>
    </row>
    <row r="218" spans="1:5" x14ac:dyDescent="0.4">
      <c r="A218">
        <v>70.549099999999996</v>
      </c>
      <c r="B218">
        <v>0</v>
      </c>
      <c r="C218">
        <v>279.61369999999999</v>
      </c>
      <c r="D218" s="1">
        <v>1</v>
      </c>
      <c r="E218">
        <f t="shared" si="3"/>
        <v>0</v>
      </c>
    </row>
    <row r="219" spans="1:5" x14ac:dyDescent="0.4">
      <c r="A219">
        <v>70.559100000000001</v>
      </c>
      <c r="B219">
        <v>0</v>
      </c>
      <c r="C219">
        <v>279.66559999999998</v>
      </c>
      <c r="D219" s="1">
        <v>1</v>
      </c>
      <c r="E219">
        <f t="shared" si="3"/>
        <v>0</v>
      </c>
    </row>
    <row r="220" spans="1:5" x14ac:dyDescent="0.4">
      <c r="A220">
        <v>70.569100000000006</v>
      </c>
      <c r="B220">
        <v>1</v>
      </c>
      <c r="C220">
        <v>279.76530000000002</v>
      </c>
      <c r="D220" s="1">
        <v>1</v>
      </c>
      <c r="E220">
        <f t="shared" si="3"/>
        <v>17.213888212726882</v>
      </c>
    </row>
    <row r="221" spans="1:5" x14ac:dyDescent="0.4">
      <c r="A221">
        <v>70.579099999999997</v>
      </c>
      <c r="B221">
        <v>1</v>
      </c>
      <c r="C221">
        <v>279.85950000000003</v>
      </c>
      <c r="D221" s="1">
        <v>1</v>
      </c>
      <c r="E221">
        <f t="shared" si="3"/>
        <v>17.208094061484424</v>
      </c>
    </row>
    <row r="222" spans="1:5" x14ac:dyDescent="0.4">
      <c r="A222">
        <v>70.589100000000002</v>
      </c>
      <c r="B222">
        <v>0</v>
      </c>
      <c r="C222">
        <v>280.08409999999998</v>
      </c>
      <c r="D222" s="1">
        <v>1</v>
      </c>
      <c r="E222">
        <f t="shared" si="3"/>
        <v>0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7FEA-7288-4B49-9EA9-09A5FB9784F4}">
  <dimension ref="A1:E222"/>
  <sheetViews>
    <sheetView workbookViewId="0">
      <selection activeCell="B13" sqref="B13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43</v>
      </c>
    </row>
    <row r="4" spans="1:1" x14ac:dyDescent="0.4">
      <c r="A4" t="s">
        <v>44</v>
      </c>
    </row>
    <row r="5" spans="1:1" x14ac:dyDescent="0.4">
      <c r="A5" t="s">
        <v>45</v>
      </c>
    </row>
    <row r="6" spans="1:1" x14ac:dyDescent="0.4">
      <c r="A6" t="s">
        <v>46</v>
      </c>
    </row>
    <row r="7" spans="1:1" x14ac:dyDescent="0.4">
      <c r="A7" t="s">
        <v>47</v>
      </c>
    </row>
    <row r="8" spans="1:1" x14ac:dyDescent="0.4">
      <c r="A8" t="s">
        <v>5</v>
      </c>
    </row>
    <row r="9" spans="1:1" x14ac:dyDescent="0.4">
      <c r="A9" t="s">
        <v>48</v>
      </c>
    </row>
    <row r="10" spans="1:1" x14ac:dyDescent="0.4">
      <c r="A10" t="s">
        <v>7</v>
      </c>
    </row>
    <row r="11" spans="1:1" x14ac:dyDescent="0.4">
      <c r="A11" t="s">
        <v>49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50</v>
      </c>
      <c r="B19" t="s">
        <v>51</v>
      </c>
    </row>
    <row r="20" spans="1:5" x14ac:dyDescent="0.4">
      <c r="A20" t="s">
        <v>18</v>
      </c>
      <c r="B20" t="s">
        <v>52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68.588399999999993</v>
      </c>
      <c r="B22">
        <v>1</v>
      </c>
      <c r="C22">
        <v>346.20960000000002</v>
      </c>
      <c r="D22" s="1">
        <v>1</v>
      </c>
      <c r="E22">
        <f t="shared" ref="E22:E85" si="0">$A$1*B22/C22</f>
        <v>13.910211039786303</v>
      </c>
    </row>
    <row r="23" spans="1:5" x14ac:dyDescent="0.4">
      <c r="A23">
        <v>68.598399999999998</v>
      </c>
      <c r="B23">
        <v>1</v>
      </c>
      <c r="C23">
        <v>346.14330000000001</v>
      </c>
      <c r="D23" s="1">
        <v>1</v>
      </c>
      <c r="E23">
        <f t="shared" si="0"/>
        <v>13.912875390047995</v>
      </c>
    </row>
    <row r="24" spans="1:5" x14ac:dyDescent="0.4">
      <c r="A24">
        <v>68.608400000000003</v>
      </c>
      <c r="B24">
        <v>0</v>
      </c>
      <c r="C24">
        <v>346.09640000000002</v>
      </c>
      <c r="D24" s="1">
        <v>1</v>
      </c>
      <c r="E24">
        <f t="shared" si="0"/>
        <v>0</v>
      </c>
    </row>
    <row r="25" spans="1:5" x14ac:dyDescent="0.4">
      <c r="A25">
        <v>68.618399999999994</v>
      </c>
      <c r="B25">
        <v>0</v>
      </c>
      <c r="C25">
        <v>345.7885</v>
      </c>
      <c r="D25" s="1">
        <v>1</v>
      </c>
      <c r="E25">
        <f t="shared" si="0"/>
        <v>0</v>
      </c>
    </row>
    <row r="26" spans="1:5" x14ac:dyDescent="0.4">
      <c r="A26">
        <v>68.628399999999999</v>
      </c>
      <c r="B26">
        <v>0</v>
      </c>
      <c r="C26">
        <v>345.74610000000001</v>
      </c>
      <c r="D26" s="1">
        <v>1</v>
      </c>
      <c r="E26">
        <f t="shared" si="0"/>
        <v>0</v>
      </c>
    </row>
    <row r="27" spans="1:5" x14ac:dyDescent="0.4">
      <c r="A27">
        <v>68.638400000000004</v>
      </c>
      <c r="B27">
        <v>2</v>
      </c>
      <c r="C27">
        <v>345.44839999999999</v>
      </c>
      <c r="D27" s="1">
        <v>1</v>
      </c>
      <c r="E27">
        <f t="shared" si="0"/>
        <v>27.881724738050604</v>
      </c>
    </row>
    <row r="28" spans="1:5" x14ac:dyDescent="0.4">
      <c r="A28">
        <v>68.648399999999995</v>
      </c>
      <c r="B28">
        <v>1</v>
      </c>
      <c r="C28">
        <v>345.59949999999998</v>
      </c>
      <c r="D28" s="1">
        <v>1</v>
      </c>
      <c r="E28">
        <f t="shared" si="0"/>
        <v>13.934767266735053</v>
      </c>
    </row>
    <row r="29" spans="1:5" x14ac:dyDescent="0.4">
      <c r="A29">
        <v>68.6584</v>
      </c>
      <c r="B29">
        <v>0</v>
      </c>
      <c r="C29">
        <v>345.51479999999998</v>
      </c>
      <c r="D29" s="1">
        <v>1</v>
      </c>
      <c r="E29">
        <f t="shared" si="0"/>
        <v>0</v>
      </c>
    </row>
    <row r="30" spans="1:5" x14ac:dyDescent="0.4">
      <c r="A30">
        <v>68.668400000000005</v>
      </c>
      <c r="B30">
        <v>1</v>
      </c>
      <c r="C30">
        <v>345.4812</v>
      </c>
      <c r="D30" s="1">
        <v>1</v>
      </c>
      <c r="E30">
        <f t="shared" si="0"/>
        <v>13.939538822951873</v>
      </c>
    </row>
    <row r="31" spans="1:5" x14ac:dyDescent="0.4">
      <c r="A31">
        <v>68.678399999999996</v>
      </c>
      <c r="B31">
        <v>2</v>
      </c>
      <c r="C31">
        <v>345.39769999999999</v>
      </c>
      <c r="D31" s="1">
        <v>1</v>
      </c>
      <c r="E31">
        <f t="shared" si="0"/>
        <v>27.885817421482542</v>
      </c>
    </row>
    <row r="32" spans="1:5" x14ac:dyDescent="0.4">
      <c r="A32">
        <v>68.688400000000001</v>
      </c>
      <c r="B32">
        <v>1</v>
      </c>
      <c r="C32">
        <v>345.74939999999998</v>
      </c>
      <c r="D32" s="1">
        <v>1</v>
      </c>
      <c r="E32">
        <f t="shared" si="0"/>
        <v>13.928725834375998</v>
      </c>
    </row>
    <row r="33" spans="1:5" x14ac:dyDescent="0.4">
      <c r="A33">
        <v>68.698400000000007</v>
      </c>
      <c r="B33">
        <v>0</v>
      </c>
      <c r="C33">
        <v>346.0641</v>
      </c>
      <c r="D33" s="1">
        <v>1</v>
      </c>
      <c r="E33">
        <f t="shared" si="0"/>
        <v>0</v>
      </c>
    </row>
    <row r="34" spans="1:5" x14ac:dyDescent="0.4">
      <c r="A34">
        <v>68.708399999999997</v>
      </c>
      <c r="B34">
        <v>0</v>
      </c>
      <c r="C34">
        <v>345.44220000000001</v>
      </c>
      <c r="D34" s="1">
        <v>1</v>
      </c>
      <c r="E34">
        <f t="shared" si="0"/>
        <v>0</v>
      </c>
    </row>
    <row r="35" spans="1:5" x14ac:dyDescent="0.4">
      <c r="A35">
        <v>68.718400000000003</v>
      </c>
      <c r="B35">
        <v>0</v>
      </c>
      <c r="C35">
        <v>345.53919999999999</v>
      </c>
      <c r="D35" s="1">
        <v>1</v>
      </c>
      <c r="E35">
        <f t="shared" si="0"/>
        <v>0</v>
      </c>
    </row>
    <row r="36" spans="1:5" x14ac:dyDescent="0.4">
      <c r="A36">
        <v>68.728399999999993</v>
      </c>
      <c r="B36">
        <v>1</v>
      </c>
      <c r="C36">
        <v>345.35270000000003</v>
      </c>
      <c r="D36" s="1">
        <v>1</v>
      </c>
      <c r="E36">
        <f t="shared" si="0"/>
        <v>13.944725493676465</v>
      </c>
    </row>
    <row r="37" spans="1:5" x14ac:dyDescent="0.4">
      <c r="A37">
        <v>68.738399999999999</v>
      </c>
      <c r="B37">
        <v>1</v>
      </c>
      <c r="C37">
        <v>345.35199999999998</v>
      </c>
      <c r="D37" s="1">
        <v>1</v>
      </c>
      <c r="E37">
        <f t="shared" si="0"/>
        <v>13.944753758484099</v>
      </c>
    </row>
    <row r="38" spans="1:5" x14ac:dyDescent="0.4">
      <c r="A38">
        <v>68.748400000000004</v>
      </c>
      <c r="B38">
        <v>0</v>
      </c>
      <c r="C38">
        <v>345.54880000000003</v>
      </c>
      <c r="D38" s="1">
        <v>1</v>
      </c>
      <c r="E38">
        <f t="shared" si="0"/>
        <v>0</v>
      </c>
    </row>
    <row r="39" spans="1:5" x14ac:dyDescent="0.4">
      <c r="A39">
        <v>68.758399999999995</v>
      </c>
      <c r="B39">
        <v>0</v>
      </c>
      <c r="C39">
        <v>345.67189999999999</v>
      </c>
      <c r="D39" s="1">
        <v>1</v>
      </c>
      <c r="E39">
        <f t="shared" si="0"/>
        <v>0</v>
      </c>
    </row>
    <row r="40" spans="1:5" x14ac:dyDescent="0.4">
      <c r="A40">
        <v>68.7684</v>
      </c>
      <c r="B40">
        <v>2</v>
      </c>
      <c r="C40">
        <v>345.48419999999999</v>
      </c>
      <c r="D40" s="1">
        <v>1</v>
      </c>
      <c r="E40">
        <f t="shared" si="0"/>
        <v>27.878835558905447</v>
      </c>
    </row>
    <row r="41" spans="1:5" x14ac:dyDescent="0.4">
      <c r="A41">
        <v>68.778400000000005</v>
      </c>
      <c r="B41">
        <v>2</v>
      </c>
      <c r="C41">
        <v>345.43340000000001</v>
      </c>
      <c r="D41" s="1">
        <v>1</v>
      </c>
      <c r="E41">
        <f t="shared" si="0"/>
        <v>27.88293546599721</v>
      </c>
    </row>
    <row r="42" spans="1:5" x14ac:dyDescent="0.4">
      <c r="A42">
        <v>68.788399999999996</v>
      </c>
      <c r="B42">
        <v>0</v>
      </c>
      <c r="C42">
        <v>345.1225</v>
      </c>
      <c r="D42" s="1">
        <v>1</v>
      </c>
      <c r="E42">
        <f t="shared" si="0"/>
        <v>0</v>
      </c>
    </row>
    <row r="43" spans="1:5" x14ac:dyDescent="0.4">
      <c r="A43">
        <v>68.798400000000001</v>
      </c>
      <c r="B43">
        <v>1</v>
      </c>
      <c r="C43">
        <v>344.82380000000001</v>
      </c>
      <c r="D43" s="1">
        <v>1</v>
      </c>
      <c r="E43">
        <f t="shared" si="0"/>
        <v>13.966114287934882</v>
      </c>
    </row>
    <row r="44" spans="1:5" x14ac:dyDescent="0.4">
      <c r="A44">
        <v>68.808400000000006</v>
      </c>
      <c r="B44">
        <v>0</v>
      </c>
      <c r="C44">
        <v>344.8809</v>
      </c>
      <c r="D44" s="1">
        <v>1</v>
      </c>
      <c r="E44">
        <f t="shared" si="0"/>
        <v>0</v>
      </c>
    </row>
    <row r="45" spans="1:5" x14ac:dyDescent="0.4">
      <c r="A45">
        <v>68.818399999999997</v>
      </c>
      <c r="B45">
        <v>2</v>
      </c>
      <c r="C45">
        <v>344.64819999999997</v>
      </c>
      <c r="D45" s="1">
        <v>1</v>
      </c>
      <c r="E45">
        <f t="shared" si="0"/>
        <v>27.946460187518756</v>
      </c>
    </row>
    <row r="46" spans="1:5" x14ac:dyDescent="0.4">
      <c r="A46">
        <v>68.828400000000002</v>
      </c>
      <c r="B46">
        <v>0</v>
      </c>
      <c r="C46">
        <v>344.78539999999998</v>
      </c>
      <c r="D46" s="1">
        <v>1</v>
      </c>
      <c r="E46">
        <f t="shared" si="0"/>
        <v>0</v>
      </c>
    </row>
    <row r="47" spans="1:5" x14ac:dyDescent="0.4">
      <c r="A47">
        <v>68.838399999999993</v>
      </c>
      <c r="B47">
        <v>3</v>
      </c>
      <c r="C47">
        <v>344.61599999999999</v>
      </c>
      <c r="D47" s="1">
        <v>1</v>
      </c>
      <c r="E47">
        <f t="shared" si="0"/>
        <v>41.923607145344384</v>
      </c>
    </row>
    <row r="48" spans="1:5" x14ac:dyDescent="0.4">
      <c r="A48">
        <v>68.848399999999998</v>
      </c>
      <c r="B48">
        <v>3</v>
      </c>
      <c r="C48">
        <v>344.51350000000002</v>
      </c>
      <c r="D48" s="1">
        <v>1</v>
      </c>
      <c r="E48">
        <f t="shared" si="0"/>
        <v>41.936080298740102</v>
      </c>
    </row>
    <row r="49" spans="1:5" x14ac:dyDescent="0.4">
      <c r="A49">
        <v>68.858400000000003</v>
      </c>
      <c r="B49">
        <v>1</v>
      </c>
      <c r="C49">
        <v>344.50080000000003</v>
      </c>
      <c r="D49" s="1">
        <v>1</v>
      </c>
      <c r="E49">
        <f t="shared" si="0"/>
        <v>13.979208756554412</v>
      </c>
    </row>
    <row r="50" spans="1:5" x14ac:dyDescent="0.4">
      <c r="A50">
        <v>68.868399999999994</v>
      </c>
      <c r="B50">
        <v>3</v>
      </c>
      <c r="C50">
        <v>344.68740000000003</v>
      </c>
      <c r="D50" s="1">
        <v>1</v>
      </c>
      <c r="E50">
        <f t="shared" si="0"/>
        <v>41.91492291276095</v>
      </c>
    </row>
    <row r="51" spans="1:5" x14ac:dyDescent="0.4">
      <c r="A51">
        <v>68.878399999999999</v>
      </c>
      <c r="B51">
        <v>1</v>
      </c>
      <c r="C51">
        <v>344.59800000000001</v>
      </c>
      <c r="D51" s="1">
        <v>1</v>
      </c>
      <c r="E51">
        <f t="shared" si="0"/>
        <v>13.97526567188434</v>
      </c>
    </row>
    <row r="52" spans="1:5" x14ac:dyDescent="0.4">
      <c r="A52">
        <v>68.888400000000004</v>
      </c>
      <c r="B52">
        <v>0</v>
      </c>
      <c r="C52">
        <v>344.73939999999999</v>
      </c>
      <c r="D52" s="1">
        <v>1</v>
      </c>
      <c r="E52">
        <f t="shared" si="0"/>
        <v>0</v>
      </c>
    </row>
    <row r="53" spans="1:5" x14ac:dyDescent="0.4">
      <c r="A53">
        <v>68.898399999999995</v>
      </c>
      <c r="B53">
        <v>2</v>
      </c>
      <c r="C53">
        <v>344.77460000000002</v>
      </c>
      <c r="D53" s="1">
        <v>1</v>
      </c>
      <c r="E53">
        <f t="shared" si="0"/>
        <v>27.936214558729095</v>
      </c>
    </row>
    <row r="54" spans="1:5" x14ac:dyDescent="0.4">
      <c r="A54">
        <v>68.9084</v>
      </c>
      <c r="B54">
        <v>1</v>
      </c>
      <c r="C54">
        <v>344.95690000000002</v>
      </c>
      <c r="D54" s="1">
        <v>1</v>
      </c>
      <c r="E54">
        <f t="shared" si="0"/>
        <v>13.960725528319625</v>
      </c>
    </row>
    <row r="55" spans="1:5" x14ac:dyDescent="0.4">
      <c r="A55">
        <v>68.918400000000005</v>
      </c>
      <c r="B55">
        <v>0</v>
      </c>
      <c r="C55">
        <v>344.56810000000002</v>
      </c>
      <c r="D55" s="1">
        <v>1</v>
      </c>
      <c r="E55">
        <f t="shared" si="0"/>
        <v>0</v>
      </c>
    </row>
    <row r="56" spans="1:5" x14ac:dyDescent="0.4">
      <c r="A56">
        <v>68.928399999999996</v>
      </c>
      <c r="B56">
        <v>3</v>
      </c>
      <c r="C56">
        <v>344.83940000000001</v>
      </c>
      <c r="D56" s="1">
        <v>1</v>
      </c>
      <c r="E56">
        <f t="shared" si="0"/>
        <v>41.896447447710443</v>
      </c>
    </row>
    <row r="57" spans="1:5" x14ac:dyDescent="0.4">
      <c r="A57">
        <v>68.938400000000001</v>
      </c>
      <c r="B57">
        <v>4</v>
      </c>
      <c r="C57">
        <v>345.20780000000002</v>
      </c>
      <c r="D57" s="1">
        <v>1</v>
      </c>
      <c r="E57">
        <f t="shared" si="0"/>
        <v>55.802315011422102</v>
      </c>
    </row>
    <row r="58" spans="1:5" x14ac:dyDescent="0.4">
      <c r="A58">
        <v>68.948400000000007</v>
      </c>
      <c r="B58">
        <v>3</v>
      </c>
      <c r="C58">
        <v>344.76119999999997</v>
      </c>
      <c r="D58" s="1">
        <v>1</v>
      </c>
      <c r="E58">
        <f t="shared" si="0"/>
        <v>41.905950553600583</v>
      </c>
    </row>
    <row r="59" spans="1:5" x14ac:dyDescent="0.4">
      <c r="A59">
        <v>68.958399999999997</v>
      </c>
      <c r="B59">
        <v>5</v>
      </c>
      <c r="C59">
        <v>344.67149999999998</v>
      </c>
      <c r="D59" s="1">
        <v>1</v>
      </c>
      <c r="E59">
        <f t="shared" si="0"/>
        <v>69.861427475146641</v>
      </c>
    </row>
    <row r="60" spans="1:5" x14ac:dyDescent="0.4">
      <c r="A60">
        <v>68.968400000000003</v>
      </c>
      <c r="B60">
        <v>0</v>
      </c>
      <c r="C60">
        <v>344.6259</v>
      </c>
      <c r="D60" s="1">
        <v>1</v>
      </c>
      <c r="E60">
        <f t="shared" si="0"/>
        <v>0</v>
      </c>
    </row>
    <row r="61" spans="1:5" x14ac:dyDescent="0.4">
      <c r="A61">
        <v>68.978399999999993</v>
      </c>
      <c r="B61">
        <v>1</v>
      </c>
      <c r="C61">
        <v>344.52550000000002</v>
      </c>
      <c r="D61" s="1">
        <v>1</v>
      </c>
      <c r="E61">
        <f t="shared" si="0"/>
        <v>13.978206547846241</v>
      </c>
    </row>
    <row r="62" spans="1:5" x14ac:dyDescent="0.4">
      <c r="A62">
        <v>68.988399999999999</v>
      </c>
      <c r="B62">
        <v>3</v>
      </c>
      <c r="C62">
        <v>344.77949999999998</v>
      </c>
      <c r="D62" s="1">
        <v>1</v>
      </c>
      <c r="E62">
        <f t="shared" si="0"/>
        <v>41.903726294631788</v>
      </c>
    </row>
    <row r="63" spans="1:5" x14ac:dyDescent="0.4">
      <c r="A63">
        <v>68.998400000000004</v>
      </c>
      <c r="B63">
        <v>8</v>
      </c>
      <c r="C63">
        <v>344.56790000000001</v>
      </c>
      <c r="D63" s="1">
        <v>1</v>
      </c>
      <c r="E63">
        <f t="shared" si="0"/>
        <v>111.81189193769937</v>
      </c>
    </row>
    <row r="64" spans="1:5" x14ac:dyDescent="0.4">
      <c r="A64">
        <v>69.008399999999995</v>
      </c>
      <c r="B64">
        <v>6</v>
      </c>
      <c r="C64">
        <v>344.73390000000001</v>
      </c>
      <c r="D64" s="1">
        <v>1</v>
      </c>
      <c r="E64">
        <f t="shared" si="0"/>
        <v>83.818538298670362</v>
      </c>
    </row>
    <row r="65" spans="1:5" x14ac:dyDescent="0.4">
      <c r="A65">
        <v>69.0184</v>
      </c>
      <c r="B65">
        <v>2</v>
      </c>
      <c r="C65">
        <v>344.52319999999997</v>
      </c>
      <c r="D65" s="1">
        <v>1</v>
      </c>
      <c r="E65">
        <f t="shared" si="0"/>
        <v>27.956599729713417</v>
      </c>
    </row>
    <row r="66" spans="1:5" x14ac:dyDescent="0.4">
      <c r="A66">
        <v>69.028400000000005</v>
      </c>
      <c r="B66">
        <v>6</v>
      </c>
      <c r="C66">
        <v>344.62090000000001</v>
      </c>
      <c r="D66" s="1">
        <v>1</v>
      </c>
      <c r="E66">
        <f t="shared" si="0"/>
        <v>83.846022107190834</v>
      </c>
    </row>
    <row r="67" spans="1:5" x14ac:dyDescent="0.4">
      <c r="A67">
        <v>69.038399999999996</v>
      </c>
      <c r="B67">
        <v>3</v>
      </c>
      <c r="C67">
        <v>344.35969999999998</v>
      </c>
      <c r="D67" s="1">
        <v>1</v>
      </c>
      <c r="E67">
        <f t="shared" si="0"/>
        <v>41.954810043103187</v>
      </c>
    </row>
    <row r="68" spans="1:5" x14ac:dyDescent="0.4">
      <c r="A68">
        <v>69.048400000000001</v>
      </c>
      <c r="B68">
        <v>3</v>
      </c>
      <c r="C68">
        <v>344.23219999999998</v>
      </c>
      <c r="D68" s="1">
        <v>1</v>
      </c>
      <c r="E68">
        <f t="shared" si="0"/>
        <v>41.970349665138826</v>
      </c>
    </row>
    <row r="69" spans="1:5" x14ac:dyDescent="0.4">
      <c r="A69">
        <v>69.058400000000006</v>
      </c>
      <c r="B69">
        <v>8</v>
      </c>
      <c r="C69">
        <v>344.34390000000002</v>
      </c>
      <c r="D69" s="1">
        <v>1</v>
      </c>
      <c r="E69">
        <f t="shared" si="0"/>
        <v>111.88462696740091</v>
      </c>
    </row>
    <row r="70" spans="1:5" x14ac:dyDescent="0.4">
      <c r="A70">
        <v>69.068399999999997</v>
      </c>
      <c r="B70">
        <v>8</v>
      </c>
      <c r="C70">
        <v>344.202</v>
      </c>
      <c r="D70" s="1">
        <v>1</v>
      </c>
      <c r="E70">
        <f t="shared" si="0"/>
        <v>111.93075229080598</v>
      </c>
    </row>
    <row r="71" spans="1:5" x14ac:dyDescent="0.4">
      <c r="A71">
        <v>69.078400000000002</v>
      </c>
      <c r="B71">
        <v>9</v>
      </c>
      <c r="C71">
        <v>343.78179999999998</v>
      </c>
      <c r="D71" s="1">
        <v>1</v>
      </c>
      <c r="E71">
        <f t="shared" si="0"/>
        <v>126.07600925936161</v>
      </c>
    </row>
    <row r="72" spans="1:5" x14ac:dyDescent="0.4">
      <c r="A72">
        <v>69.088399999999993</v>
      </c>
      <c r="B72">
        <v>8</v>
      </c>
      <c r="C72">
        <v>344.1866</v>
      </c>
      <c r="D72" s="1">
        <v>1</v>
      </c>
      <c r="E72">
        <f t="shared" si="0"/>
        <v>111.93576042762851</v>
      </c>
    </row>
    <row r="73" spans="1:5" x14ac:dyDescent="0.4">
      <c r="A73">
        <v>69.098399999999998</v>
      </c>
      <c r="B73">
        <v>9</v>
      </c>
      <c r="C73">
        <v>343.87759999999997</v>
      </c>
      <c r="D73" s="1">
        <v>1</v>
      </c>
      <c r="E73">
        <f t="shared" si="0"/>
        <v>126.04088605945837</v>
      </c>
    </row>
    <row r="74" spans="1:5" x14ac:dyDescent="0.4">
      <c r="A74">
        <v>69.108400000000003</v>
      </c>
      <c r="B74">
        <v>9</v>
      </c>
      <c r="C74">
        <v>343.8553</v>
      </c>
      <c r="D74" s="1">
        <v>1</v>
      </c>
      <c r="E74">
        <f t="shared" si="0"/>
        <v>126.04906017153145</v>
      </c>
    </row>
    <row r="75" spans="1:5" x14ac:dyDescent="0.4">
      <c r="A75">
        <v>69.118399999999994</v>
      </c>
      <c r="B75">
        <v>12</v>
      </c>
      <c r="C75">
        <v>343.81610000000001</v>
      </c>
      <c r="D75" s="1">
        <v>1</v>
      </c>
      <c r="E75">
        <f t="shared" si="0"/>
        <v>168.08457544600151</v>
      </c>
    </row>
    <row r="76" spans="1:5" x14ac:dyDescent="0.4">
      <c r="A76">
        <v>69.128399999999999</v>
      </c>
      <c r="B76">
        <v>11</v>
      </c>
      <c r="C76">
        <v>343.9495</v>
      </c>
      <c r="D76" s="1">
        <v>1</v>
      </c>
      <c r="E76">
        <f t="shared" si="0"/>
        <v>154.0177688875838</v>
      </c>
    </row>
    <row r="77" spans="1:5" x14ac:dyDescent="0.4">
      <c r="A77">
        <v>69.138400000000004</v>
      </c>
      <c r="B77">
        <v>14</v>
      </c>
      <c r="C77">
        <v>343.80739999999997</v>
      </c>
      <c r="D77" s="1">
        <v>1</v>
      </c>
      <c r="E77">
        <f t="shared" si="0"/>
        <v>196.10363360416329</v>
      </c>
    </row>
    <row r="78" spans="1:5" x14ac:dyDescent="0.4">
      <c r="A78">
        <v>69.148399999999995</v>
      </c>
      <c r="B78">
        <v>17</v>
      </c>
      <c r="C78">
        <v>343.6585</v>
      </c>
      <c r="D78" s="1">
        <v>1</v>
      </c>
      <c r="E78">
        <f t="shared" si="0"/>
        <v>238.22901572345802</v>
      </c>
    </row>
    <row r="79" spans="1:5" x14ac:dyDescent="0.4">
      <c r="A79">
        <v>69.1584</v>
      </c>
      <c r="B79">
        <v>12</v>
      </c>
      <c r="C79">
        <v>343.91379999999998</v>
      </c>
      <c r="D79" s="1">
        <v>1</v>
      </c>
      <c r="E79">
        <f t="shared" si="0"/>
        <v>168.03682550685667</v>
      </c>
    </row>
    <row r="80" spans="1:5" x14ac:dyDescent="0.4">
      <c r="A80">
        <v>69.168400000000005</v>
      </c>
      <c r="B80">
        <v>22</v>
      </c>
      <c r="C80">
        <v>344.05160000000001</v>
      </c>
      <c r="D80" s="1">
        <v>1</v>
      </c>
      <c r="E80">
        <f t="shared" si="0"/>
        <v>307.94412582298702</v>
      </c>
    </row>
    <row r="81" spans="1:5" x14ac:dyDescent="0.4">
      <c r="A81">
        <v>69.178399999999996</v>
      </c>
      <c r="B81">
        <v>10</v>
      </c>
      <c r="C81">
        <v>343.94240000000002</v>
      </c>
      <c r="D81" s="1">
        <v>1</v>
      </c>
      <c r="E81">
        <f t="shared" si="0"/>
        <v>140.01904388641819</v>
      </c>
    </row>
    <row r="82" spans="1:5" x14ac:dyDescent="0.4">
      <c r="A82">
        <v>69.188400000000001</v>
      </c>
      <c r="B82">
        <v>19</v>
      </c>
      <c r="C82">
        <v>344.245</v>
      </c>
      <c r="D82" s="1">
        <v>1</v>
      </c>
      <c r="E82">
        <f t="shared" si="0"/>
        <v>265.80233089805228</v>
      </c>
    </row>
    <row r="83" spans="1:5" x14ac:dyDescent="0.4">
      <c r="A83">
        <v>69.198400000000007</v>
      </c>
      <c r="B83">
        <v>14</v>
      </c>
      <c r="C83">
        <v>344.37119999999999</v>
      </c>
      <c r="D83" s="1">
        <v>1</v>
      </c>
      <c r="E83">
        <f t="shared" si="0"/>
        <v>195.78257531407974</v>
      </c>
    </row>
    <row r="84" spans="1:5" x14ac:dyDescent="0.4">
      <c r="A84">
        <v>69.208399999999997</v>
      </c>
      <c r="B84">
        <v>26</v>
      </c>
      <c r="C84">
        <v>344.62880000000001</v>
      </c>
      <c r="D84" s="1">
        <v>1</v>
      </c>
      <c r="E84">
        <f t="shared" si="0"/>
        <v>363.32443370954491</v>
      </c>
    </row>
    <row r="85" spans="1:5" x14ac:dyDescent="0.4">
      <c r="A85">
        <v>69.218400000000003</v>
      </c>
      <c r="B85">
        <v>26</v>
      </c>
      <c r="C85">
        <v>344.21100000000001</v>
      </c>
      <c r="D85" s="1">
        <v>1</v>
      </c>
      <c r="E85">
        <f t="shared" si="0"/>
        <v>363.76543341148306</v>
      </c>
    </row>
    <row r="86" spans="1:5" x14ac:dyDescent="0.4">
      <c r="A86">
        <v>69.228399999999993</v>
      </c>
      <c r="B86">
        <v>17</v>
      </c>
      <c r="C86">
        <v>344.24740000000003</v>
      </c>
      <c r="D86" s="1">
        <v>1</v>
      </c>
      <c r="E86">
        <f t="shared" ref="E86:E149" si="1">$A$1*B86/C86</f>
        <v>237.82148013318329</v>
      </c>
    </row>
    <row r="87" spans="1:5" x14ac:dyDescent="0.4">
      <c r="A87">
        <v>69.238399999999999</v>
      </c>
      <c r="B87">
        <v>23</v>
      </c>
      <c r="C87">
        <v>344.21179999999998</v>
      </c>
      <c r="D87" s="1">
        <v>1</v>
      </c>
      <c r="E87">
        <f t="shared" si="1"/>
        <v>321.79175089290953</v>
      </c>
    </row>
    <row r="88" spans="1:5" x14ac:dyDescent="0.4">
      <c r="A88">
        <v>69.248400000000004</v>
      </c>
      <c r="B88">
        <v>30</v>
      </c>
      <c r="C88">
        <v>344.25470000000001</v>
      </c>
      <c r="D88" s="1">
        <v>1</v>
      </c>
      <c r="E88">
        <f t="shared" si="1"/>
        <v>419.67606542481485</v>
      </c>
    </row>
    <row r="89" spans="1:5" x14ac:dyDescent="0.4">
      <c r="A89">
        <v>69.258399999999995</v>
      </c>
      <c r="B89">
        <v>36</v>
      </c>
      <c r="C89">
        <v>344.27280000000002</v>
      </c>
      <c r="D89" s="1">
        <v>1</v>
      </c>
      <c r="E89">
        <f t="shared" si="1"/>
        <v>503.58480135520432</v>
      </c>
    </row>
    <row r="90" spans="1:5" x14ac:dyDescent="0.4">
      <c r="A90">
        <v>69.2684</v>
      </c>
      <c r="B90">
        <v>37</v>
      </c>
      <c r="C90">
        <v>344.24669999999998</v>
      </c>
      <c r="D90" s="1">
        <v>1</v>
      </c>
      <c r="E90">
        <f t="shared" si="1"/>
        <v>517.61250928476591</v>
      </c>
    </row>
    <row r="91" spans="1:5" x14ac:dyDescent="0.4">
      <c r="A91">
        <v>69.278400000000005</v>
      </c>
      <c r="B91">
        <v>39</v>
      </c>
      <c r="C91">
        <v>344.35770000000002</v>
      </c>
      <c r="D91" s="1">
        <v>1</v>
      </c>
      <c r="E91">
        <f t="shared" si="1"/>
        <v>545.41569826956106</v>
      </c>
    </row>
    <row r="92" spans="1:5" x14ac:dyDescent="0.4">
      <c r="A92">
        <v>69.288399999999996</v>
      </c>
      <c r="B92">
        <v>39</v>
      </c>
      <c r="C92">
        <v>344.14100000000002</v>
      </c>
      <c r="D92" s="1">
        <v>1</v>
      </c>
      <c r="E92">
        <f t="shared" si="1"/>
        <v>545.75913767903273</v>
      </c>
    </row>
    <row r="93" spans="1:5" x14ac:dyDescent="0.4">
      <c r="A93">
        <v>69.298400000000001</v>
      </c>
      <c r="B93">
        <v>44</v>
      </c>
      <c r="C93">
        <v>344.08629999999999</v>
      </c>
      <c r="D93" s="1">
        <v>1</v>
      </c>
      <c r="E93">
        <f t="shared" si="1"/>
        <v>615.82614129071692</v>
      </c>
    </row>
    <row r="94" spans="1:5" x14ac:dyDescent="0.4">
      <c r="A94">
        <v>69.308400000000006</v>
      </c>
      <c r="B94">
        <v>46</v>
      </c>
      <c r="C94">
        <v>343.96899999999999</v>
      </c>
      <c r="D94" s="1">
        <v>1</v>
      </c>
      <c r="E94">
        <f t="shared" si="1"/>
        <v>644.03779294064293</v>
      </c>
    </row>
    <row r="95" spans="1:5" x14ac:dyDescent="0.4">
      <c r="A95">
        <v>69.318399999999997</v>
      </c>
      <c r="B95">
        <v>68</v>
      </c>
      <c r="C95">
        <v>344.18639999999999</v>
      </c>
      <c r="D95" s="1">
        <v>1</v>
      </c>
      <c r="E95">
        <f t="shared" si="1"/>
        <v>951.45451650617224</v>
      </c>
    </row>
    <row r="96" spans="1:5" x14ac:dyDescent="0.4">
      <c r="A96">
        <v>69.328400000000002</v>
      </c>
      <c r="B96">
        <v>80</v>
      </c>
      <c r="C96">
        <v>344.06169999999997</v>
      </c>
      <c r="D96" s="1">
        <v>1</v>
      </c>
      <c r="E96">
        <f t="shared" si="1"/>
        <v>1119.7639493149049</v>
      </c>
    </row>
    <row r="97" spans="1:5" x14ac:dyDescent="0.4">
      <c r="A97">
        <v>69.338399999999993</v>
      </c>
      <c r="B97">
        <v>64</v>
      </c>
      <c r="C97">
        <v>343.84449999999998</v>
      </c>
      <c r="D97" s="1">
        <v>1</v>
      </c>
      <c r="E97">
        <f t="shared" si="1"/>
        <v>896.37702624296753</v>
      </c>
    </row>
    <row r="98" spans="1:5" x14ac:dyDescent="0.4">
      <c r="A98">
        <v>69.348399999999998</v>
      </c>
      <c r="B98">
        <v>84</v>
      </c>
      <c r="C98">
        <v>344.08249999999998</v>
      </c>
      <c r="D98" s="1">
        <v>1</v>
      </c>
      <c r="E98">
        <f t="shared" si="1"/>
        <v>1175.6810718359698</v>
      </c>
    </row>
    <row r="99" spans="1:5" x14ac:dyDescent="0.4">
      <c r="A99">
        <v>69.358400000000003</v>
      </c>
      <c r="B99">
        <v>99</v>
      </c>
      <c r="C99">
        <v>344.0213</v>
      </c>
      <c r="D99" s="1">
        <v>1</v>
      </c>
      <c r="E99">
        <f t="shared" si="1"/>
        <v>1385.8706173135211</v>
      </c>
    </row>
    <row r="100" spans="1:5" x14ac:dyDescent="0.4">
      <c r="A100">
        <v>69.368399999999994</v>
      </c>
      <c r="B100">
        <v>120</v>
      </c>
      <c r="C100">
        <v>344.13979999999998</v>
      </c>
      <c r="D100" s="1">
        <v>1</v>
      </c>
      <c r="E100">
        <f t="shared" si="1"/>
        <v>1679.2647406664387</v>
      </c>
    </row>
    <row r="101" spans="1:5" x14ac:dyDescent="0.4">
      <c r="A101">
        <v>69.378399999999999</v>
      </c>
      <c r="B101">
        <v>169</v>
      </c>
      <c r="C101">
        <v>344.34</v>
      </c>
      <c r="D101" s="1">
        <v>1</v>
      </c>
      <c r="E101">
        <f t="shared" si="1"/>
        <v>2363.589514433409</v>
      </c>
    </row>
    <row r="102" spans="1:5" x14ac:dyDescent="0.4">
      <c r="A102">
        <v>69.388400000000004</v>
      </c>
      <c r="B102">
        <v>146</v>
      </c>
      <c r="C102">
        <v>344.44450000000001</v>
      </c>
      <c r="D102" s="1">
        <v>1</v>
      </c>
      <c r="E102">
        <f t="shared" si="1"/>
        <v>2041.29807733902</v>
      </c>
    </row>
    <row r="103" spans="1:5" x14ac:dyDescent="0.4">
      <c r="A103">
        <v>69.398399999999995</v>
      </c>
      <c r="B103">
        <v>179</v>
      </c>
      <c r="C103">
        <v>344.52859999999998</v>
      </c>
      <c r="D103" s="1">
        <v>1</v>
      </c>
      <c r="E103">
        <f t="shared" si="1"/>
        <v>2502.076458674258</v>
      </c>
    </row>
    <row r="104" spans="1:5" x14ac:dyDescent="0.4">
      <c r="A104">
        <v>69.4084</v>
      </c>
      <c r="B104">
        <v>187</v>
      </c>
      <c r="C104">
        <v>344.1112</v>
      </c>
      <c r="D104" s="1">
        <v>1</v>
      </c>
      <c r="E104">
        <f t="shared" si="1"/>
        <v>2617.071714608534</v>
      </c>
    </row>
    <row r="105" spans="1:5" x14ac:dyDescent="0.4">
      <c r="A105">
        <v>69.418400000000005</v>
      </c>
      <c r="B105">
        <v>256</v>
      </c>
      <c r="C105">
        <v>343.9314</v>
      </c>
      <c r="D105" s="1">
        <v>1</v>
      </c>
      <c r="E105">
        <f t="shared" si="1"/>
        <v>3584.6021665948501</v>
      </c>
    </row>
    <row r="106" spans="1:5" x14ac:dyDescent="0.4">
      <c r="A106">
        <v>69.428399999999996</v>
      </c>
      <c r="B106">
        <v>313</v>
      </c>
      <c r="C106">
        <v>343.7679</v>
      </c>
      <c r="D106" s="1">
        <v>1</v>
      </c>
      <c r="E106">
        <f t="shared" si="1"/>
        <v>4384.8207229354457</v>
      </c>
    </row>
    <row r="107" spans="1:5" x14ac:dyDescent="0.4">
      <c r="A107">
        <v>69.438400000000001</v>
      </c>
      <c r="B107">
        <v>365</v>
      </c>
      <c r="C107">
        <v>343.56650000000002</v>
      </c>
      <c r="D107" s="1">
        <v>1</v>
      </c>
      <c r="E107">
        <f t="shared" si="1"/>
        <v>5116.2867712655334</v>
      </c>
    </row>
    <row r="108" spans="1:5" x14ac:dyDescent="0.4">
      <c r="A108">
        <v>69.448400000000007</v>
      </c>
      <c r="B108">
        <v>434</v>
      </c>
      <c r="C108">
        <v>343.45339999999999</v>
      </c>
      <c r="D108" s="1">
        <v>1</v>
      </c>
      <c r="E108">
        <f t="shared" si="1"/>
        <v>6085.4785318765234</v>
      </c>
    </row>
    <row r="109" spans="1:5" x14ac:dyDescent="0.4">
      <c r="A109">
        <v>69.458399999999997</v>
      </c>
      <c r="B109">
        <v>554</v>
      </c>
      <c r="C109">
        <v>343.20229999999998</v>
      </c>
      <c r="D109" s="1">
        <v>1</v>
      </c>
      <c r="E109">
        <f t="shared" si="1"/>
        <v>7773.7827642763477</v>
      </c>
    </row>
    <row r="110" spans="1:5" x14ac:dyDescent="0.4">
      <c r="A110">
        <v>69.468400000000003</v>
      </c>
      <c r="B110">
        <v>716</v>
      </c>
      <c r="C110">
        <v>342.93060000000003</v>
      </c>
      <c r="D110" s="1">
        <v>1</v>
      </c>
      <c r="E110">
        <f t="shared" si="1"/>
        <v>10054.942888152878</v>
      </c>
    </row>
    <row r="111" spans="1:5" x14ac:dyDescent="0.4">
      <c r="A111">
        <v>69.478399999999993</v>
      </c>
      <c r="B111">
        <v>918</v>
      </c>
      <c r="C111">
        <v>342.84399999999999</v>
      </c>
      <c r="D111" s="1">
        <v>1</v>
      </c>
      <c r="E111">
        <f t="shared" si="1"/>
        <v>12894.928932109064</v>
      </c>
    </row>
    <row r="112" spans="1:5" x14ac:dyDescent="0.4">
      <c r="A112">
        <v>69.488399999999999</v>
      </c>
      <c r="B112">
        <v>1192</v>
      </c>
      <c r="C112">
        <v>342.55770000000001</v>
      </c>
      <c r="D112" s="1">
        <v>1</v>
      </c>
      <c r="E112">
        <f t="shared" si="1"/>
        <v>16757.736087088393</v>
      </c>
    </row>
    <row r="113" spans="1:5" x14ac:dyDescent="0.4">
      <c r="A113">
        <v>69.498400000000004</v>
      </c>
      <c r="B113">
        <v>1639</v>
      </c>
      <c r="C113">
        <v>342.85719999999998</v>
      </c>
      <c r="D113" s="1">
        <v>1</v>
      </c>
      <c r="E113">
        <f t="shared" si="1"/>
        <v>23021.759074623493</v>
      </c>
    </row>
    <row r="114" spans="1:5" x14ac:dyDescent="0.4">
      <c r="A114">
        <v>69.508399999999995</v>
      </c>
      <c r="B114">
        <v>2286</v>
      </c>
      <c r="C114">
        <v>342.8032</v>
      </c>
      <c r="D114" s="1">
        <v>1</v>
      </c>
      <c r="E114">
        <f t="shared" si="1"/>
        <v>32114.723256959096</v>
      </c>
    </row>
    <row r="115" spans="1:5" x14ac:dyDescent="0.4">
      <c r="A115">
        <v>69.5184</v>
      </c>
      <c r="B115">
        <v>3238</v>
      </c>
      <c r="C115">
        <v>342.54919999999998</v>
      </c>
      <c r="D115" s="1">
        <v>1</v>
      </c>
      <c r="E115">
        <f t="shared" si="1"/>
        <v>45522.563669102135</v>
      </c>
    </row>
    <row r="116" spans="1:5" x14ac:dyDescent="0.4">
      <c r="A116">
        <v>69.528400000000005</v>
      </c>
      <c r="B116">
        <v>5182</v>
      </c>
      <c r="C116">
        <v>342.37400000000002</v>
      </c>
      <c r="D116" s="1">
        <v>1</v>
      </c>
      <c r="E116">
        <f t="shared" si="1"/>
        <v>72890.252896540042</v>
      </c>
    </row>
    <row r="117" spans="1:5" x14ac:dyDescent="0.4">
      <c r="A117">
        <v>69.538399999999996</v>
      </c>
      <c r="B117">
        <v>8425</v>
      </c>
      <c r="C117">
        <v>342.21620000000001</v>
      </c>
      <c r="D117" s="1">
        <v>1</v>
      </c>
      <c r="E117">
        <f t="shared" si="1"/>
        <v>118561.0863980139</v>
      </c>
    </row>
    <row r="118" spans="1:5" x14ac:dyDescent="0.4">
      <c r="A118">
        <v>69.548400000000001</v>
      </c>
      <c r="B118">
        <v>15920</v>
      </c>
      <c r="C118">
        <v>341.90230000000003</v>
      </c>
      <c r="D118" s="1">
        <v>1</v>
      </c>
      <c r="E118">
        <f t="shared" si="1"/>
        <v>224240.40350708371</v>
      </c>
    </row>
    <row r="119" spans="1:5" x14ac:dyDescent="0.4">
      <c r="A119">
        <v>69.558400000000006</v>
      </c>
      <c r="B119">
        <v>35747</v>
      </c>
      <c r="C119">
        <v>341.98230000000001</v>
      </c>
      <c r="D119" s="1">
        <v>1</v>
      </c>
      <c r="E119">
        <f t="shared" si="1"/>
        <v>503394.88302230852</v>
      </c>
    </row>
    <row r="120" spans="1:5" x14ac:dyDescent="0.4">
      <c r="A120">
        <v>69.568399999999997</v>
      </c>
      <c r="B120">
        <v>110611</v>
      </c>
      <c r="C120">
        <v>341.8682</v>
      </c>
      <c r="D120" s="1">
        <v>1</v>
      </c>
      <c r="E120">
        <f t="shared" si="1"/>
        <v>1558161.3893734487</v>
      </c>
    </row>
    <row r="121" spans="1:5" x14ac:dyDescent="0.4">
      <c r="A121">
        <v>69.578400000000002</v>
      </c>
      <c r="B121">
        <v>637506</v>
      </c>
      <c r="C121">
        <v>341.28840000000002</v>
      </c>
      <c r="D121" s="1">
        <v>1</v>
      </c>
      <c r="E121">
        <f t="shared" si="1"/>
        <v>8995712.6512111165</v>
      </c>
    </row>
    <row r="122" spans="1:5" x14ac:dyDescent="0.4">
      <c r="A122">
        <v>69.588399999999993</v>
      </c>
      <c r="B122">
        <v>2283134</v>
      </c>
      <c r="C122">
        <v>341.5102</v>
      </c>
      <c r="D122" s="1">
        <v>1</v>
      </c>
      <c r="E122">
        <f t="shared" si="1"/>
        <v>32195898.328988124</v>
      </c>
    </row>
    <row r="123" spans="1:5" x14ac:dyDescent="0.4">
      <c r="A123">
        <v>69.598399999999998</v>
      </c>
      <c r="B123">
        <v>768883</v>
      </c>
      <c r="C123">
        <v>341.45499999999998</v>
      </c>
      <c r="D123" s="1">
        <v>1</v>
      </c>
      <c r="E123">
        <f t="shared" si="1"/>
        <v>10844252.153618487</v>
      </c>
    </row>
    <row r="124" spans="1:5" x14ac:dyDescent="0.4">
      <c r="A124">
        <v>69.608400000000003</v>
      </c>
      <c r="B124">
        <v>119828</v>
      </c>
      <c r="C124">
        <v>341.6302</v>
      </c>
      <c r="D124" s="1">
        <v>1</v>
      </c>
      <c r="E124">
        <f t="shared" si="1"/>
        <v>1689175.9160659683</v>
      </c>
    </row>
    <row r="125" spans="1:5" x14ac:dyDescent="0.4">
      <c r="A125">
        <v>69.618399999999994</v>
      </c>
      <c r="B125">
        <v>31528</v>
      </c>
      <c r="C125">
        <v>341.69549999999998</v>
      </c>
      <c r="D125" s="1">
        <v>1</v>
      </c>
      <c r="E125">
        <f t="shared" si="1"/>
        <v>444354.91442175861</v>
      </c>
    </row>
    <row r="126" spans="1:5" x14ac:dyDescent="0.4">
      <c r="A126">
        <v>69.628399999999999</v>
      </c>
      <c r="B126">
        <v>12081</v>
      </c>
      <c r="C126">
        <v>341.5557</v>
      </c>
      <c r="D126" s="1">
        <v>1</v>
      </c>
      <c r="E126">
        <f t="shared" si="1"/>
        <v>170339.03090067007</v>
      </c>
    </row>
    <row r="127" spans="1:5" x14ac:dyDescent="0.4">
      <c r="A127">
        <v>69.638400000000004</v>
      </c>
      <c r="B127">
        <v>5585</v>
      </c>
      <c r="C127">
        <v>341.5086</v>
      </c>
      <c r="D127" s="1">
        <v>1</v>
      </c>
      <c r="E127">
        <f t="shared" si="1"/>
        <v>78757.941764863324</v>
      </c>
    </row>
    <row r="128" spans="1:5" x14ac:dyDescent="0.4">
      <c r="A128">
        <v>69.648399999999995</v>
      </c>
      <c r="B128">
        <v>2858</v>
      </c>
      <c r="C128">
        <v>341.63979999999998</v>
      </c>
      <c r="D128" s="1">
        <v>1</v>
      </c>
      <c r="E128">
        <f t="shared" si="1"/>
        <v>40287.154186368221</v>
      </c>
    </row>
    <row r="129" spans="1:5" x14ac:dyDescent="0.4">
      <c r="A129">
        <v>69.6584</v>
      </c>
      <c r="B129">
        <v>1670</v>
      </c>
      <c r="C129">
        <v>342.13940000000002</v>
      </c>
      <c r="D129" s="1">
        <v>1</v>
      </c>
      <c r="E129">
        <f t="shared" si="1"/>
        <v>23506.404588305235</v>
      </c>
    </row>
    <row r="130" spans="1:5" x14ac:dyDescent="0.4">
      <c r="A130">
        <v>69.668400000000005</v>
      </c>
      <c r="B130">
        <v>1039</v>
      </c>
      <c r="C130">
        <v>342.6635</v>
      </c>
      <c r="D130" s="1">
        <v>1</v>
      </c>
      <c r="E130">
        <f t="shared" si="1"/>
        <v>14602.275104876944</v>
      </c>
    </row>
    <row r="131" spans="1:5" x14ac:dyDescent="0.4">
      <c r="A131">
        <v>69.678399999999996</v>
      </c>
      <c r="B131">
        <v>701</v>
      </c>
      <c r="C131">
        <v>342.0797</v>
      </c>
      <c r="D131" s="1">
        <v>1</v>
      </c>
      <c r="E131">
        <f t="shared" si="1"/>
        <v>9868.7816570232026</v>
      </c>
    </row>
    <row r="132" spans="1:5" x14ac:dyDescent="0.4">
      <c r="A132">
        <v>69.688400000000001</v>
      </c>
      <c r="B132">
        <v>484</v>
      </c>
      <c r="C132">
        <v>342.0967</v>
      </c>
      <c r="D132" s="1">
        <v>1</v>
      </c>
      <c r="E132">
        <f t="shared" si="1"/>
        <v>6813.4849660929212</v>
      </c>
    </row>
    <row r="133" spans="1:5" x14ac:dyDescent="0.4">
      <c r="A133">
        <v>69.698400000000007</v>
      </c>
      <c r="B133">
        <v>327</v>
      </c>
      <c r="C133">
        <v>342.12979999999999</v>
      </c>
      <c r="D133" s="1">
        <v>1</v>
      </c>
      <c r="E133">
        <f t="shared" si="1"/>
        <v>4602.8802290826461</v>
      </c>
    </row>
    <row r="134" spans="1:5" x14ac:dyDescent="0.4">
      <c r="A134">
        <v>69.708399999999997</v>
      </c>
      <c r="B134">
        <v>226</v>
      </c>
      <c r="C134">
        <v>342.46800000000002</v>
      </c>
      <c r="D134" s="1">
        <v>1</v>
      </c>
      <c r="E134">
        <f t="shared" si="1"/>
        <v>3178.0539600780216</v>
      </c>
    </row>
    <row r="135" spans="1:5" x14ac:dyDescent="0.4">
      <c r="A135">
        <v>69.718400000000003</v>
      </c>
      <c r="B135">
        <v>179</v>
      </c>
      <c r="C135">
        <v>342.39699999999999</v>
      </c>
      <c r="D135" s="1">
        <v>1</v>
      </c>
      <c r="E135">
        <f t="shared" si="1"/>
        <v>2517.6531903024852</v>
      </c>
    </row>
    <row r="136" spans="1:5" x14ac:dyDescent="0.4">
      <c r="A136">
        <v>69.728399999999993</v>
      </c>
      <c r="B136">
        <v>133</v>
      </c>
      <c r="C136">
        <v>342.27530000000002</v>
      </c>
      <c r="D136" s="1">
        <v>1</v>
      </c>
      <c r="E136">
        <f t="shared" si="1"/>
        <v>1871.3236502896937</v>
      </c>
    </row>
    <row r="137" spans="1:5" x14ac:dyDescent="0.4">
      <c r="A137">
        <v>69.738399999999999</v>
      </c>
      <c r="B137">
        <v>124</v>
      </c>
      <c r="C137">
        <v>342.39370000000002</v>
      </c>
      <c r="D137" s="1">
        <v>1</v>
      </c>
      <c r="E137">
        <f t="shared" si="1"/>
        <v>1744.0894105236166</v>
      </c>
    </row>
    <row r="138" spans="1:5" x14ac:dyDescent="0.4">
      <c r="A138">
        <v>69.748400000000004</v>
      </c>
      <c r="B138">
        <v>69</v>
      </c>
      <c r="C138">
        <v>342.55799999999999</v>
      </c>
      <c r="D138" s="1">
        <v>1</v>
      </c>
      <c r="E138">
        <f t="shared" si="1"/>
        <v>970.03588706146127</v>
      </c>
    </row>
    <row r="139" spans="1:5" x14ac:dyDescent="0.4">
      <c r="A139">
        <v>69.758399999999995</v>
      </c>
      <c r="B139">
        <v>63</v>
      </c>
      <c r="C139">
        <v>342.387</v>
      </c>
      <c r="D139" s="1">
        <v>1</v>
      </c>
      <c r="E139">
        <f t="shared" si="1"/>
        <v>886.12728228583444</v>
      </c>
    </row>
    <row r="140" spans="1:5" x14ac:dyDescent="0.4">
      <c r="A140">
        <v>69.7684</v>
      </c>
      <c r="B140">
        <v>40</v>
      </c>
      <c r="C140">
        <v>342.0684</v>
      </c>
      <c r="D140" s="1">
        <v>1</v>
      </c>
      <c r="E140">
        <f t="shared" si="1"/>
        <v>563.14451729537143</v>
      </c>
    </row>
    <row r="141" spans="1:5" x14ac:dyDescent="0.4">
      <c r="A141">
        <v>69.778400000000005</v>
      </c>
      <c r="B141">
        <v>50</v>
      </c>
      <c r="C141">
        <v>342.25880000000001</v>
      </c>
      <c r="D141" s="1">
        <v>1</v>
      </c>
      <c r="E141">
        <f t="shared" si="1"/>
        <v>703.53904706029482</v>
      </c>
    </row>
    <row r="142" spans="1:5" x14ac:dyDescent="0.4">
      <c r="A142">
        <v>69.788399999999996</v>
      </c>
      <c r="B142">
        <v>36</v>
      </c>
      <c r="C142">
        <v>342.13290000000001</v>
      </c>
      <c r="D142" s="1">
        <v>1</v>
      </c>
      <c r="E142">
        <f t="shared" si="1"/>
        <v>506.73451632391971</v>
      </c>
    </row>
    <row r="143" spans="1:5" x14ac:dyDescent="0.4">
      <c r="A143">
        <v>69.798400000000001</v>
      </c>
      <c r="B143">
        <v>29</v>
      </c>
      <c r="C143">
        <v>341.58789999999999</v>
      </c>
      <c r="D143" s="1">
        <v>1</v>
      </c>
      <c r="E143">
        <f t="shared" si="1"/>
        <v>408.85408821565409</v>
      </c>
    </row>
    <row r="144" spans="1:5" x14ac:dyDescent="0.4">
      <c r="A144">
        <v>69.808400000000006</v>
      </c>
      <c r="B144">
        <v>27</v>
      </c>
      <c r="C144">
        <v>341.67219999999998</v>
      </c>
      <c r="D144" s="1">
        <v>1</v>
      </c>
      <c r="E144">
        <f t="shared" si="1"/>
        <v>380.56333585231698</v>
      </c>
    </row>
    <row r="145" spans="1:5" x14ac:dyDescent="0.4">
      <c r="A145">
        <v>69.818399999999997</v>
      </c>
      <c r="B145">
        <v>31</v>
      </c>
      <c r="C145">
        <v>341.57080000000002</v>
      </c>
      <c r="D145" s="1">
        <v>1</v>
      </c>
      <c r="E145">
        <f t="shared" si="1"/>
        <v>437.07280189055973</v>
      </c>
    </row>
    <row r="146" spans="1:5" x14ac:dyDescent="0.4">
      <c r="A146">
        <v>69.828400000000002</v>
      </c>
      <c r="B146">
        <v>14</v>
      </c>
      <c r="C146">
        <v>341.4049</v>
      </c>
      <c r="D146" s="1">
        <v>1</v>
      </c>
      <c r="E146">
        <f t="shared" si="1"/>
        <v>197.48363424192215</v>
      </c>
    </row>
    <row r="147" spans="1:5" x14ac:dyDescent="0.4">
      <c r="A147">
        <v>69.838399999999993</v>
      </c>
      <c r="B147">
        <v>16</v>
      </c>
      <c r="C147">
        <v>341.53890000000001</v>
      </c>
      <c r="D147" s="1">
        <v>1</v>
      </c>
      <c r="E147">
        <f t="shared" si="1"/>
        <v>225.60703217115238</v>
      </c>
    </row>
    <row r="148" spans="1:5" x14ac:dyDescent="0.4">
      <c r="A148">
        <v>69.848399999999998</v>
      </c>
      <c r="B148">
        <v>13</v>
      </c>
      <c r="C148">
        <v>341.47989999999999</v>
      </c>
      <c r="D148" s="1">
        <v>1</v>
      </c>
      <c r="E148">
        <f t="shared" si="1"/>
        <v>183.33738471869063</v>
      </c>
    </row>
    <row r="149" spans="1:5" x14ac:dyDescent="0.4">
      <c r="A149">
        <v>69.858400000000003</v>
      </c>
      <c r="B149">
        <v>19</v>
      </c>
      <c r="C149">
        <v>341.68060000000003</v>
      </c>
      <c r="D149" s="1">
        <v>1</v>
      </c>
      <c r="E149">
        <f t="shared" si="1"/>
        <v>267.79724514649064</v>
      </c>
    </row>
    <row r="150" spans="1:5" x14ac:dyDescent="0.4">
      <c r="A150">
        <v>69.868399999999994</v>
      </c>
      <c r="B150">
        <v>13</v>
      </c>
      <c r="C150">
        <v>341.4932</v>
      </c>
      <c r="D150" s="1">
        <v>1</v>
      </c>
      <c r="E150">
        <f t="shared" ref="E150:E213" si="2">$A$1*B150/C150</f>
        <v>183.33024435039997</v>
      </c>
    </row>
    <row r="151" spans="1:5" x14ac:dyDescent="0.4">
      <c r="A151">
        <v>69.878399999999999</v>
      </c>
      <c r="B151">
        <v>8</v>
      </c>
      <c r="C151">
        <v>341.44779999999997</v>
      </c>
      <c r="D151" s="1">
        <v>1</v>
      </c>
      <c r="E151">
        <f t="shared" si="2"/>
        <v>112.83361263420062</v>
      </c>
    </row>
    <row r="152" spans="1:5" x14ac:dyDescent="0.4">
      <c r="A152">
        <v>69.888400000000004</v>
      </c>
      <c r="B152">
        <v>4</v>
      </c>
      <c r="C152">
        <v>341.19580000000002</v>
      </c>
      <c r="D152" s="1">
        <v>1</v>
      </c>
      <c r="E152">
        <f t="shared" si="2"/>
        <v>56.458474576767941</v>
      </c>
    </row>
    <row r="153" spans="1:5" x14ac:dyDescent="0.4">
      <c r="A153">
        <v>69.898399999999995</v>
      </c>
      <c r="B153">
        <v>2</v>
      </c>
      <c r="C153">
        <v>341.72039999999998</v>
      </c>
      <c r="D153" s="1">
        <v>1</v>
      </c>
      <c r="E153">
        <f t="shared" si="2"/>
        <v>28.1859005198402</v>
      </c>
    </row>
    <row r="154" spans="1:5" x14ac:dyDescent="0.4">
      <c r="A154">
        <v>69.9084</v>
      </c>
      <c r="B154">
        <v>7</v>
      </c>
      <c r="C154">
        <v>341.27699999999999</v>
      </c>
      <c r="D154" s="1">
        <v>1</v>
      </c>
      <c r="E154">
        <f t="shared" si="2"/>
        <v>98.778822481444706</v>
      </c>
    </row>
    <row r="155" spans="1:5" x14ac:dyDescent="0.4">
      <c r="A155">
        <v>69.918400000000005</v>
      </c>
      <c r="B155">
        <v>11</v>
      </c>
      <c r="C155">
        <v>341.55529999999999</v>
      </c>
      <c r="D155" s="1">
        <v>1</v>
      </c>
      <c r="E155">
        <f t="shared" si="2"/>
        <v>155.09738715809709</v>
      </c>
    </row>
    <row r="156" spans="1:5" x14ac:dyDescent="0.4">
      <c r="A156">
        <v>69.928399999999996</v>
      </c>
      <c r="B156">
        <v>3</v>
      </c>
      <c r="C156">
        <v>341.2851</v>
      </c>
      <c r="D156" s="1">
        <v>1</v>
      </c>
      <c r="E156">
        <f t="shared" si="2"/>
        <v>42.332776321028959</v>
      </c>
    </row>
    <row r="157" spans="1:5" x14ac:dyDescent="0.4">
      <c r="A157">
        <v>69.938400000000001</v>
      </c>
      <c r="B157">
        <v>3</v>
      </c>
      <c r="C157">
        <v>340.86900000000003</v>
      </c>
      <c r="D157" s="1">
        <v>1</v>
      </c>
      <c r="E157">
        <f t="shared" si="2"/>
        <v>42.384452091565961</v>
      </c>
    </row>
    <row r="158" spans="1:5" x14ac:dyDescent="0.4">
      <c r="A158">
        <v>69.948400000000007</v>
      </c>
      <c r="B158">
        <v>4</v>
      </c>
      <c r="C158">
        <v>341.13119999999998</v>
      </c>
      <c r="D158" s="1">
        <v>1</v>
      </c>
      <c r="E158">
        <f t="shared" si="2"/>
        <v>56.469166115559062</v>
      </c>
    </row>
    <row r="159" spans="1:5" x14ac:dyDescent="0.4">
      <c r="A159">
        <v>69.958399999999997</v>
      </c>
      <c r="B159">
        <v>4</v>
      </c>
      <c r="C159">
        <v>341.0523</v>
      </c>
      <c r="D159" s="1">
        <v>1</v>
      </c>
      <c r="E159">
        <f t="shared" si="2"/>
        <v>56.482229851550628</v>
      </c>
    </row>
    <row r="160" spans="1:5" x14ac:dyDescent="0.4">
      <c r="A160">
        <v>69.968400000000003</v>
      </c>
      <c r="B160">
        <v>9</v>
      </c>
      <c r="C160">
        <v>341.07659999999998</v>
      </c>
      <c r="D160" s="1">
        <v>1</v>
      </c>
      <c r="E160">
        <f t="shared" si="2"/>
        <v>127.07596299482287</v>
      </c>
    </row>
    <row r="161" spans="1:5" x14ac:dyDescent="0.4">
      <c r="A161">
        <v>69.978399999999993</v>
      </c>
      <c r="B161">
        <v>9</v>
      </c>
      <c r="C161">
        <v>340.6112</v>
      </c>
      <c r="D161" s="1">
        <v>1</v>
      </c>
      <c r="E161">
        <f t="shared" si="2"/>
        <v>127.24959543315076</v>
      </c>
    </row>
    <row r="162" spans="1:5" x14ac:dyDescent="0.4">
      <c r="A162">
        <v>69.988399999999999</v>
      </c>
      <c r="B162">
        <v>3</v>
      </c>
      <c r="C162">
        <v>340.66840000000002</v>
      </c>
      <c r="D162" s="1">
        <v>1</v>
      </c>
      <c r="E162">
        <f t="shared" si="2"/>
        <v>42.409409854274713</v>
      </c>
    </row>
    <row r="163" spans="1:5" x14ac:dyDescent="0.4">
      <c r="A163">
        <v>69.998400000000004</v>
      </c>
      <c r="B163">
        <v>3</v>
      </c>
      <c r="C163">
        <v>340.98079999999999</v>
      </c>
      <c r="D163" s="1">
        <v>1</v>
      </c>
      <c r="E163">
        <f t="shared" si="2"/>
        <v>42.370555174954134</v>
      </c>
    </row>
    <row r="164" spans="1:5" x14ac:dyDescent="0.4">
      <c r="A164">
        <v>70.008399999999995</v>
      </c>
      <c r="B164">
        <v>2</v>
      </c>
      <c r="C164">
        <v>340.70670000000001</v>
      </c>
      <c r="D164" s="1">
        <v>1</v>
      </c>
      <c r="E164">
        <f t="shared" si="2"/>
        <v>28.269761645426993</v>
      </c>
    </row>
    <row r="165" spans="1:5" x14ac:dyDescent="0.4">
      <c r="A165">
        <v>70.0184</v>
      </c>
      <c r="B165">
        <v>1</v>
      </c>
      <c r="C165">
        <v>340.68209999999999</v>
      </c>
      <c r="D165" s="1">
        <v>1</v>
      </c>
      <c r="E165">
        <f t="shared" si="2"/>
        <v>14.135901475304985</v>
      </c>
    </row>
    <row r="166" spans="1:5" x14ac:dyDescent="0.4">
      <c r="A166">
        <v>70.028400000000005</v>
      </c>
      <c r="B166">
        <v>2</v>
      </c>
      <c r="C166">
        <v>340.28230000000002</v>
      </c>
      <c r="D166" s="1">
        <v>1</v>
      </c>
      <c r="E166">
        <f t="shared" si="2"/>
        <v>28.305019685126144</v>
      </c>
    </row>
    <row r="167" spans="1:5" x14ac:dyDescent="0.4">
      <c r="A167">
        <v>70.038399999999996</v>
      </c>
      <c r="B167">
        <v>2</v>
      </c>
      <c r="C167">
        <v>340.4803</v>
      </c>
      <c r="D167" s="1">
        <v>1</v>
      </c>
      <c r="E167">
        <f t="shared" si="2"/>
        <v>28.288559426198816</v>
      </c>
    </row>
    <row r="168" spans="1:5" x14ac:dyDescent="0.4">
      <c r="A168">
        <v>70.048400000000001</v>
      </c>
      <c r="B168">
        <v>1</v>
      </c>
      <c r="C168">
        <v>340.90140000000002</v>
      </c>
      <c r="D168" s="1">
        <v>1</v>
      </c>
      <c r="E168">
        <f t="shared" si="2"/>
        <v>14.126807927453509</v>
      </c>
    </row>
    <row r="169" spans="1:5" x14ac:dyDescent="0.4">
      <c r="A169">
        <v>70.058400000000006</v>
      </c>
      <c r="B169">
        <v>2</v>
      </c>
      <c r="C169">
        <v>340.80560000000003</v>
      </c>
      <c r="D169" s="1">
        <v>1</v>
      </c>
      <c r="E169">
        <f t="shared" si="2"/>
        <v>28.261557908672863</v>
      </c>
    </row>
    <row r="170" spans="1:5" x14ac:dyDescent="0.4">
      <c r="A170">
        <v>70.068399999999997</v>
      </c>
      <c r="B170">
        <v>1</v>
      </c>
      <c r="C170">
        <v>340.74360000000001</v>
      </c>
      <c r="D170" s="1">
        <v>1</v>
      </c>
      <c r="E170">
        <f t="shared" si="2"/>
        <v>14.133350120148991</v>
      </c>
    </row>
    <row r="171" spans="1:5" x14ac:dyDescent="0.4">
      <c r="A171">
        <v>70.078400000000002</v>
      </c>
      <c r="B171">
        <v>1</v>
      </c>
      <c r="C171">
        <v>340.64240000000001</v>
      </c>
      <c r="D171" s="1">
        <v>1</v>
      </c>
      <c r="E171">
        <f t="shared" si="2"/>
        <v>14.137548936949717</v>
      </c>
    </row>
    <row r="172" spans="1:5" x14ac:dyDescent="0.4">
      <c r="A172">
        <v>70.088399999999993</v>
      </c>
      <c r="B172">
        <v>0</v>
      </c>
      <c r="C172">
        <v>340.6114</v>
      </c>
      <c r="D172" s="1">
        <v>1</v>
      </c>
      <c r="E172">
        <f t="shared" si="2"/>
        <v>0</v>
      </c>
    </row>
    <row r="173" spans="1:5" x14ac:dyDescent="0.4">
      <c r="A173">
        <v>70.098399999999998</v>
      </c>
      <c r="B173">
        <v>0</v>
      </c>
      <c r="C173">
        <v>340.7244</v>
      </c>
      <c r="D173" s="1">
        <v>1</v>
      </c>
      <c r="E173">
        <f t="shared" si="2"/>
        <v>0</v>
      </c>
    </row>
    <row r="174" spans="1:5" x14ac:dyDescent="0.4">
      <c r="A174">
        <v>70.108400000000003</v>
      </c>
      <c r="B174">
        <v>0</v>
      </c>
      <c r="C174">
        <v>340.10079999999999</v>
      </c>
      <c r="D174" s="1">
        <v>1</v>
      </c>
      <c r="E174">
        <f t="shared" si="2"/>
        <v>0</v>
      </c>
    </row>
    <row r="175" spans="1:5" x14ac:dyDescent="0.4">
      <c r="A175">
        <v>70.118399999999994</v>
      </c>
      <c r="B175">
        <v>1</v>
      </c>
      <c r="C175">
        <v>340.45780000000002</v>
      </c>
      <c r="D175" s="1">
        <v>1</v>
      </c>
      <c r="E175">
        <f t="shared" si="2"/>
        <v>14.145214472983142</v>
      </c>
    </row>
    <row r="176" spans="1:5" x14ac:dyDescent="0.4">
      <c r="A176">
        <v>70.128399999999999</v>
      </c>
      <c r="B176">
        <v>0</v>
      </c>
      <c r="C176">
        <v>340.40109999999999</v>
      </c>
      <c r="D176" s="1">
        <v>1</v>
      </c>
      <c r="E176">
        <f t="shared" si="2"/>
        <v>0</v>
      </c>
    </row>
    <row r="177" spans="1:5" x14ac:dyDescent="0.4">
      <c r="A177">
        <v>70.138400000000004</v>
      </c>
      <c r="B177">
        <v>0</v>
      </c>
      <c r="C177">
        <v>340.46960000000001</v>
      </c>
      <c r="D177" s="1">
        <v>1</v>
      </c>
      <c r="E177">
        <f t="shared" si="2"/>
        <v>0</v>
      </c>
    </row>
    <row r="178" spans="1:5" x14ac:dyDescent="0.4">
      <c r="A178">
        <v>70.148399999999995</v>
      </c>
      <c r="B178">
        <v>0</v>
      </c>
      <c r="C178">
        <v>340.70060000000001</v>
      </c>
      <c r="D178" s="1">
        <v>1</v>
      </c>
      <c r="E178">
        <f t="shared" si="2"/>
        <v>0</v>
      </c>
    </row>
    <row r="179" spans="1:5" x14ac:dyDescent="0.4">
      <c r="A179">
        <v>70.1584</v>
      </c>
      <c r="B179">
        <v>2</v>
      </c>
      <c r="C179">
        <v>340.57960000000003</v>
      </c>
      <c r="D179" s="1">
        <v>1</v>
      </c>
      <c r="E179">
        <f t="shared" si="2"/>
        <v>28.280311562994378</v>
      </c>
    </row>
    <row r="180" spans="1:5" x14ac:dyDescent="0.4">
      <c r="A180">
        <v>70.168400000000005</v>
      </c>
      <c r="B180">
        <v>1</v>
      </c>
      <c r="C180">
        <v>340.86630000000002</v>
      </c>
      <c r="D180" s="1">
        <v>1</v>
      </c>
      <c r="E180">
        <f t="shared" si="2"/>
        <v>14.128262606188995</v>
      </c>
    </row>
    <row r="181" spans="1:5" x14ac:dyDescent="0.4">
      <c r="A181">
        <v>70.178399999999996</v>
      </c>
      <c r="B181">
        <v>2</v>
      </c>
      <c r="C181">
        <v>340.89830000000001</v>
      </c>
      <c r="D181" s="1">
        <v>1</v>
      </c>
      <c r="E181">
        <f t="shared" si="2"/>
        <v>28.25387278258648</v>
      </c>
    </row>
    <row r="182" spans="1:5" x14ac:dyDescent="0.4">
      <c r="A182">
        <v>70.188400000000001</v>
      </c>
      <c r="B182">
        <v>1</v>
      </c>
      <c r="C182">
        <v>341.33850000000001</v>
      </c>
      <c r="D182" s="1">
        <v>1</v>
      </c>
      <c r="E182">
        <f t="shared" si="2"/>
        <v>14.108717885617942</v>
      </c>
    </row>
    <row r="183" spans="1:5" x14ac:dyDescent="0.4">
      <c r="A183">
        <v>70.198400000000007</v>
      </c>
      <c r="B183">
        <v>1</v>
      </c>
      <c r="C183">
        <v>341.66609999999997</v>
      </c>
      <c r="D183" s="1">
        <v>1</v>
      </c>
      <c r="E183">
        <f t="shared" si="2"/>
        <v>14.095190011534655</v>
      </c>
    </row>
    <row r="184" spans="1:5" x14ac:dyDescent="0.4">
      <c r="A184">
        <v>70.208399999999997</v>
      </c>
      <c r="B184">
        <v>0</v>
      </c>
      <c r="C184">
        <v>341.5806</v>
      </c>
      <c r="D184" s="1">
        <v>1</v>
      </c>
      <c r="E184">
        <f t="shared" si="2"/>
        <v>0</v>
      </c>
    </row>
    <row r="185" spans="1:5" x14ac:dyDescent="0.4">
      <c r="A185">
        <v>70.218400000000003</v>
      </c>
      <c r="B185">
        <v>1</v>
      </c>
      <c r="C185">
        <v>341.84620000000001</v>
      </c>
      <c r="D185" s="1">
        <v>1</v>
      </c>
      <c r="E185">
        <f t="shared" si="2"/>
        <v>14.087764029554812</v>
      </c>
    </row>
    <row r="186" spans="1:5" x14ac:dyDescent="0.4">
      <c r="A186">
        <v>70.228399999999993</v>
      </c>
      <c r="B186">
        <v>1</v>
      </c>
      <c r="C186">
        <v>341.6737</v>
      </c>
      <c r="D186" s="1">
        <v>1</v>
      </c>
      <c r="E186">
        <f t="shared" si="2"/>
        <v>14.094876485957217</v>
      </c>
    </row>
    <row r="187" spans="1:5" x14ac:dyDescent="0.4">
      <c r="A187">
        <v>70.238399999999999</v>
      </c>
      <c r="B187">
        <v>2</v>
      </c>
      <c r="C187">
        <v>341.48410000000001</v>
      </c>
      <c r="D187" s="1">
        <v>1</v>
      </c>
      <c r="E187">
        <f t="shared" si="2"/>
        <v>28.205404585455078</v>
      </c>
    </row>
    <row r="188" spans="1:5" x14ac:dyDescent="0.4">
      <c r="A188">
        <v>70.248400000000004</v>
      </c>
      <c r="B188">
        <v>1</v>
      </c>
      <c r="C188">
        <v>341.56790000000001</v>
      </c>
      <c r="D188" s="1">
        <v>1</v>
      </c>
      <c r="E188">
        <f t="shared" si="2"/>
        <v>14.099242346836457</v>
      </c>
    </row>
    <row r="189" spans="1:5" x14ac:dyDescent="0.4">
      <c r="A189">
        <v>70.258399999999995</v>
      </c>
      <c r="B189">
        <v>1</v>
      </c>
      <c r="C189">
        <v>341.34280000000001</v>
      </c>
      <c r="D189" s="1">
        <v>1</v>
      </c>
      <c r="E189">
        <f t="shared" si="2"/>
        <v>14.108540153769173</v>
      </c>
    </row>
    <row r="190" spans="1:5" x14ac:dyDescent="0.4">
      <c r="A190">
        <v>70.2684</v>
      </c>
      <c r="B190">
        <v>1</v>
      </c>
      <c r="C190">
        <v>341.18689999999998</v>
      </c>
      <c r="D190" s="1">
        <v>1</v>
      </c>
      <c r="E190">
        <f t="shared" si="2"/>
        <v>14.114986829799152</v>
      </c>
    </row>
    <row r="191" spans="1:5" x14ac:dyDescent="0.4">
      <c r="A191">
        <v>70.278400000000005</v>
      </c>
      <c r="B191">
        <v>0</v>
      </c>
      <c r="C191">
        <v>341.02969999999999</v>
      </c>
      <c r="D191" s="1">
        <v>1</v>
      </c>
      <c r="E191">
        <f t="shared" si="2"/>
        <v>0</v>
      </c>
    </row>
    <row r="192" spans="1:5" x14ac:dyDescent="0.4">
      <c r="A192">
        <v>70.288399999999996</v>
      </c>
      <c r="B192">
        <v>0</v>
      </c>
      <c r="C192">
        <v>340.60520000000002</v>
      </c>
      <c r="D192" s="1">
        <v>1</v>
      </c>
      <c r="E192">
        <f t="shared" si="2"/>
        <v>0</v>
      </c>
    </row>
    <row r="193" spans="1:5" x14ac:dyDescent="0.4">
      <c r="A193">
        <v>70.298400000000001</v>
      </c>
      <c r="B193">
        <v>0</v>
      </c>
      <c r="C193">
        <v>340.45740000000001</v>
      </c>
      <c r="D193" s="1">
        <v>1</v>
      </c>
      <c r="E193">
        <f t="shared" si="2"/>
        <v>0</v>
      </c>
    </row>
    <row r="194" spans="1:5" x14ac:dyDescent="0.4">
      <c r="A194">
        <v>70.308400000000006</v>
      </c>
      <c r="B194">
        <v>1</v>
      </c>
      <c r="C194">
        <v>340.0548</v>
      </c>
      <c r="D194" s="1">
        <v>1</v>
      </c>
      <c r="E194">
        <f t="shared" si="2"/>
        <v>14.161978010602997</v>
      </c>
    </row>
    <row r="195" spans="1:5" x14ac:dyDescent="0.4">
      <c r="A195">
        <v>70.318399999999997</v>
      </c>
      <c r="B195">
        <v>0</v>
      </c>
      <c r="C195">
        <v>340.05259999999998</v>
      </c>
      <c r="D195" s="1">
        <v>1</v>
      </c>
      <c r="E195">
        <f t="shared" si="2"/>
        <v>0</v>
      </c>
    </row>
    <row r="196" spans="1:5" x14ac:dyDescent="0.4">
      <c r="A196">
        <v>70.328400000000002</v>
      </c>
      <c r="B196">
        <v>0</v>
      </c>
      <c r="C196">
        <v>339.77539999999999</v>
      </c>
      <c r="D196" s="1">
        <v>1</v>
      </c>
      <c r="E196">
        <f t="shared" si="2"/>
        <v>0</v>
      </c>
    </row>
    <row r="197" spans="1:5" x14ac:dyDescent="0.4">
      <c r="A197">
        <v>70.338399999999993</v>
      </c>
      <c r="B197">
        <v>0</v>
      </c>
      <c r="C197">
        <v>339.6841</v>
      </c>
      <c r="D197" s="1">
        <v>1</v>
      </c>
      <c r="E197">
        <f t="shared" si="2"/>
        <v>0</v>
      </c>
    </row>
    <row r="198" spans="1:5" x14ac:dyDescent="0.4">
      <c r="A198">
        <v>70.348399999999998</v>
      </c>
      <c r="B198">
        <v>1</v>
      </c>
      <c r="C198">
        <v>339.67970000000003</v>
      </c>
      <c r="D198" s="1">
        <v>1</v>
      </c>
      <c r="E198">
        <f t="shared" si="2"/>
        <v>14.177616737179171</v>
      </c>
    </row>
    <row r="199" spans="1:5" x14ac:dyDescent="0.4">
      <c r="A199">
        <v>70.358400000000003</v>
      </c>
      <c r="B199">
        <v>1</v>
      </c>
      <c r="C199">
        <v>340.1026</v>
      </c>
      <c r="D199" s="1">
        <v>1</v>
      </c>
      <c r="E199">
        <f t="shared" si="2"/>
        <v>14.159987603740754</v>
      </c>
    </row>
    <row r="200" spans="1:5" x14ac:dyDescent="0.4">
      <c r="A200">
        <v>70.368399999999994</v>
      </c>
      <c r="B200">
        <v>1</v>
      </c>
      <c r="C200">
        <v>339.95460000000003</v>
      </c>
      <c r="D200" s="1">
        <v>1</v>
      </c>
      <c r="E200">
        <f t="shared" si="2"/>
        <v>14.166152186203687</v>
      </c>
    </row>
    <row r="201" spans="1:5" x14ac:dyDescent="0.4">
      <c r="A201">
        <v>70.378399999999999</v>
      </c>
      <c r="B201">
        <v>0</v>
      </c>
      <c r="C201">
        <v>340.13670000000002</v>
      </c>
      <c r="D201" s="1">
        <v>1</v>
      </c>
      <c r="E201">
        <f t="shared" si="2"/>
        <v>0</v>
      </c>
    </row>
    <row r="202" spans="1:5" x14ac:dyDescent="0.4">
      <c r="A202">
        <v>70.388400000000004</v>
      </c>
      <c r="B202">
        <v>2</v>
      </c>
      <c r="C202">
        <v>340.11579999999998</v>
      </c>
      <c r="D202" s="1">
        <v>1</v>
      </c>
      <c r="E202">
        <f t="shared" si="2"/>
        <v>28.318876100434032</v>
      </c>
    </row>
    <row r="203" spans="1:5" x14ac:dyDescent="0.4">
      <c r="A203">
        <v>70.398399999999995</v>
      </c>
      <c r="B203">
        <v>2</v>
      </c>
      <c r="C203">
        <v>340.29610000000002</v>
      </c>
      <c r="D203" s="1">
        <v>1</v>
      </c>
      <c r="E203">
        <f t="shared" si="2"/>
        <v>28.303871833970476</v>
      </c>
    </row>
    <row r="204" spans="1:5" x14ac:dyDescent="0.4">
      <c r="A204">
        <v>70.4084</v>
      </c>
      <c r="B204">
        <v>1</v>
      </c>
      <c r="C204">
        <v>340.10359999999997</v>
      </c>
      <c r="D204" s="1">
        <v>1</v>
      </c>
      <c r="E204">
        <f t="shared" si="2"/>
        <v>14.159945969404619</v>
      </c>
    </row>
    <row r="205" spans="1:5" x14ac:dyDescent="0.4">
      <c r="A205">
        <v>70.418400000000005</v>
      </c>
      <c r="B205">
        <v>0</v>
      </c>
      <c r="C205">
        <v>340.25920000000002</v>
      </c>
      <c r="D205" s="1">
        <v>1</v>
      </c>
      <c r="E205">
        <f t="shared" si="2"/>
        <v>0</v>
      </c>
    </row>
    <row r="206" spans="1:5" x14ac:dyDescent="0.4">
      <c r="A206">
        <v>70.428399999999996</v>
      </c>
      <c r="B206">
        <v>0</v>
      </c>
      <c r="C206">
        <v>340.5224</v>
      </c>
      <c r="D206" s="1">
        <v>1</v>
      </c>
      <c r="E206">
        <f t="shared" si="2"/>
        <v>0</v>
      </c>
    </row>
    <row r="207" spans="1:5" x14ac:dyDescent="0.4">
      <c r="A207">
        <v>70.438400000000001</v>
      </c>
      <c r="B207">
        <v>0</v>
      </c>
      <c r="C207">
        <v>340.00139999999999</v>
      </c>
      <c r="D207" s="1">
        <v>1</v>
      </c>
      <c r="E207">
        <f t="shared" si="2"/>
        <v>0</v>
      </c>
    </row>
    <row r="208" spans="1:5" x14ac:dyDescent="0.4">
      <c r="A208">
        <v>70.448400000000007</v>
      </c>
      <c r="B208">
        <v>6</v>
      </c>
      <c r="C208">
        <v>339.9828</v>
      </c>
      <c r="D208" s="1">
        <v>1</v>
      </c>
      <c r="E208">
        <f t="shared" si="2"/>
        <v>84.989863016599656</v>
      </c>
    </row>
    <row r="209" spans="1:5" x14ac:dyDescent="0.4">
      <c r="A209">
        <v>70.458399999999997</v>
      </c>
      <c r="B209">
        <v>0</v>
      </c>
      <c r="C209">
        <v>339.8775</v>
      </c>
      <c r="D209" s="1">
        <v>1</v>
      </c>
      <c r="E209">
        <f t="shared" si="2"/>
        <v>0</v>
      </c>
    </row>
    <row r="210" spans="1:5" x14ac:dyDescent="0.4">
      <c r="A210">
        <v>70.468400000000003</v>
      </c>
      <c r="B210">
        <v>0</v>
      </c>
      <c r="C210">
        <v>339.95699999999999</v>
      </c>
      <c r="D210" s="1">
        <v>1</v>
      </c>
      <c r="E210">
        <f t="shared" si="2"/>
        <v>0</v>
      </c>
    </row>
    <row r="211" spans="1:5" x14ac:dyDescent="0.4">
      <c r="A211">
        <v>70.478399999999993</v>
      </c>
      <c r="B211">
        <v>1</v>
      </c>
      <c r="C211">
        <v>340.46589999999998</v>
      </c>
      <c r="D211" s="1">
        <v>1</v>
      </c>
      <c r="E211">
        <f t="shared" si="2"/>
        <v>14.144877945192164</v>
      </c>
    </row>
    <row r="212" spans="1:5" x14ac:dyDescent="0.4">
      <c r="A212">
        <v>70.488399999999999</v>
      </c>
      <c r="B212">
        <v>1</v>
      </c>
      <c r="C212">
        <v>340.25979999999998</v>
      </c>
      <c r="D212" s="1">
        <v>1</v>
      </c>
      <c r="E212">
        <f t="shared" si="2"/>
        <v>14.153445690616406</v>
      </c>
    </row>
    <row r="213" spans="1:5" x14ac:dyDescent="0.4">
      <c r="A213">
        <v>70.498400000000004</v>
      </c>
      <c r="B213">
        <v>0</v>
      </c>
      <c r="C213">
        <v>340.31220000000002</v>
      </c>
      <c r="D213" s="1">
        <v>1</v>
      </c>
      <c r="E213">
        <f t="shared" si="2"/>
        <v>0</v>
      </c>
    </row>
    <row r="214" spans="1:5" x14ac:dyDescent="0.4">
      <c r="A214">
        <v>70.508399999999995</v>
      </c>
      <c r="B214">
        <v>0</v>
      </c>
      <c r="C214">
        <v>340.23759999999999</v>
      </c>
      <c r="D214" s="1">
        <v>1</v>
      </c>
      <c r="E214">
        <f t="shared" ref="E214:E222" si="3">$A$1*B214/C214</f>
        <v>0</v>
      </c>
    </row>
    <row r="215" spans="1:5" x14ac:dyDescent="0.4">
      <c r="A215">
        <v>70.5184</v>
      </c>
      <c r="B215">
        <v>1</v>
      </c>
      <c r="C215">
        <v>339.87729999999999</v>
      </c>
      <c r="D215" s="1">
        <v>1</v>
      </c>
      <c r="E215">
        <f t="shared" si="3"/>
        <v>14.169374065287681</v>
      </c>
    </row>
    <row r="216" spans="1:5" x14ac:dyDescent="0.4">
      <c r="A216">
        <v>70.528400000000005</v>
      </c>
      <c r="B216">
        <v>1</v>
      </c>
      <c r="C216">
        <v>339.89960000000002</v>
      </c>
      <c r="D216" s="1">
        <v>1</v>
      </c>
      <c r="E216">
        <f t="shared" si="3"/>
        <v>14.168444446536565</v>
      </c>
    </row>
    <row r="217" spans="1:5" x14ac:dyDescent="0.4">
      <c r="A217">
        <v>70.538399999999996</v>
      </c>
      <c r="B217">
        <v>0</v>
      </c>
      <c r="C217">
        <v>340.3535</v>
      </c>
      <c r="D217" s="1">
        <v>1</v>
      </c>
      <c r="E217">
        <f t="shared" si="3"/>
        <v>0</v>
      </c>
    </row>
    <row r="218" spans="1:5" x14ac:dyDescent="0.4">
      <c r="A218">
        <v>70.548400000000001</v>
      </c>
      <c r="B218">
        <v>0</v>
      </c>
      <c r="C218">
        <v>340.40120000000002</v>
      </c>
      <c r="D218" s="1">
        <v>1</v>
      </c>
      <c r="E218">
        <f t="shared" si="3"/>
        <v>0</v>
      </c>
    </row>
    <row r="219" spans="1:5" x14ac:dyDescent="0.4">
      <c r="A219">
        <v>70.558400000000006</v>
      </c>
      <c r="B219">
        <v>0</v>
      </c>
      <c r="C219">
        <v>340.37560000000002</v>
      </c>
      <c r="D219" s="1">
        <v>1</v>
      </c>
      <c r="E219">
        <f t="shared" si="3"/>
        <v>0</v>
      </c>
    </row>
    <row r="220" spans="1:5" x14ac:dyDescent="0.4">
      <c r="A220">
        <v>70.568399999999997</v>
      </c>
      <c r="B220">
        <v>1</v>
      </c>
      <c r="C220">
        <v>340.3075</v>
      </c>
      <c r="D220" s="1">
        <v>1</v>
      </c>
      <c r="E220">
        <f t="shared" si="3"/>
        <v>14.151461839659721</v>
      </c>
    </row>
    <row r="221" spans="1:5" x14ac:dyDescent="0.4">
      <c r="A221">
        <v>70.578400000000002</v>
      </c>
      <c r="B221">
        <v>0</v>
      </c>
      <c r="C221">
        <v>340.21800000000002</v>
      </c>
      <c r="D221" s="1">
        <v>1</v>
      </c>
      <c r="E221">
        <f t="shared" si="3"/>
        <v>0</v>
      </c>
    </row>
    <row r="222" spans="1:5" x14ac:dyDescent="0.4">
      <c r="A222">
        <v>70.588399999999993</v>
      </c>
      <c r="B222">
        <v>0</v>
      </c>
      <c r="C222">
        <v>339.96730000000002</v>
      </c>
      <c r="D222" s="1">
        <v>1</v>
      </c>
      <c r="E222">
        <f t="shared" si="3"/>
        <v>0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942B-E442-43C7-AF10-6C2311F59900}">
  <dimension ref="A1:E222"/>
  <sheetViews>
    <sheetView workbookViewId="0">
      <selection activeCell="A26" sqref="A26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53</v>
      </c>
    </row>
    <row r="4" spans="1:1" x14ac:dyDescent="0.4">
      <c r="A4" t="s">
        <v>54</v>
      </c>
    </row>
    <row r="5" spans="1:1" x14ac:dyDescent="0.4">
      <c r="A5" t="s">
        <v>45</v>
      </c>
    </row>
    <row r="6" spans="1:1" x14ac:dyDescent="0.4">
      <c r="A6" t="s">
        <v>46</v>
      </c>
    </row>
    <row r="7" spans="1:1" x14ac:dyDescent="0.4">
      <c r="A7" t="s">
        <v>47</v>
      </c>
    </row>
    <row r="8" spans="1:1" x14ac:dyDescent="0.4">
      <c r="A8" t="s">
        <v>5</v>
      </c>
    </row>
    <row r="9" spans="1:1" x14ac:dyDescent="0.4">
      <c r="A9" t="s">
        <v>48</v>
      </c>
    </row>
    <row r="10" spans="1:1" x14ac:dyDescent="0.4">
      <c r="A10" t="s">
        <v>7</v>
      </c>
    </row>
    <row r="11" spans="1:1" x14ac:dyDescent="0.4">
      <c r="A11" t="s">
        <v>49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50</v>
      </c>
      <c r="B19" t="s">
        <v>51</v>
      </c>
    </row>
    <row r="20" spans="1:5" x14ac:dyDescent="0.4">
      <c r="A20" t="s">
        <v>18</v>
      </c>
      <c r="B20" t="s">
        <v>19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68.588399999999993</v>
      </c>
      <c r="B22">
        <v>5</v>
      </c>
      <c r="C22">
        <v>3389.0839999999998</v>
      </c>
      <c r="D22" s="1">
        <v>1</v>
      </c>
      <c r="E22">
        <f t="shared" ref="E22:E85" si="0">$A$1*B22/C22</f>
        <v>7.1049413351808344</v>
      </c>
    </row>
    <row r="23" spans="1:5" x14ac:dyDescent="0.4">
      <c r="A23">
        <v>68.598399999999998</v>
      </c>
      <c r="B23">
        <v>3</v>
      </c>
      <c r="C23">
        <v>3385.8773999999999</v>
      </c>
      <c r="D23" s="1">
        <v>1</v>
      </c>
      <c r="E23">
        <f t="shared" si="0"/>
        <v>4.2670020479772841</v>
      </c>
    </row>
    <row r="24" spans="1:5" x14ac:dyDescent="0.4">
      <c r="A24">
        <v>68.608400000000003</v>
      </c>
      <c r="B24">
        <v>6</v>
      </c>
      <c r="C24">
        <v>3381.0929000000001</v>
      </c>
      <c r="D24" s="1">
        <v>1</v>
      </c>
      <c r="E24">
        <f t="shared" si="0"/>
        <v>8.5460803517111277</v>
      </c>
    </row>
    <row r="25" spans="1:5" x14ac:dyDescent="0.4">
      <c r="A25">
        <v>68.618399999999994</v>
      </c>
      <c r="B25">
        <v>1</v>
      </c>
      <c r="C25">
        <v>3376.6466999999998</v>
      </c>
      <c r="D25" s="1">
        <v>1</v>
      </c>
      <c r="E25">
        <f t="shared" si="0"/>
        <v>1.4262222340288075</v>
      </c>
    </row>
    <row r="26" spans="1:5" x14ac:dyDescent="0.4">
      <c r="A26">
        <v>68.628399999999999</v>
      </c>
      <c r="B26">
        <v>3</v>
      </c>
      <c r="C26">
        <v>3381.9034000000001</v>
      </c>
      <c r="D26" s="1">
        <v>1</v>
      </c>
      <c r="E26">
        <f t="shared" si="0"/>
        <v>4.2720161078521635</v>
      </c>
    </row>
    <row r="27" spans="1:5" x14ac:dyDescent="0.4">
      <c r="A27">
        <v>68.638400000000004</v>
      </c>
      <c r="B27">
        <v>4</v>
      </c>
      <c r="C27">
        <v>3379.3638000000001</v>
      </c>
      <c r="D27" s="1">
        <v>1</v>
      </c>
      <c r="E27">
        <f t="shared" si="0"/>
        <v>5.7003020509363331</v>
      </c>
    </row>
    <row r="28" spans="1:5" x14ac:dyDescent="0.4">
      <c r="A28">
        <v>68.648399999999995</v>
      </c>
      <c r="B28">
        <v>5</v>
      </c>
      <c r="C28">
        <v>3376.3231999999998</v>
      </c>
      <c r="D28" s="1">
        <v>1</v>
      </c>
      <c r="E28">
        <f t="shared" si="0"/>
        <v>7.1317944324761333</v>
      </c>
    </row>
    <row r="29" spans="1:5" x14ac:dyDescent="0.4">
      <c r="A29">
        <v>68.6584</v>
      </c>
      <c r="B29">
        <v>9</v>
      </c>
      <c r="C29">
        <v>3373.837</v>
      </c>
      <c r="D29" s="1">
        <v>1</v>
      </c>
      <c r="E29">
        <f t="shared" si="0"/>
        <v>12.846689807480326</v>
      </c>
    </row>
    <row r="30" spans="1:5" x14ac:dyDescent="0.4">
      <c r="A30">
        <v>68.668400000000005</v>
      </c>
      <c r="B30">
        <v>4</v>
      </c>
      <c r="C30">
        <v>3365.5711999999999</v>
      </c>
      <c r="D30" s="1">
        <v>1</v>
      </c>
      <c r="E30">
        <f t="shared" si="0"/>
        <v>5.723662717342008</v>
      </c>
    </row>
    <row r="31" spans="1:5" x14ac:dyDescent="0.4">
      <c r="A31">
        <v>68.678399999999996</v>
      </c>
      <c r="B31">
        <v>4</v>
      </c>
      <c r="C31">
        <v>3364.7997999999998</v>
      </c>
      <c r="D31" s="1">
        <v>1</v>
      </c>
      <c r="E31">
        <f t="shared" si="0"/>
        <v>5.7249749004383563</v>
      </c>
    </row>
    <row r="32" spans="1:5" x14ac:dyDescent="0.4">
      <c r="A32">
        <v>68.688400000000001</v>
      </c>
      <c r="B32">
        <v>7</v>
      </c>
      <c r="C32">
        <v>3369.0717</v>
      </c>
      <c r="D32" s="1">
        <v>1</v>
      </c>
      <c r="E32">
        <f t="shared" si="0"/>
        <v>10.006002603031572</v>
      </c>
    </row>
    <row r="33" spans="1:5" x14ac:dyDescent="0.4">
      <c r="A33">
        <v>68.698400000000007</v>
      </c>
      <c r="B33">
        <v>7</v>
      </c>
      <c r="C33">
        <v>3367.4369999999999</v>
      </c>
      <c r="D33" s="1">
        <v>1</v>
      </c>
      <c r="E33">
        <f t="shared" si="0"/>
        <v>10.010859950757803</v>
      </c>
    </row>
    <row r="34" spans="1:5" x14ac:dyDescent="0.4">
      <c r="A34">
        <v>68.708399999999997</v>
      </c>
      <c r="B34">
        <v>8</v>
      </c>
      <c r="C34">
        <v>3362.5</v>
      </c>
      <c r="D34" s="1">
        <v>1</v>
      </c>
      <c r="E34">
        <f t="shared" si="0"/>
        <v>11.457781055762082</v>
      </c>
    </row>
    <row r="35" spans="1:5" x14ac:dyDescent="0.4">
      <c r="A35">
        <v>68.718400000000003</v>
      </c>
      <c r="B35">
        <v>6</v>
      </c>
      <c r="C35">
        <v>3366.8665000000001</v>
      </c>
      <c r="D35" s="1">
        <v>1</v>
      </c>
      <c r="E35">
        <f t="shared" si="0"/>
        <v>8.5821910669757759</v>
      </c>
    </row>
    <row r="36" spans="1:5" x14ac:dyDescent="0.4">
      <c r="A36">
        <v>68.728399999999993</v>
      </c>
      <c r="B36">
        <v>10</v>
      </c>
      <c r="C36">
        <v>3371.7247000000002</v>
      </c>
      <c r="D36" s="1">
        <v>1</v>
      </c>
      <c r="E36">
        <f t="shared" si="0"/>
        <v>14.283042147539508</v>
      </c>
    </row>
    <row r="37" spans="1:5" x14ac:dyDescent="0.4">
      <c r="A37">
        <v>68.738399999999999</v>
      </c>
      <c r="B37">
        <v>13</v>
      </c>
      <c r="C37">
        <v>3378.1572999999999</v>
      </c>
      <c r="D37" s="1">
        <v>1</v>
      </c>
      <c r="E37">
        <f t="shared" si="0"/>
        <v>18.532598171198245</v>
      </c>
    </row>
    <row r="38" spans="1:5" x14ac:dyDescent="0.4">
      <c r="A38">
        <v>68.748400000000004</v>
      </c>
      <c r="B38">
        <v>8</v>
      </c>
      <c r="C38">
        <v>3375.6637999999998</v>
      </c>
      <c r="D38" s="1">
        <v>1</v>
      </c>
      <c r="E38">
        <f t="shared" si="0"/>
        <v>11.413100084196774</v>
      </c>
    </row>
    <row r="39" spans="1:5" x14ac:dyDescent="0.4">
      <c r="A39">
        <v>68.758399999999995</v>
      </c>
      <c r="B39">
        <v>8</v>
      </c>
      <c r="C39">
        <v>3367.8252000000002</v>
      </c>
      <c r="D39" s="1">
        <v>1</v>
      </c>
      <c r="E39">
        <f t="shared" si="0"/>
        <v>11.439664030069018</v>
      </c>
    </row>
    <row r="40" spans="1:5" x14ac:dyDescent="0.4">
      <c r="A40">
        <v>68.7684</v>
      </c>
      <c r="B40">
        <v>6</v>
      </c>
      <c r="C40">
        <v>3361.2066</v>
      </c>
      <c r="D40" s="1">
        <v>1</v>
      </c>
      <c r="E40">
        <f t="shared" si="0"/>
        <v>8.5966425271210642</v>
      </c>
    </row>
    <row r="41" spans="1:5" x14ac:dyDescent="0.4">
      <c r="A41">
        <v>68.778400000000005</v>
      </c>
      <c r="B41">
        <v>11</v>
      </c>
      <c r="C41">
        <v>3352.6262000000002</v>
      </c>
      <c r="D41" s="1">
        <v>1</v>
      </c>
      <c r="E41">
        <f t="shared" si="0"/>
        <v>15.800847288015586</v>
      </c>
    </row>
    <row r="42" spans="1:5" x14ac:dyDescent="0.4">
      <c r="A42">
        <v>68.788399999999996</v>
      </c>
      <c r="B42">
        <v>9</v>
      </c>
      <c r="C42">
        <v>3355.0337</v>
      </c>
      <c r="D42" s="1">
        <v>1</v>
      </c>
      <c r="E42">
        <f t="shared" si="0"/>
        <v>12.918689132690382</v>
      </c>
    </row>
    <row r="43" spans="1:5" x14ac:dyDescent="0.4">
      <c r="A43">
        <v>68.798400000000001</v>
      </c>
      <c r="B43">
        <v>12</v>
      </c>
      <c r="C43">
        <v>3355.7264</v>
      </c>
      <c r="D43" s="1">
        <v>1</v>
      </c>
      <c r="E43">
        <f t="shared" si="0"/>
        <v>17.221363219599787</v>
      </c>
    </row>
    <row r="44" spans="1:5" x14ac:dyDescent="0.4">
      <c r="A44">
        <v>68.808400000000006</v>
      </c>
      <c r="B44">
        <v>5</v>
      </c>
      <c r="C44">
        <v>3361.4123</v>
      </c>
      <c r="D44" s="1">
        <v>1</v>
      </c>
      <c r="E44">
        <f t="shared" si="0"/>
        <v>7.16343038311605</v>
      </c>
    </row>
    <row r="45" spans="1:5" x14ac:dyDescent="0.4">
      <c r="A45">
        <v>68.818399999999997</v>
      </c>
      <c r="B45">
        <v>14</v>
      </c>
      <c r="C45">
        <v>3368.152</v>
      </c>
      <c r="D45" s="1">
        <v>1</v>
      </c>
      <c r="E45">
        <f t="shared" si="0"/>
        <v>20.017469639137428</v>
      </c>
    </row>
    <row r="46" spans="1:5" x14ac:dyDescent="0.4">
      <c r="A46">
        <v>68.828400000000002</v>
      </c>
      <c r="B46">
        <v>12</v>
      </c>
      <c r="C46">
        <v>3360.4625999999998</v>
      </c>
      <c r="D46" s="1">
        <v>1</v>
      </c>
      <c r="E46">
        <f t="shared" si="0"/>
        <v>17.197091614708047</v>
      </c>
    </row>
    <row r="47" spans="1:5" x14ac:dyDescent="0.4">
      <c r="A47">
        <v>68.838399999999993</v>
      </c>
      <c r="B47">
        <v>23</v>
      </c>
      <c r="C47">
        <v>3355.9085</v>
      </c>
      <c r="D47" s="1">
        <v>1</v>
      </c>
      <c r="E47">
        <f t="shared" si="0"/>
        <v>33.005821761826937</v>
      </c>
    </row>
    <row r="48" spans="1:5" x14ac:dyDescent="0.4">
      <c r="A48">
        <v>68.848399999999998</v>
      </c>
      <c r="B48">
        <v>13</v>
      </c>
      <c r="C48">
        <v>3355.4949000000001</v>
      </c>
      <c r="D48" s="1">
        <v>1</v>
      </c>
      <c r="E48">
        <f t="shared" si="0"/>
        <v>18.65776395607098</v>
      </c>
    </row>
    <row r="49" spans="1:5" x14ac:dyDescent="0.4">
      <c r="A49">
        <v>68.858400000000003</v>
      </c>
      <c r="B49">
        <v>16</v>
      </c>
      <c r="C49">
        <v>3352.9555999999998</v>
      </c>
      <c r="D49" s="1">
        <v>1</v>
      </c>
      <c r="E49">
        <f t="shared" si="0"/>
        <v>22.980792707186463</v>
      </c>
    </row>
    <row r="50" spans="1:5" x14ac:dyDescent="0.4">
      <c r="A50">
        <v>68.868399999999994</v>
      </c>
      <c r="B50">
        <v>12</v>
      </c>
      <c r="C50">
        <v>3356.9281999999998</v>
      </c>
      <c r="D50" s="1">
        <v>1</v>
      </c>
      <c r="E50">
        <f t="shared" si="0"/>
        <v>17.21519787048171</v>
      </c>
    </row>
    <row r="51" spans="1:5" x14ac:dyDescent="0.4">
      <c r="A51">
        <v>68.878399999999999</v>
      </c>
      <c r="B51">
        <v>15</v>
      </c>
      <c r="C51">
        <v>3359.1981000000001</v>
      </c>
      <c r="D51" s="1">
        <v>1</v>
      </c>
      <c r="E51">
        <f t="shared" si="0"/>
        <v>21.504456376061896</v>
      </c>
    </row>
    <row r="52" spans="1:5" x14ac:dyDescent="0.4">
      <c r="A52">
        <v>68.888400000000004</v>
      </c>
      <c r="B52">
        <v>18</v>
      </c>
      <c r="C52">
        <v>3353.2577999999999</v>
      </c>
      <c r="D52" s="1">
        <v>1</v>
      </c>
      <c r="E52">
        <f t="shared" si="0"/>
        <v>25.851061853937985</v>
      </c>
    </row>
    <row r="53" spans="1:5" x14ac:dyDescent="0.4">
      <c r="A53">
        <v>68.898399999999995</v>
      </c>
      <c r="B53">
        <v>15</v>
      </c>
      <c r="C53">
        <v>3352.3252000000002</v>
      </c>
      <c r="D53" s="1">
        <v>1</v>
      </c>
      <c r="E53">
        <f t="shared" si="0"/>
        <v>21.548544574374827</v>
      </c>
    </row>
    <row r="54" spans="1:5" x14ac:dyDescent="0.4">
      <c r="A54">
        <v>68.9084</v>
      </c>
      <c r="B54">
        <v>20</v>
      </c>
      <c r="C54">
        <v>3347.0045</v>
      </c>
      <c r="D54" s="1">
        <v>1</v>
      </c>
      <c r="E54">
        <f t="shared" si="0"/>
        <v>28.777066777173442</v>
      </c>
    </row>
    <row r="55" spans="1:5" x14ac:dyDescent="0.4">
      <c r="A55">
        <v>68.918400000000005</v>
      </c>
      <c r="B55">
        <v>21</v>
      </c>
      <c r="C55">
        <v>3348.011</v>
      </c>
      <c r="D55" s="1">
        <v>1</v>
      </c>
      <c r="E55">
        <f t="shared" si="0"/>
        <v>30.206836417204126</v>
      </c>
    </row>
    <row r="56" spans="1:5" x14ac:dyDescent="0.4">
      <c r="A56">
        <v>68.928399999999996</v>
      </c>
      <c r="B56">
        <v>12</v>
      </c>
      <c r="C56">
        <v>3352.5041999999999</v>
      </c>
      <c r="D56" s="1">
        <v>1</v>
      </c>
      <c r="E56">
        <f t="shared" si="0"/>
        <v>17.237915227667724</v>
      </c>
    </row>
    <row r="57" spans="1:5" x14ac:dyDescent="0.4">
      <c r="A57">
        <v>68.938400000000001</v>
      </c>
      <c r="B57">
        <v>31</v>
      </c>
      <c r="C57">
        <v>3358.0482000000002</v>
      </c>
      <c r="D57" s="1">
        <v>1</v>
      </c>
      <c r="E57">
        <f t="shared" si="0"/>
        <v>44.457761684302213</v>
      </c>
    </row>
    <row r="58" spans="1:5" x14ac:dyDescent="0.4">
      <c r="A58">
        <v>68.948400000000007</v>
      </c>
      <c r="B58">
        <v>14</v>
      </c>
      <c r="C58">
        <v>3354.1433000000002</v>
      </c>
      <c r="D58" s="1">
        <v>1</v>
      </c>
      <c r="E58">
        <f t="shared" si="0"/>
        <v>20.101073320272274</v>
      </c>
    </row>
    <row r="59" spans="1:5" x14ac:dyDescent="0.4">
      <c r="A59">
        <v>68.958399999999997</v>
      </c>
      <c r="B59">
        <v>28</v>
      </c>
      <c r="C59">
        <v>3343.4432999999999</v>
      </c>
      <c r="D59" s="1">
        <v>1</v>
      </c>
      <c r="E59">
        <f t="shared" si="0"/>
        <v>40.3308053108004</v>
      </c>
    </row>
    <row r="60" spans="1:5" x14ac:dyDescent="0.4">
      <c r="A60">
        <v>68.968400000000003</v>
      </c>
      <c r="B60">
        <v>26</v>
      </c>
      <c r="C60">
        <v>3337.0545000000002</v>
      </c>
      <c r="D60" s="1">
        <v>1</v>
      </c>
      <c r="E60">
        <f t="shared" si="0"/>
        <v>37.521731694822485</v>
      </c>
    </row>
    <row r="61" spans="1:5" x14ac:dyDescent="0.4">
      <c r="A61">
        <v>68.978399999999993</v>
      </c>
      <c r="B61">
        <v>27</v>
      </c>
      <c r="C61">
        <v>3338.9746</v>
      </c>
      <c r="D61" s="1">
        <v>1</v>
      </c>
      <c r="E61">
        <f t="shared" si="0"/>
        <v>38.942468205658109</v>
      </c>
    </row>
    <row r="62" spans="1:5" x14ac:dyDescent="0.4">
      <c r="A62">
        <v>68.988399999999999</v>
      </c>
      <c r="B62">
        <v>42</v>
      </c>
      <c r="C62">
        <v>3337.4587000000001</v>
      </c>
      <c r="D62" s="1">
        <v>1</v>
      </c>
      <c r="E62">
        <f t="shared" si="0"/>
        <v>60.604687392835757</v>
      </c>
    </row>
    <row r="63" spans="1:5" x14ac:dyDescent="0.4">
      <c r="A63">
        <v>68.998400000000004</v>
      </c>
      <c r="B63">
        <v>31</v>
      </c>
      <c r="C63">
        <v>3336.3870999999999</v>
      </c>
      <c r="D63" s="1">
        <v>1</v>
      </c>
      <c r="E63">
        <f t="shared" si="0"/>
        <v>44.74639846197703</v>
      </c>
    </row>
    <row r="64" spans="1:5" x14ac:dyDescent="0.4">
      <c r="A64">
        <v>69.008399999999995</v>
      </c>
      <c r="B64">
        <v>47</v>
      </c>
      <c r="C64">
        <v>3331.6042000000002</v>
      </c>
      <c r="D64" s="1">
        <v>1</v>
      </c>
      <c r="E64">
        <f t="shared" si="0"/>
        <v>67.938707785276534</v>
      </c>
    </row>
    <row r="65" spans="1:5" x14ac:dyDescent="0.4">
      <c r="A65">
        <v>69.0184</v>
      </c>
      <c r="B65">
        <v>46</v>
      </c>
      <c r="C65">
        <v>3321.9567000000002</v>
      </c>
      <c r="D65" s="1">
        <v>1</v>
      </c>
      <c r="E65">
        <f t="shared" si="0"/>
        <v>66.686310390499671</v>
      </c>
    </row>
    <row r="66" spans="1:5" x14ac:dyDescent="0.4">
      <c r="A66">
        <v>69.028400000000005</v>
      </c>
      <c r="B66">
        <v>47</v>
      </c>
      <c r="C66">
        <v>3321.5187000000001</v>
      </c>
      <c r="D66" s="1">
        <v>1</v>
      </c>
      <c r="E66">
        <f t="shared" si="0"/>
        <v>68.144997708427766</v>
      </c>
    </row>
    <row r="67" spans="1:5" x14ac:dyDescent="0.4">
      <c r="A67">
        <v>69.038399999999996</v>
      </c>
      <c r="B67">
        <v>36</v>
      </c>
      <c r="C67">
        <v>3335.1102000000001</v>
      </c>
      <c r="D67" s="1">
        <v>1</v>
      </c>
      <c r="E67">
        <f t="shared" si="0"/>
        <v>51.983454579701743</v>
      </c>
    </row>
    <row r="68" spans="1:5" x14ac:dyDescent="0.4">
      <c r="A68">
        <v>69.048400000000001</v>
      </c>
      <c r="B68">
        <v>40</v>
      </c>
      <c r="C68">
        <v>3341.3425000000002</v>
      </c>
      <c r="D68" s="1">
        <v>1</v>
      </c>
      <c r="E68">
        <f t="shared" si="0"/>
        <v>57.651660672319586</v>
      </c>
    </row>
    <row r="69" spans="1:5" x14ac:dyDescent="0.4">
      <c r="A69">
        <v>69.058400000000006</v>
      </c>
      <c r="B69">
        <v>52</v>
      </c>
      <c r="C69">
        <v>3336.0189999999998</v>
      </c>
      <c r="D69" s="1">
        <v>1</v>
      </c>
      <c r="E69">
        <f t="shared" si="0"/>
        <v>75.066756873986634</v>
      </c>
    </row>
    <row r="70" spans="1:5" x14ac:dyDescent="0.4">
      <c r="A70">
        <v>69.068399999999997</v>
      </c>
      <c r="B70">
        <v>64</v>
      </c>
      <c r="C70">
        <v>3328.3076999999998</v>
      </c>
      <c r="D70" s="1">
        <v>1</v>
      </c>
      <c r="E70">
        <f t="shared" si="0"/>
        <v>92.603911110742558</v>
      </c>
    </row>
    <row r="71" spans="1:5" x14ac:dyDescent="0.4">
      <c r="A71">
        <v>69.078400000000002</v>
      </c>
      <c r="B71">
        <v>48</v>
      </c>
      <c r="C71">
        <v>3326.2375000000002</v>
      </c>
      <c r="D71" s="1">
        <v>1</v>
      </c>
      <c r="E71">
        <f t="shared" si="0"/>
        <v>69.496159790153285</v>
      </c>
    </row>
    <row r="72" spans="1:5" x14ac:dyDescent="0.4">
      <c r="A72">
        <v>69.088399999999993</v>
      </c>
      <c r="B72">
        <v>81</v>
      </c>
      <c r="C72">
        <v>3330.8904000000002</v>
      </c>
      <c r="D72" s="1">
        <v>1</v>
      </c>
      <c r="E72">
        <f t="shared" si="0"/>
        <v>117.11094925248815</v>
      </c>
    </row>
    <row r="73" spans="1:5" x14ac:dyDescent="0.4">
      <c r="A73">
        <v>69.098399999999998</v>
      </c>
      <c r="B73">
        <v>82</v>
      </c>
      <c r="C73">
        <v>3330.2582000000002</v>
      </c>
      <c r="D73" s="1">
        <v>1</v>
      </c>
      <c r="E73">
        <f t="shared" si="0"/>
        <v>118.57926967945008</v>
      </c>
    </row>
    <row r="74" spans="1:5" x14ac:dyDescent="0.4">
      <c r="A74">
        <v>69.108400000000003</v>
      </c>
      <c r="B74">
        <v>86</v>
      </c>
      <c r="C74">
        <v>3325.7883999999999</v>
      </c>
      <c r="D74" s="1">
        <v>1</v>
      </c>
      <c r="E74">
        <f t="shared" si="0"/>
        <v>124.53076677999118</v>
      </c>
    </row>
    <row r="75" spans="1:5" x14ac:dyDescent="0.4">
      <c r="A75">
        <v>69.118399999999994</v>
      </c>
      <c r="B75">
        <v>94</v>
      </c>
      <c r="C75">
        <v>3317.4504999999999</v>
      </c>
      <c r="D75" s="1">
        <v>1</v>
      </c>
      <c r="E75">
        <f t="shared" si="0"/>
        <v>136.45712826762599</v>
      </c>
    </row>
    <row r="76" spans="1:5" x14ac:dyDescent="0.4">
      <c r="A76">
        <v>69.128399999999999</v>
      </c>
      <c r="B76">
        <v>92</v>
      </c>
      <c r="C76">
        <v>3307.9996999999998</v>
      </c>
      <c r="D76" s="1">
        <v>1</v>
      </c>
      <c r="E76">
        <f t="shared" si="0"/>
        <v>133.93534201348325</v>
      </c>
    </row>
    <row r="77" spans="1:5" x14ac:dyDescent="0.4">
      <c r="A77">
        <v>69.138400000000004</v>
      </c>
      <c r="B77">
        <v>82</v>
      </c>
      <c r="C77">
        <v>3307.7791000000002</v>
      </c>
      <c r="D77" s="1">
        <v>1</v>
      </c>
      <c r="E77">
        <f t="shared" si="0"/>
        <v>119.38511407850663</v>
      </c>
    </row>
    <row r="78" spans="1:5" x14ac:dyDescent="0.4">
      <c r="A78">
        <v>69.148399999999995</v>
      </c>
      <c r="B78">
        <v>119</v>
      </c>
      <c r="C78">
        <v>3311.4751999999999</v>
      </c>
      <c r="D78" s="1">
        <v>1</v>
      </c>
      <c r="E78">
        <f t="shared" si="0"/>
        <v>173.06062971572308</v>
      </c>
    </row>
    <row r="79" spans="1:5" x14ac:dyDescent="0.4">
      <c r="A79">
        <v>69.1584</v>
      </c>
      <c r="B79">
        <v>121</v>
      </c>
      <c r="C79">
        <v>3310.0461</v>
      </c>
      <c r="D79" s="1">
        <v>1</v>
      </c>
      <c r="E79">
        <f t="shared" si="0"/>
        <v>176.04518577550931</v>
      </c>
    </row>
    <row r="80" spans="1:5" x14ac:dyDescent="0.4">
      <c r="A80">
        <v>69.168400000000005</v>
      </c>
      <c r="B80">
        <v>120</v>
      </c>
      <c r="C80">
        <v>3305.2813000000001</v>
      </c>
      <c r="D80" s="1">
        <v>1</v>
      </c>
      <c r="E80">
        <f t="shared" si="0"/>
        <v>174.84195127355727</v>
      </c>
    </row>
    <row r="81" spans="1:5" x14ac:dyDescent="0.4">
      <c r="A81">
        <v>69.178399999999996</v>
      </c>
      <c r="B81">
        <v>143</v>
      </c>
      <c r="C81">
        <v>3307.2977999999998</v>
      </c>
      <c r="D81" s="1">
        <v>1</v>
      </c>
      <c r="E81">
        <f t="shared" si="0"/>
        <v>208.22628969184453</v>
      </c>
    </row>
    <row r="82" spans="1:5" x14ac:dyDescent="0.4">
      <c r="A82">
        <v>69.188400000000001</v>
      </c>
      <c r="B82">
        <v>154</v>
      </c>
      <c r="C82">
        <v>3311.4268999999999</v>
      </c>
      <c r="D82" s="1">
        <v>1</v>
      </c>
      <c r="E82">
        <f t="shared" si="0"/>
        <v>223.96408158670212</v>
      </c>
    </row>
    <row r="83" spans="1:5" x14ac:dyDescent="0.4">
      <c r="A83">
        <v>69.198400000000007</v>
      </c>
      <c r="B83">
        <v>176</v>
      </c>
      <c r="C83">
        <v>3315.0124999999998</v>
      </c>
      <c r="D83" s="1">
        <v>1</v>
      </c>
      <c r="E83">
        <f t="shared" si="0"/>
        <v>255.68209881561535</v>
      </c>
    </row>
    <row r="84" spans="1:5" x14ac:dyDescent="0.4">
      <c r="A84">
        <v>69.208399999999997</v>
      </c>
      <c r="B84">
        <v>224</v>
      </c>
      <c r="C84">
        <v>3311.1958</v>
      </c>
      <c r="D84" s="1">
        <v>1</v>
      </c>
      <c r="E84">
        <f t="shared" si="0"/>
        <v>325.78867320380152</v>
      </c>
    </row>
    <row r="85" spans="1:5" x14ac:dyDescent="0.4">
      <c r="A85">
        <v>69.218400000000003</v>
      </c>
      <c r="B85">
        <v>209</v>
      </c>
      <c r="C85">
        <v>3307.3674999999998</v>
      </c>
      <c r="D85" s="1">
        <v>1</v>
      </c>
      <c r="E85">
        <f t="shared" si="0"/>
        <v>304.32431757281284</v>
      </c>
    </row>
    <row r="86" spans="1:5" x14ac:dyDescent="0.4">
      <c r="A86">
        <v>69.228399999999993</v>
      </c>
      <c r="B86">
        <v>242</v>
      </c>
      <c r="C86">
        <v>3300.4045999999998</v>
      </c>
      <c r="D86" s="1">
        <v>1</v>
      </c>
      <c r="E86">
        <f t="shared" ref="E86:E149" si="1">$A$1*B86/C86</f>
        <v>353.11893614498058</v>
      </c>
    </row>
    <row r="87" spans="1:5" x14ac:dyDescent="0.4">
      <c r="A87">
        <v>69.238399999999999</v>
      </c>
      <c r="B87">
        <v>249</v>
      </c>
      <c r="C87">
        <v>3290.5533</v>
      </c>
      <c r="D87" s="1">
        <v>1</v>
      </c>
      <c r="E87">
        <f t="shared" si="1"/>
        <v>364.42087152941724</v>
      </c>
    </row>
    <row r="88" spans="1:5" x14ac:dyDescent="0.4">
      <c r="A88">
        <v>69.248400000000004</v>
      </c>
      <c r="B88">
        <v>305</v>
      </c>
      <c r="C88">
        <v>3283.8229999999999</v>
      </c>
      <c r="D88" s="1">
        <v>1</v>
      </c>
      <c r="E88">
        <f t="shared" si="1"/>
        <v>447.2938471409696</v>
      </c>
    </row>
    <row r="89" spans="1:5" x14ac:dyDescent="0.4">
      <c r="A89">
        <v>69.258399999999995</v>
      </c>
      <c r="B89">
        <v>286</v>
      </c>
      <c r="C89">
        <v>3284.4126000000001</v>
      </c>
      <c r="D89" s="1">
        <v>1</v>
      </c>
      <c r="E89">
        <f t="shared" si="1"/>
        <v>419.35434652759528</v>
      </c>
    </row>
    <row r="90" spans="1:5" x14ac:dyDescent="0.4">
      <c r="A90">
        <v>69.2684</v>
      </c>
      <c r="B90">
        <v>318</v>
      </c>
      <c r="C90">
        <v>3296.4769000000001</v>
      </c>
      <c r="D90" s="1">
        <v>1</v>
      </c>
      <c r="E90">
        <f t="shared" si="1"/>
        <v>464.56865958927244</v>
      </c>
    </row>
    <row r="91" spans="1:5" x14ac:dyDescent="0.4">
      <c r="A91">
        <v>69.278400000000005</v>
      </c>
      <c r="B91">
        <v>356</v>
      </c>
      <c r="C91">
        <v>3297.0677999999998</v>
      </c>
      <c r="D91" s="1">
        <v>1</v>
      </c>
      <c r="E91">
        <f t="shared" si="1"/>
        <v>519.98994427715445</v>
      </c>
    </row>
    <row r="92" spans="1:5" x14ac:dyDescent="0.4">
      <c r="A92">
        <v>69.288399999999996</v>
      </c>
      <c r="B92">
        <v>458</v>
      </c>
      <c r="C92">
        <v>3296.4467</v>
      </c>
      <c r="D92" s="1">
        <v>1</v>
      </c>
      <c r="E92">
        <f t="shared" si="1"/>
        <v>669.10187226749349</v>
      </c>
    </row>
    <row r="93" spans="1:5" x14ac:dyDescent="0.4">
      <c r="A93">
        <v>69.298400000000001</v>
      </c>
      <c r="B93">
        <v>443</v>
      </c>
      <c r="C93">
        <v>3294.3561</v>
      </c>
      <c r="D93" s="1">
        <v>1</v>
      </c>
      <c r="E93">
        <f t="shared" si="1"/>
        <v>647.59876134823435</v>
      </c>
    </row>
    <row r="94" spans="1:5" x14ac:dyDescent="0.4">
      <c r="A94">
        <v>69.308400000000006</v>
      </c>
      <c r="B94">
        <v>529</v>
      </c>
      <c r="C94">
        <v>3289.8074000000001</v>
      </c>
      <c r="D94" s="1">
        <v>1</v>
      </c>
      <c r="E94">
        <f t="shared" si="1"/>
        <v>774.38694721156025</v>
      </c>
    </row>
    <row r="95" spans="1:5" x14ac:dyDescent="0.4">
      <c r="A95">
        <v>69.318399999999997</v>
      </c>
      <c r="B95">
        <v>599</v>
      </c>
      <c r="C95">
        <v>3285.6749</v>
      </c>
      <c r="D95" s="1">
        <v>1</v>
      </c>
      <c r="E95">
        <f t="shared" si="1"/>
        <v>877.96066232846101</v>
      </c>
    </row>
    <row r="96" spans="1:5" x14ac:dyDescent="0.4">
      <c r="A96">
        <v>69.328400000000002</v>
      </c>
      <c r="B96">
        <v>674</v>
      </c>
      <c r="C96">
        <v>3283.0124999999998</v>
      </c>
      <c r="D96" s="1">
        <v>1</v>
      </c>
      <c r="E96">
        <f t="shared" si="1"/>
        <v>988.69009983970523</v>
      </c>
    </row>
    <row r="97" spans="1:5" x14ac:dyDescent="0.4">
      <c r="A97">
        <v>69.338399999999993</v>
      </c>
      <c r="B97">
        <v>702</v>
      </c>
      <c r="C97">
        <v>3292.8247999999999</v>
      </c>
      <c r="D97" s="1">
        <v>1</v>
      </c>
      <c r="E97">
        <f t="shared" si="1"/>
        <v>1026.6946839078716</v>
      </c>
    </row>
    <row r="98" spans="1:5" x14ac:dyDescent="0.4">
      <c r="A98">
        <v>69.348399999999998</v>
      </c>
      <c r="B98">
        <v>840</v>
      </c>
      <c r="C98">
        <v>3290.3467999999998</v>
      </c>
      <c r="D98" s="1">
        <v>1</v>
      </c>
      <c r="E98">
        <f t="shared" si="1"/>
        <v>1229.4487693516076</v>
      </c>
    </row>
    <row r="99" spans="1:5" x14ac:dyDescent="0.4">
      <c r="A99">
        <v>69.358400000000003</v>
      </c>
      <c r="B99">
        <v>959</v>
      </c>
      <c r="C99">
        <v>3283.5819999999999</v>
      </c>
      <c r="D99" s="1">
        <v>1</v>
      </c>
      <c r="E99">
        <f t="shared" si="1"/>
        <v>1406.5124024312474</v>
      </c>
    </row>
    <row r="100" spans="1:5" x14ac:dyDescent="0.4">
      <c r="A100">
        <v>69.368399999999994</v>
      </c>
      <c r="B100">
        <v>1120</v>
      </c>
      <c r="C100">
        <v>3277.0578999999998</v>
      </c>
      <c r="D100" s="1">
        <v>1</v>
      </c>
      <c r="E100">
        <f t="shared" si="1"/>
        <v>1645.912460686154</v>
      </c>
    </row>
    <row r="101" spans="1:5" x14ac:dyDescent="0.4">
      <c r="A101">
        <v>69.378399999999999</v>
      </c>
      <c r="B101">
        <v>1224</v>
      </c>
      <c r="C101">
        <v>3276.3438000000001</v>
      </c>
      <c r="D101" s="1">
        <v>1</v>
      </c>
      <c r="E101">
        <f t="shared" si="1"/>
        <v>1799.1392375855062</v>
      </c>
    </row>
    <row r="102" spans="1:5" x14ac:dyDescent="0.4">
      <c r="A102">
        <v>69.388400000000004</v>
      </c>
      <c r="B102">
        <v>1483</v>
      </c>
      <c r="C102">
        <v>3280.9863999999998</v>
      </c>
      <c r="D102" s="1">
        <v>1</v>
      </c>
      <c r="E102">
        <f t="shared" si="1"/>
        <v>2176.7549764302594</v>
      </c>
    </row>
    <row r="103" spans="1:5" x14ac:dyDescent="0.4">
      <c r="A103">
        <v>69.398399999999995</v>
      </c>
      <c r="B103">
        <v>1768</v>
      </c>
      <c r="C103">
        <v>3277.9807999999998</v>
      </c>
      <c r="D103" s="1">
        <v>1</v>
      </c>
      <c r="E103">
        <f t="shared" si="1"/>
        <v>2597.4588761471696</v>
      </c>
    </row>
    <row r="104" spans="1:5" x14ac:dyDescent="0.4">
      <c r="A104">
        <v>69.4084</v>
      </c>
      <c r="B104">
        <v>2042</v>
      </c>
      <c r="C104">
        <v>3275.1224000000002</v>
      </c>
      <c r="D104" s="1">
        <v>1</v>
      </c>
      <c r="E104">
        <f t="shared" si="1"/>
        <v>3002.624525178051</v>
      </c>
    </row>
    <row r="105" spans="1:5" x14ac:dyDescent="0.4">
      <c r="A105">
        <v>69.418400000000005</v>
      </c>
      <c r="B105">
        <v>2422</v>
      </c>
      <c r="C105">
        <v>3273.17</v>
      </c>
      <c r="D105" s="1">
        <v>1</v>
      </c>
      <c r="E105">
        <f t="shared" si="1"/>
        <v>3563.513446964258</v>
      </c>
    </row>
    <row r="106" spans="1:5" x14ac:dyDescent="0.4">
      <c r="A106">
        <v>69.428399999999996</v>
      </c>
      <c r="B106">
        <v>2824</v>
      </c>
      <c r="C106">
        <v>3277.8557000000001</v>
      </c>
      <c r="D106" s="1">
        <v>1</v>
      </c>
      <c r="E106">
        <f t="shared" si="1"/>
        <v>4149.040620183494</v>
      </c>
    </row>
    <row r="107" spans="1:5" x14ac:dyDescent="0.4">
      <c r="A107">
        <v>69.438400000000001</v>
      </c>
      <c r="B107">
        <v>3401</v>
      </c>
      <c r="C107">
        <v>3276.6900999999998</v>
      </c>
      <c r="D107" s="1">
        <v>1</v>
      </c>
      <c r="E107">
        <f t="shared" si="1"/>
        <v>4998.5505460525555</v>
      </c>
    </row>
    <row r="108" spans="1:5" x14ac:dyDescent="0.4">
      <c r="A108">
        <v>69.448400000000007</v>
      </c>
      <c r="B108">
        <v>4373</v>
      </c>
      <c r="C108">
        <v>3267.7925</v>
      </c>
      <c r="D108" s="1">
        <v>1</v>
      </c>
      <c r="E108">
        <f t="shared" si="1"/>
        <v>6444.6276585187097</v>
      </c>
    </row>
    <row r="109" spans="1:5" x14ac:dyDescent="0.4">
      <c r="A109">
        <v>69.458399999999997</v>
      </c>
      <c r="B109">
        <v>5211</v>
      </c>
      <c r="C109">
        <v>3256.9200999999998</v>
      </c>
      <c r="D109" s="1">
        <v>1</v>
      </c>
      <c r="E109">
        <f t="shared" si="1"/>
        <v>7705.251060534154</v>
      </c>
    </row>
    <row r="110" spans="1:5" x14ac:dyDescent="0.4">
      <c r="A110">
        <v>69.468400000000003</v>
      </c>
      <c r="B110">
        <v>6537</v>
      </c>
      <c r="C110">
        <v>3252.0145000000002</v>
      </c>
      <c r="D110" s="1">
        <v>1</v>
      </c>
      <c r="E110">
        <f t="shared" si="1"/>
        <v>9680.5233488965059</v>
      </c>
    </row>
    <row r="111" spans="1:5" x14ac:dyDescent="0.4">
      <c r="A111">
        <v>69.478399999999993</v>
      </c>
      <c r="B111">
        <v>8674</v>
      </c>
      <c r="C111">
        <v>3261.0511999999999</v>
      </c>
      <c r="D111" s="1">
        <v>1</v>
      </c>
      <c r="E111">
        <f t="shared" si="1"/>
        <v>12809.572188379012</v>
      </c>
    </row>
    <row r="112" spans="1:5" x14ac:dyDescent="0.4">
      <c r="A112">
        <v>69.488399999999999</v>
      </c>
      <c r="B112">
        <v>11229</v>
      </c>
      <c r="C112">
        <v>3260.7592</v>
      </c>
      <c r="D112" s="1">
        <v>1</v>
      </c>
      <c r="E112">
        <f t="shared" si="1"/>
        <v>16584.224903635939</v>
      </c>
    </row>
    <row r="113" spans="1:5" x14ac:dyDescent="0.4">
      <c r="A113">
        <v>69.498400000000004</v>
      </c>
      <c r="B113">
        <v>15337</v>
      </c>
      <c r="C113">
        <v>3256.9263000000001</v>
      </c>
      <c r="D113" s="1">
        <v>1</v>
      </c>
      <c r="E113">
        <f t="shared" si="1"/>
        <v>22678.029275086759</v>
      </c>
    </row>
    <row r="114" spans="1:5" x14ac:dyDescent="0.4">
      <c r="A114">
        <v>69.508399999999995</v>
      </c>
      <c r="B114">
        <v>21431</v>
      </c>
      <c r="C114">
        <v>3253.9942000000001</v>
      </c>
      <c r="D114" s="1">
        <v>1</v>
      </c>
      <c r="E114">
        <f t="shared" si="1"/>
        <v>31717.466290075135</v>
      </c>
    </row>
    <row r="115" spans="1:5" x14ac:dyDescent="0.4">
      <c r="A115">
        <v>69.5184</v>
      </c>
      <c r="B115">
        <v>31769</v>
      </c>
      <c r="C115">
        <v>3255.0207</v>
      </c>
      <c r="D115" s="1">
        <v>1</v>
      </c>
      <c r="E115">
        <f t="shared" si="1"/>
        <v>47002.679329627616</v>
      </c>
    </row>
    <row r="116" spans="1:5" x14ac:dyDescent="0.4">
      <c r="A116">
        <v>69.528400000000005</v>
      </c>
      <c r="B116">
        <v>49402</v>
      </c>
      <c r="C116">
        <v>3259.6768999999999</v>
      </c>
      <c r="D116" s="1">
        <v>1</v>
      </c>
      <c r="E116">
        <f t="shared" si="1"/>
        <v>72986.544321984795</v>
      </c>
    </row>
    <row r="117" spans="1:5" x14ac:dyDescent="0.4">
      <c r="A117">
        <v>69.538399999999996</v>
      </c>
      <c r="B117">
        <v>83054</v>
      </c>
      <c r="C117">
        <v>3261.721</v>
      </c>
      <c r="D117" s="1">
        <v>1</v>
      </c>
      <c r="E117">
        <f t="shared" si="1"/>
        <v>122627.13138996254</v>
      </c>
    </row>
    <row r="118" spans="1:5" x14ac:dyDescent="0.4">
      <c r="A118">
        <v>69.548400000000001</v>
      </c>
      <c r="B118">
        <v>156964</v>
      </c>
      <c r="C118">
        <v>3256.4034999999999</v>
      </c>
      <c r="D118" s="1">
        <v>1</v>
      </c>
      <c r="E118">
        <f t="shared" si="1"/>
        <v>232131.81648109641</v>
      </c>
    </row>
    <row r="119" spans="1:5" x14ac:dyDescent="0.4">
      <c r="A119">
        <v>69.558400000000006</v>
      </c>
      <c r="B119">
        <v>351222</v>
      </c>
      <c r="C119">
        <v>3248.5315999999998</v>
      </c>
      <c r="D119" s="1">
        <v>1</v>
      </c>
      <c r="E119">
        <f t="shared" si="1"/>
        <v>520675.85766726115</v>
      </c>
    </row>
    <row r="120" spans="1:5" x14ac:dyDescent="0.4">
      <c r="A120">
        <v>69.568399999999997</v>
      </c>
      <c r="B120">
        <v>1099547</v>
      </c>
      <c r="C120">
        <v>3248.9335999999998</v>
      </c>
      <c r="D120" s="1">
        <v>1</v>
      </c>
      <c r="E120">
        <f t="shared" si="1"/>
        <v>1629843.0600687561</v>
      </c>
    </row>
    <row r="121" spans="1:5" x14ac:dyDescent="0.4">
      <c r="A121">
        <v>69.578400000000002</v>
      </c>
      <c r="B121">
        <v>6516148</v>
      </c>
      <c r="C121">
        <v>3252.8674000000001</v>
      </c>
      <c r="D121" s="1">
        <v>1</v>
      </c>
      <c r="E121">
        <f t="shared" si="1"/>
        <v>9647113.8734990563</v>
      </c>
    </row>
    <row r="122" spans="1:5" x14ac:dyDescent="0.4">
      <c r="A122">
        <v>69.588399999999993</v>
      </c>
      <c r="B122">
        <v>19760775</v>
      </c>
      <c r="C122">
        <v>3248.6410000000001</v>
      </c>
      <c r="D122" s="1">
        <v>1</v>
      </c>
      <c r="E122">
        <f t="shared" si="1"/>
        <v>29293757.179899227</v>
      </c>
    </row>
    <row r="123" spans="1:5" x14ac:dyDescent="0.4">
      <c r="A123">
        <v>69.598399999999998</v>
      </c>
      <c r="B123">
        <v>6825247</v>
      </c>
      <c r="C123">
        <v>3242.4234999999999</v>
      </c>
      <c r="D123" s="1">
        <v>1</v>
      </c>
      <c r="E123">
        <f t="shared" si="1"/>
        <v>10137280.404488865</v>
      </c>
    </row>
    <row r="124" spans="1:5" x14ac:dyDescent="0.4">
      <c r="A124">
        <v>69.608400000000003</v>
      </c>
      <c r="B124">
        <v>1080733</v>
      </c>
      <c r="C124">
        <v>3239.0907999999999</v>
      </c>
      <c r="D124" s="1">
        <v>1</v>
      </c>
      <c r="E124">
        <f t="shared" si="1"/>
        <v>1606823.2804785219</v>
      </c>
    </row>
    <row r="125" spans="1:5" x14ac:dyDescent="0.4">
      <c r="A125">
        <v>69.618399999999994</v>
      </c>
      <c r="B125">
        <v>289353</v>
      </c>
      <c r="C125">
        <v>3240.5877999999998</v>
      </c>
      <c r="D125" s="1">
        <v>1</v>
      </c>
      <c r="E125">
        <f t="shared" si="1"/>
        <v>430008.48178092879</v>
      </c>
    </row>
    <row r="126" spans="1:5" x14ac:dyDescent="0.4">
      <c r="A126">
        <v>69.628399999999999</v>
      </c>
      <c r="B126">
        <v>112013</v>
      </c>
      <c r="C126">
        <v>3240.6165999999998</v>
      </c>
      <c r="D126" s="1">
        <v>1</v>
      </c>
      <c r="E126">
        <f t="shared" si="1"/>
        <v>166461.42256748304</v>
      </c>
    </row>
    <row r="127" spans="1:5" x14ac:dyDescent="0.4">
      <c r="A127">
        <v>69.638400000000004</v>
      </c>
      <c r="B127">
        <v>51785</v>
      </c>
      <c r="C127">
        <v>3238.9573999999998</v>
      </c>
      <c r="D127" s="1">
        <v>1</v>
      </c>
      <c r="E127">
        <f t="shared" si="1"/>
        <v>76996.603830294291</v>
      </c>
    </row>
    <row r="128" spans="1:5" x14ac:dyDescent="0.4">
      <c r="A128">
        <v>69.648399999999995</v>
      </c>
      <c r="B128">
        <v>27211</v>
      </c>
      <c r="C128">
        <v>3234.8892000000001</v>
      </c>
      <c r="D128" s="1">
        <v>1</v>
      </c>
      <c r="E128">
        <f t="shared" si="1"/>
        <v>40509.596512486423</v>
      </c>
    </row>
    <row r="129" spans="1:5" x14ac:dyDescent="0.4">
      <c r="A129">
        <v>69.6584</v>
      </c>
      <c r="B129">
        <v>16047</v>
      </c>
      <c r="C129">
        <v>3233.3514</v>
      </c>
      <c r="D129" s="1">
        <v>1</v>
      </c>
      <c r="E129">
        <f t="shared" si="1"/>
        <v>23900.87340466613</v>
      </c>
    </row>
    <row r="130" spans="1:5" x14ac:dyDescent="0.4">
      <c r="A130">
        <v>69.668400000000005</v>
      </c>
      <c r="B130">
        <v>10063</v>
      </c>
      <c r="C130">
        <v>3233.0673000000002</v>
      </c>
      <c r="D130" s="1">
        <v>1</v>
      </c>
      <c r="E130">
        <f t="shared" si="1"/>
        <v>14989.44499602591</v>
      </c>
    </row>
    <row r="131" spans="1:5" x14ac:dyDescent="0.4">
      <c r="A131">
        <v>69.678399999999996</v>
      </c>
      <c r="B131">
        <v>6435</v>
      </c>
      <c r="C131">
        <v>3234.6752000000001</v>
      </c>
      <c r="D131" s="1">
        <v>1</v>
      </c>
      <c r="E131">
        <f t="shared" si="1"/>
        <v>9580.5556431137193</v>
      </c>
    </row>
    <row r="132" spans="1:5" x14ac:dyDescent="0.4">
      <c r="A132">
        <v>69.688400000000001</v>
      </c>
      <c r="B132">
        <v>4561</v>
      </c>
      <c r="C132">
        <v>3241.6024000000002</v>
      </c>
      <c r="D132" s="1">
        <v>1</v>
      </c>
      <c r="E132">
        <f t="shared" si="1"/>
        <v>6775.9961754100377</v>
      </c>
    </row>
    <row r="133" spans="1:5" x14ac:dyDescent="0.4">
      <c r="A133">
        <v>69.698400000000007</v>
      </c>
      <c r="B133">
        <v>3212</v>
      </c>
      <c r="C133">
        <v>3240.2674999999999</v>
      </c>
      <c r="D133" s="1">
        <v>1</v>
      </c>
      <c r="E133">
        <f t="shared" si="1"/>
        <v>4773.8360191558268</v>
      </c>
    </row>
    <row r="134" spans="1:5" x14ac:dyDescent="0.4">
      <c r="A134">
        <v>69.708399999999997</v>
      </c>
      <c r="B134">
        <v>2222</v>
      </c>
      <c r="C134">
        <v>3232.6091999999999</v>
      </c>
      <c r="D134" s="1">
        <v>1</v>
      </c>
      <c r="E134">
        <f t="shared" si="1"/>
        <v>3310.2719590106967</v>
      </c>
    </row>
    <row r="135" spans="1:5" x14ac:dyDescent="0.4">
      <c r="A135">
        <v>69.718400000000003</v>
      </c>
      <c r="B135">
        <v>1580</v>
      </c>
      <c r="C135">
        <v>3225.5077999999999</v>
      </c>
      <c r="D135" s="1">
        <v>1</v>
      </c>
      <c r="E135">
        <f t="shared" si="1"/>
        <v>2359.0210471665891</v>
      </c>
    </row>
    <row r="136" spans="1:5" x14ac:dyDescent="0.4">
      <c r="A136">
        <v>69.728399999999993</v>
      </c>
      <c r="B136">
        <v>1247</v>
      </c>
      <c r="C136">
        <v>3224.3373999999999</v>
      </c>
      <c r="D136" s="1">
        <v>1</v>
      </c>
      <c r="E136">
        <f t="shared" si="1"/>
        <v>1862.5107918916924</v>
      </c>
    </row>
    <row r="137" spans="1:5" x14ac:dyDescent="0.4">
      <c r="A137">
        <v>69.738399999999999</v>
      </c>
      <c r="B137">
        <v>973</v>
      </c>
      <c r="C137">
        <v>3226.2033999999999</v>
      </c>
      <c r="D137" s="1">
        <v>1</v>
      </c>
      <c r="E137">
        <f t="shared" si="1"/>
        <v>1452.4256864275826</v>
      </c>
    </row>
    <row r="138" spans="1:5" x14ac:dyDescent="0.4">
      <c r="A138">
        <v>69.748400000000004</v>
      </c>
      <c r="B138">
        <v>733</v>
      </c>
      <c r="C138">
        <v>3231.9524999999999</v>
      </c>
      <c r="D138" s="1">
        <v>1</v>
      </c>
      <c r="E138">
        <f t="shared" si="1"/>
        <v>1092.2242897443573</v>
      </c>
    </row>
    <row r="139" spans="1:5" x14ac:dyDescent="0.4">
      <c r="A139">
        <v>69.758399999999995</v>
      </c>
      <c r="B139">
        <v>623</v>
      </c>
      <c r="C139">
        <v>3240.9645</v>
      </c>
      <c r="D139" s="1">
        <v>1</v>
      </c>
      <c r="E139">
        <f t="shared" si="1"/>
        <v>925.73481684233207</v>
      </c>
    </row>
    <row r="140" spans="1:5" x14ac:dyDescent="0.4">
      <c r="A140">
        <v>69.7684</v>
      </c>
      <c r="B140">
        <v>508</v>
      </c>
      <c r="C140">
        <v>3240.5554999999999</v>
      </c>
      <c r="D140" s="1">
        <v>1</v>
      </c>
      <c r="E140">
        <f t="shared" si="1"/>
        <v>754.94806023226579</v>
      </c>
    </row>
    <row r="141" spans="1:5" x14ac:dyDescent="0.4">
      <c r="A141">
        <v>69.778400000000005</v>
      </c>
      <c r="B141">
        <v>396</v>
      </c>
      <c r="C141">
        <v>3231.3609000000001</v>
      </c>
      <c r="D141" s="1">
        <v>1</v>
      </c>
      <c r="E141">
        <f t="shared" si="1"/>
        <v>590.17736013331103</v>
      </c>
    </row>
    <row r="142" spans="1:5" x14ac:dyDescent="0.4">
      <c r="A142">
        <v>69.788399999999996</v>
      </c>
      <c r="B142">
        <v>365</v>
      </c>
      <c r="C142">
        <v>3219.2494000000002</v>
      </c>
      <c r="D142" s="1">
        <v>1</v>
      </c>
      <c r="E142">
        <f t="shared" si="1"/>
        <v>546.0231627285541</v>
      </c>
    </row>
    <row r="143" spans="1:5" x14ac:dyDescent="0.4">
      <c r="A143">
        <v>69.798400000000001</v>
      </c>
      <c r="B143">
        <v>250</v>
      </c>
      <c r="C143">
        <v>3209.0266000000001</v>
      </c>
      <c r="D143" s="1">
        <v>1</v>
      </c>
      <c r="E143">
        <f t="shared" si="1"/>
        <v>375.17985983662464</v>
      </c>
    </row>
    <row r="144" spans="1:5" x14ac:dyDescent="0.4">
      <c r="A144">
        <v>69.808400000000006</v>
      </c>
      <c r="B144">
        <v>239</v>
      </c>
      <c r="C144">
        <v>3207.9418000000001</v>
      </c>
      <c r="D144" s="1">
        <v>1</v>
      </c>
      <c r="E144">
        <f t="shared" si="1"/>
        <v>358.7932347775137</v>
      </c>
    </row>
    <row r="145" spans="1:5" x14ac:dyDescent="0.4">
      <c r="A145">
        <v>69.818399999999997</v>
      </c>
      <c r="B145">
        <v>203</v>
      </c>
      <c r="C145">
        <v>3219.7352000000001</v>
      </c>
      <c r="D145" s="1">
        <v>1</v>
      </c>
      <c r="E145">
        <f t="shared" si="1"/>
        <v>303.63281607754578</v>
      </c>
    </row>
    <row r="146" spans="1:5" x14ac:dyDescent="0.4">
      <c r="A146">
        <v>69.828400000000002</v>
      </c>
      <c r="B146">
        <v>169</v>
      </c>
      <c r="C146">
        <v>3227.8694</v>
      </c>
      <c r="D146" s="1">
        <v>1</v>
      </c>
      <c r="E146">
        <f t="shared" si="1"/>
        <v>252.1410604158892</v>
      </c>
    </row>
    <row r="147" spans="1:5" x14ac:dyDescent="0.4">
      <c r="A147">
        <v>69.838399999999993</v>
      </c>
      <c r="B147">
        <v>149</v>
      </c>
      <c r="C147">
        <v>3229.3181</v>
      </c>
      <c r="D147" s="1">
        <v>1</v>
      </c>
      <c r="E147">
        <f t="shared" si="1"/>
        <v>222.20215512370862</v>
      </c>
    </row>
    <row r="148" spans="1:5" x14ac:dyDescent="0.4">
      <c r="A148">
        <v>69.848399999999998</v>
      </c>
      <c r="B148">
        <v>136</v>
      </c>
      <c r="C148">
        <v>3224.0192000000002</v>
      </c>
      <c r="D148" s="1">
        <v>1</v>
      </c>
      <c r="E148">
        <f t="shared" si="1"/>
        <v>203.14873112418189</v>
      </c>
    </row>
    <row r="149" spans="1:5" x14ac:dyDescent="0.4">
      <c r="A149">
        <v>69.858400000000003</v>
      </c>
      <c r="B149">
        <v>115</v>
      </c>
      <c r="C149">
        <v>3219.3145</v>
      </c>
      <c r="D149" s="1">
        <v>1</v>
      </c>
      <c r="E149">
        <f t="shared" si="1"/>
        <v>172.03121627290531</v>
      </c>
    </row>
    <row r="150" spans="1:5" x14ac:dyDescent="0.4">
      <c r="A150">
        <v>69.868399999999994</v>
      </c>
      <c r="B150">
        <v>91</v>
      </c>
      <c r="C150">
        <v>3213.7988</v>
      </c>
      <c r="D150" s="1">
        <v>1</v>
      </c>
      <c r="E150">
        <f t="shared" ref="E150:E213" si="2">$A$1*B150/C150</f>
        <v>136.36268163395917</v>
      </c>
    </row>
    <row r="151" spans="1:5" x14ac:dyDescent="0.4">
      <c r="A151">
        <v>69.878399999999999</v>
      </c>
      <c r="B151">
        <v>86</v>
      </c>
      <c r="C151">
        <v>3210.9787999999999</v>
      </c>
      <c r="D151" s="1">
        <v>1</v>
      </c>
      <c r="E151">
        <f t="shared" si="2"/>
        <v>128.98340518473682</v>
      </c>
    </row>
    <row r="152" spans="1:5" x14ac:dyDescent="0.4">
      <c r="A152">
        <v>69.888400000000004</v>
      </c>
      <c r="B152">
        <v>113</v>
      </c>
      <c r="C152">
        <v>3210.4987999999998</v>
      </c>
      <c r="D152" s="1">
        <v>1</v>
      </c>
      <c r="E152">
        <f t="shared" si="2"/>
        <v>169.50353378110592</v>
      </c>
    </row>
    <row r="153" spans="1:5" x14ac:dyDescent="0.4">
      <c r="A153">
        <v>69.898399999999995</v>
      </c>
      <c r="B153">
        <v>71</v>
      </c>
      <c r="C153">
        <v>3208.7611999999999</v>
      </c>
      <c r="D153" s="1">
        <v>1</v>
      </c>
      <c r="E153">
        <f t="shared" si="2"/>
        <v>106.5598931450555</v>
      </c>
    </row>
    <row r="154" spans="1:5" x14ac:dyDescent="0.4">
      <c r="A154">
        <v>69.9084</v>
      </c>
      <c r="B154">
        <v>59</v>
      </c>
      <c r="C154">
        <v>3206.223</v>
      </c>
      <c r="D154" s="1">
        <v>1</v>
      </c>
      <c r="E154">
        <f t="shared" si="2"/>
        <v>88.619870607877246</v>
      </c>
    </row>
    <row r="155" spans="1:5" x14ac:dyDescent="0.4">
      <c r="A155">
        <v>69.918400000000005</v>
      </c>
      <c r="B155">
        <v>59</v>
      </c>
      <c r="C155">
        <v>3204.0025000000001</v>
      </c>
      <c r="D155" s="1">
        <v>1</v>
      </c>
      <c r="E155">
        <f t="shared" si="2"/>
        <v>88.681287670655692</v>
      </c>
    </row>
    <row r="156" spans="1:5" x14ac:dyDescent="0.4">
      <c r="A156">
        <v>69.928399999999996</v>
      </c>
      <c r="B156">
        <v>44</v>
      </c>
      <c r="C156">
        <v>3207.1361999999999</v>
      </c>
      <c r="D156" s="1">
        <v>1</v>
      </c>
      <c r="E156">
        <f t="shared" si="2"/>
        <v>66.070576734471089</v>
      </c>
    </row>
    <row r="157" spans="1:5" x14ac:dyDescent="0.4">
      <c r="A157">
        <v>69.938400000000001</v>
      </c>
      <c r="B157">
        <v>53</v>
      </c>
      <c r="C157">
        <v>3206.1037000000001</v>
      </c>
      <c r="D157" s="1">
        <v>1</v>
      </c>
      <c r="E157">
        <f t="shared" si="2"/>
        <v>79.610642600237796</v>
      </c>
    </row>
    <row r="158" spans="1:5" x14ac:dyDescent="0.4">
      <c r="A158">
        <v>69.948400000000007</v>
      </c>
      <c r="B158">
        <v>41</v>
      </c>
      <c r="C158">
        <v>3204.7103000000002</v>
      </c>
      <c r="D158" s="1">
        <v>1</v>
      </c>
      <c r="E158">
        <f t="shared" si="2"/>
        <v>61.612368706151067</v>
      </c>
    </row>
    <row r="159" spans="1:5" x14ac:dyDescent="0.4">
      <c r="A159">
        <v>69.958399999999997</v>
      </c>
      <c r="B159">
        <v>30</v>
      </c>
      <c r="C159">
        <v>3203.0554999999999</v>
      </c>
      <c r="D159" s="1">
        <v>1</v>
      </c>
      <c r="E159">
        <f t="shared" si="2"/>
        <v>45.105511908863278</v>
      </c>
    </row>
    <row r="160" spans="1:5" x14ac:dyDescent="0.4">
      <c r="A160">
        <v>69.968400000000003</v>
      </c>
      <c r="B160">
        <v>43</v>
      </c>
      <c r="C160">
        <v>3202.7885000000001</v>
      </c>
      <c r="D160" s="1">
        <v>1</v>
      </c>
      <c r="E160">
        <f t="shared" si="2"/>
        <v>64.656623376785575</v>
      </c>
    </row>
    <row r="161" spans="1:5" x14ac:dyDescent="0.4">
      <c r="A161">
        <v>69.978399999999993</v>
      </c>
      <c r="B161">
        <v>20</v>
      </c>
      <c r="C161">
        <v>3201.9250999999999</v>
      </c>
      <c r="D161" s="1">
        <v>1</v>
      </c>
      <c r="E161">
        <f t="shared" si="2"/>
        <v>30.08095723413393</v>
      </c>
    </row>
    <row r="162" spans="1:5" x14ac:dyDescent="0.4">
      <c r="A162">
        <v>69.988399999999999</v>
      </c>
      <c r="B162">
        <v>29</v>
      </c>
      <c r="C162">
        <v>3198.8155000000002</v>
      </c>
      <c r="D162" s="1">
        <v>1</v>
      </c>
      <c r="E162">
        <f t="shared" si="2"/>
        <v>43.659788881228067</v>
      </c>
    </row>
    <row r="163" spans="1:5" x14ac:dyDescent="0.4">
      <c r="A163">
        <v>69.998400000000004</v>
      </c>
      <c r="B163">
        <v>30</v>
      </c>
      <c r="C163">
        <v>3200.3364999999999</v>
      </c>
      <c r="D163" s="1">
        <v>1</v>
      </c>
      <c r="E163">
        <f t="shared" si="2"/>
        <v>45.143833468761805</v>
      </c>
    </row>
    <row r="164" spans="1:5" x14ac:dyDescent="0.4">
      <c r="A164">
        <v>70.008399999999995</v>
      </c>
      <c r="B164">
        <v>18</v>
      </c>
      <c r="C164">
        <v>3198.6120000000001</v>
      </c>
      <c r="D164" s="1">
        <v>1</v>
      </c>
      <c r="E164">
        <f t="shared" si="2"/>
        <v>27.100903391846213</v>
      </c>
    </row>
    <row r="165" spans="1:5" x14ac:dyDescent="0.4">
      <c r="A165">
        <v>70.0184</v>
      </c>
      <c r="B165">
        <v>23</v>
      </c>
      <c r="C165">
        <v>3194.9376999999999</v>
      </c>
      <c r="D165" s="1">
        <v>1</v>
      </c>
      <c r="E165">
        <f t="shared" si="2"/>
        <v>34.668756702204242</v>
      </c>
    </row>
    <row r="166" spans="1:5" x14ac:dyDescent="0.4">
      <c r="A166">
        <v>70.028400000000005</v>
      </c>
      <c r="B166">
        <v>24</v>
      </c>
      <c r="C166">
        <v>3195.4796000000001</v>
      </c>
      <c r="D166" s="1">
        <v>1</v>
      </c>
      <c r="E166">
        <f t="shared" si="2"/>
        <v>36.169959088457333</v>
      </c>
    </row>
    <row r="167" spans="1:5" x14ac:dyDescent="0.4">
      <c r="A167">
        <v>70.038399999999996</v>
      </c>
      <c r="B167">
        <v>15</v>
      </c>
      <c r="C167">
        <v>3197.6432</v>
      </c>
      <c r="D167" s="1">
        <v>1</v>
      </c>
      <c r="E167">
        <f t="shared" si="2"/>
        <v>22.59092853136335</v>
      </c>
    </row>
    <row r="168" spans="1:5" x14ac:dyDescent="0.4">
      <c r="A168">
        <v>70.048400000000001</v>
      </c>
      <c r="B168">
        <v>14</v>
      </c>
      <c r="C168">
        <v>3192.2291</v>
      </c>
      <c r="D168" s="1">
        <v>1</v>
      </c>
      <c r="E168">
        <f t="shared" si="2"/>
        <v>21.120627087823994</v>
      </c>
    </row>
    <row r="169" spans="1:5" x14ac:dyDescent="0.4">
      <c r="A169">
        <v>70.058400000000006</v>
      </c>
      <c r="B169">
        <v>18</v>
      </c>
      <c r="C169">
        <v>3184.9641000000001</v>
      </c>
      <c r="D169" s="1">
        <v>1</v>
      </c>
      <c r="E169">
        <f t="shared" si="2"/>
        <v>27.217033560912036</v>
      </c>
    </row>
    <row r="170" spans="1:5" x14ac:dyDescent="0.4">
      <c r="A170">
        <v>70.068399999999997</v>
      </c>
      <c r="B170">
        <v>9</v>
      </c>
      <c r="C170">
        <v>3187.3004999999998</v>
      </c>
      <c r="D170" s="1">
        <v>1</v>
      </c>
      <c r="E170">
        <f t="shared" si="2"/>
        <v>13.598541273406759</v>
      </c>
    </row>
    <row r="171" spans="1:5" x14ac:dyDescent="0.4">
      <c r="A171">
        <v>70.078400000000002</v>
      </c>
      <c r="B171">
        <v>8</v>
      </c>
      <c r="C171">
        <v>3190.0414999999998</v>
      </c>
      <c r="D171" s="1">
        <v>1</v>
      </c>
      <c r="E171">
        <f t="shared" si="2"/>
        <v>12.077206142929489</v>
      </c>
    </row>
    <row r="172" spans="1:5" x14ac:dyDescent="0.4">
      <c r="A172">
        <v>70.088399999999993</v>
      </c>
      <c r="B172">
        <v>13</v>
      </c>
      <c r="C172">
        <v>3188.0708</v>
      </c>
      <c r="D172" s="1">
        <v>1</v>
      </c>
      <c r="E172">
        <f t="shared" si="2"/>
        <v>19.637591423628361</v>
      </c>
    </row>
    <row r="173" spans="1:5" x14ac:dyDescent="0.4">
      <c r="A173">
        <v>70.098399999999998</v>
      </c>
      <c r="B173">
        <v>7</v>
      </c>
      <c r="C173">
        <v>3178.3395999999998</v>
      </c>
      <c r="D173" s="1">
        <v>1</v>
      </c>
      <c r="E173">
        <f t="shared" si="2"/>
        <v>10.606462632249873</v>
      </c>
    </row>
    <row r="174" spans="1:5" x14ac:dyDescent="0.4">
      <c r="A174">
        <v>70.108400000000003</v>
      </c>
      <c r="B174">
        <v>16</v>
      </c>
      <c r="C174">
        <v>3175.2109999999998</v>
      </c>
      <c r="D174" s="1">
        <v>1</v>
      </c>
      <c r="E174">
        <f t="shared" si="2"/>
        <v>24.267230618689595</v>
      </c>
    </row>
    <row r="175" spans="1:5" x14ac:dyDescent="0.4">
      <c r="A175">
        <v>70.118399999999994</v>
      </c>
      <c r="B175">
        <v>19</v>
      </c>
      <c r="C175">
        <v>3174.5771</v>
      </c>
      <c r="D175" s="1">
        <v>1</v>
      </c>
      <c r="E175">
        <f t="shared" si="2"/>
        <v>28.823090609454724</v>
      </c>
    </row>
    <row r="176" spans="1:5" x14ac:dyDescent="0.4">
      <c r="A176">
        <v>70.128399999999999</v>
      </c>
      <c r="B176">
        <v>11</v>
      </c>
      <c r="C176">
        <v>3171.4924999999998</v>
      </c>
      <c r="D176" s="1">
        <v>1</v>
      </c>
      <c r="E176">
        <f t="shared" si="2"/>
        <v>16.703282318971276</v>
      </c>
    </row>
    <row r="177" spans="1:5" x14ac:dyDescent="0.4">
      <c r="A177">
        <v>70.138400000000004</v>
      </c>
      <c r="B177">
        <v>8</v>
      </c>
      <c r="C177">
        <v>3169.7194</v>
      </c>
      <c r="D177" s="1">
        <v>1</v>
      </c>
      <c r="E177">
        <f t="shared" si="2"/>
        <v>12.154637031908882</v>
      </c>
    </row>
    <row r="178" spans="1:5" x14ac:dyDescent="0.4">
      <c r="A178">
        <v>70.148399999999995</v>
      </c>
      <c r="B178">
        <v>9</v>
      </c>
      <c r="C178">
        <v>3169.6261</v>
      </c>
      <c r="D178" s="1">
        <v>1</v>
      </c>
      <c r="E178">
        <f t="shared" si="2"/>
        <v>13.674369162974775</v>
      </c>
    </row>
    <row r="179" spans="1:5" x14ac:dyDescent="0.4">
      <c r="A179">
        <v>70.1584</v>
      </c>
      <c r="B179">
        <v>11</v>
      </c>
      <c r="C179">
        <v>3174.529</v>
      </c>
      <c r="D179" s="1">
        <v>1</v>
      </c>
      <c r="E179">
        <f t="shared" si="2"/>
        <v>16.687305297888287</v>
      </c>
    </row>
    <row r="180" spans="1:5" x14ac:dyDescent="0.4">
      <c r="A180">
        <v>70.168400000000005</v>
      </c>
      <c r="B180">
        <v>7</v>
      </c>
      <c r="C180">
        <v>3174.4256999999998</v>
      </c>
      <c r="D180" s="1">
        <v>1</v>
      </c>
      <c r="E180">
        <f t="shared" si="2"/>
        <v>10.619539843065159</v>
      </c>
    </row>
    <row r="181" spans="1:5" x14ac:dyDescent="0.4">
      <c r="A181">
        <v>70.178399999999996</v>
      </c>
      <c r="B181">
        <v>6</v>
      </c>
      <c r="C181">
        <v>3173.4038999999998</v>
      </c>
      <c r="D181" s="1">
        <v>1</v>
      </c>
      <c r="E181">
        <f t="shared" si="2"/>
        <v>9.1053936122029722</v>
      </c>
    </row>
    <row r="182" spans="1:5" x14ac:dyDescent="0.4">
      <c r="A182">
        <v>70.188400000000001</v>
      </c>
      <c r="B182">
        <v>13</v>
      </c>
      <c r="C182">
        <v>3179.7455</v>
      </c>
      <c r="D182" s="1">
        <v>1</v>
      </c>
      <c r="E182">
        <f t="shared" si="2"/>
        <v>19.689007123368835</v>
      </c>
    </row>
    <row r="183" spans="1:5" x14ac:dyDescent="0.4">
      <c r="A183">
        <v>70.198400000000007</v>
      </c>
      <c r="B183">
        <v>9</v>
      </c>
      <c r="C183">
        <v>3179.998</v>
      </c>
      <c r="D183" s="1">
        <v>1</v>
      </c>
      <c r="E183">
        <f t="shared" si="2"/>
        <v>13.629768760860856</v>
      </c>
    </row>
    <row r="184" spans="1:5" x14ac:dyDescent="0.4">
      <c r="A184">
        <v>70.208399999999997</v>
      </c>
      <c r="B184">
        <v>3</v>
      </c>
      <c r="C184">
        <v>3169.7231000000002</v>
      </c>
      <c r="D184" s="1">
        <v>1</v>
      </c>
      <c r="E184">
        <f t="shared" si="2"/>
        <v>4.5579835664509618</v>
      </c>
    </row>
    <row r="185" spans="1:5" x14ac:dyDescent="0.4">
      <c r="A185">
        <v>70.218400000000003</v>
      </c>
      <c r="B185">
        <v>7</v>
      </c>
      <c r="C185">
        <v>3160.6716000000001</v>
      </c>
      <c r="D185" s="1">
        <v>1</v>
      </c>
      <c r="E185">
        <f t="shared" si="2"/>
        <v>10.665752240757946</v>
      </c>
    </row>
    <row r="186" spans="1:5" x14ac:dyDescent="0.4">
      <c r="A186">
        <v>70.228399999999993</v>
      </c>
      <c r="B186">
        <v>5</v>
      </c>
      <c r="C186">
        <v>3155.9276</v>
      </c>
      <c r="D186" s="1">
        <v>1</v>
      </c>
      <c r="E186">
        <f t="shared" si="2"/>
        <v>7.6298464514838686</v>
      </c>
    </row>
    <row r="187" spans="1:5" x14ac:dyDescent="0.4">
      <c r="A187">
        <v>70.238399999999999</v>
      </c>
      <c r="B187">
        <v>4</v>
      </c>
      <c r="C187">
        <v>3154.2856999999999</v>
      </c>
      <c r="D187" s="1">
        <v>1</v>
      </c>
      <c r="E187">
        <f t="shared" si="2"/>
        <v>6.1070544117167325</v>
      </c>
    </row>
    <row r="188" spans="1:5" x14ac:dyDescent="0.4">
      <c r="A188">
        <v>70.248400000000004</v>
      </c>
      <c r="B188">
        <v>4</v>
      </c>
      <c r="C188">
        <v>3157.3017</v>
      </c>
      <c r="D188" s="1">
        <v>1</v>
      </c>
      <c r="E188">
        <f t="shared" si="2"/>
        <v>6.1012206720694451</v>
      </c>
    </row>
    <row r="189" spans="1:5" x14ac:dyDescent="0.4">
      <c r="A189">
        <v>70.258399999999995</v>
      </c>
      <c r="B189">
        <v>9</v>
      </c>
      <c r="C189">
        <v>3158.1028999999999</v>
      </c>
      <c r="D189" s="1">
        <v>1</v>
      </c>
      <c r="E189">
        <f t="shared" si="2"/>
        <v>13.724263829402139</v>
      </c>
    </row>
    <row r="190" spans="1:5" x14ac:dyDescent="0.4">
      <c r="A190">
        <v>70.2684</v>
      </c>
      <c r="B190">
        <v>4</v>
      </c>
      <c r="C190">
        <v>3154.0174999999999</v>
      </c>
      <c r="D190" s="1">
        <v>1</v>
      </c>
      <c r="E190">
        <f t="shared" si="2"/>
        <v>6.1075737214520851</v>
      </c>
    </row>
    <row r="191" spans="1:5" x14ac:dyDescent="0.4">
      <c r="A191">
        <v>70.278400000000005</v>
      </c>
      <c r="B191">
        <v>5</v>
      </c>
      <c r="C191">
        <v>3151.1262000000002</v>
      </c>
      <c r="D191" s="1">
        <v>1</v>
      </c>
      <c r="E191">
        <f t="shared" si="2"/>
        <v>7.6414721187618575</v>
      </c>
    </row>
    <row r="192" spans="1:5" x14ac:dyDescent="0.4">
      <c r="A192">
        <v>70.288399999999996</v>
      </c>
      <c r="B192">
        <v>5</v>
      </c>
      <c r="C192">
        <v>3150.0925999999999</v>
      </c>
      <c r="D192" s="1">
        <v>1</v>
      </c>
      <c r="E192">
        <f t="shared" si="2"/>
        <v>7.6439794182558325</v>
      </c>
    </row>
    <row r="193" spans="1:5" x14ac:dyDescent="0.4">
      <c r="A193">
        <v>70.298400000000001</v>
      </c>
      <c r="B193">
        <v>2</v>
      </c>
      <c r="C193">
        <v>3150.7667999999999</v>
      </c>
      <c r="D193" s="1">
        <v>1</v>
      </c>
      <c r="E193">
        <f t="shared" si="2"/>
        <v>3.0569375048638956</v>
      </c>
    </row>
    <row r="194" spans="1:5" x14ac:dyDescent="0.4">
      <c r="A194">
        <v>70.308400000000006</v>
      </c>
      <c r="B194">
        <v>4</v>
      </c>
      <c r="C194">
        <v>3149.7332000000001</v>
      </c>
      <c r="D194" s="1">
        <v>1</v>
      </c>
      <c r="E194">
        <f t="shared" si="2"/>
        <v>6.1158813070262585</v>
      </c>
    </row>
    <row r="195" spans="1:5" x14ac:dyDescent="0.4">
      <c r="A195">
        <v>70.318399999999997</v>
      </c>
      <c r="B195">
        <v>4</v>
      </c>
      <c r="C195">
        <v>3146.5699</v>
      </c>
      <c r="D195" s="1">
        <v>1</v>
      </c>
      <c r="E195">
        <f t="shared" si="2"/>
        <v>6.1220297060618298</v>
      </c>
    </row>
    <row r="196" spans="1:5" x14ac:dyDescent="0.4">
      <c r="A196">
        <v>70.328400000000002</v>
      </c>
      <c r="B196">
        <v>2</v>
      </c>
      <c r="C196">
        <v>3145.5587999999998</v>
      </c>
      <c r="D196" s="1">
        <v>1</v>
      </c>
      <c r="E196">
        <f t="shared" si="2"/>
        <v>3.0619987774509259</v>
      </c>
    </row>
    <row r="197" spans="1:5" x14ac:dyDescent="0.4">
      <c r="A197">
        <v>70.338399999999993</v>
      </c>
      <c r="B197">
        <v>6</v>
      </c>
      <c r="C197">
        <v>3146.2109</v>
      </c>
      <c r="D197" s="1">
        <v>1</v>
      </c>
      <c r="E197">
        <f t="shared" si="2"/>
        <v>9.1840923950775206</v>
      </c>
    </row>
    <row r="198" spans="1:5" x14ac:dyDescent="0.4">
      <c r="A198">
        <v>70.348399999999998</v>
      </c>
      <c r="B198">
        <v>3</v>
      </c>
      <c r="C198">
        <v>3149.1242999999999</v>
      </c>
      <c r="D198" s="1">
        <v>1</v>
      </c>
      <c r="E198">
        <f t="shared" si="2"/>
        <v>4.5877978840022289</v>
      </c>
    </row>
    <row r="199" spans="1:5" x14ac:dyDescent="0.4">
      <c r="A199">
        <v>70.358400000000003</v>
      </c>
      <c r="B199">
        <v>4</v>
      </c>
      <c r="C199">
        <v>3147.5594000000001</v>
      </c>
      <c r="D199" s="1">
        <v>1</v>
      </c>
      <c r="E199">
        <f t="shared" si="2"/>
        <v>6.1201051201766044</v>
      </c>
    </row>
    <row r="200" spans="1:5" x14ac:dyDescent="0.4">
      <c r="A200">
        <v>70.368399999999994</v>
      </c>
      <c r="B200">
        <v>3</v>
      </c>
      <c r="C200">
        <v>3144.6545999999998</v>
      </c>
      <c r="D200" s="1">
        <v>1</v>
      </c>
      <c r="E200">
        <f t="shared" si="2"/>
        <v>4.5943188164448969</v>
      </c>
    </row>
    <row r="201" spans="1:5" x14ac:dyDescent="0.4">
      <c r="A201">
        <v>70.378399999999999</v>
      </c>
      <c r="B201">
        <v>3</v>
      </c>
      <c r="C201">
        <v>3145.4349000000002</v>
      </c>
      <c r="D201" s="1">
        <v>1</v>
      </c>
      <c r="E201">
        <f t="shared" si="2"/>
        <v>4.5931790863005935</v>
      </c>
    </row>
    <row r="202" spans="1:5" x14ac:dyDescent="0.4">
      <c r="A202">
        <v>70.388400000000004</v>
      </c>
      <c r="B202">
        <v>2</v>
      </c>
      <c r="C202">
        <v>3143.4160999999999</v>
      </c>
      <c r="D202" s="1">
        <v>1</v>
      </c>
      <c r="E202">
        <f t="shared" si="2"/>
        <v>3.0640859795812592</v>
      </c>
    </row>
    <row r="203" spans="1:5" x14ac:dyDescent="0.4">
      <c r="A203">
        <v>70.398399999999995</v>
      </c>
      <c r="B203">
        <v>4</v>
      </c>
      <c r="C203">
        <v>3140.3263000000002</v>
      </c>
      <c r="D203" s="1">
        <v>1</v>
      </c>
      <c r="E203">
        <f t="shared" si="2"/>
        <v>6.1342015318599215</v>
      </c>
    </row>
    <row r="204" spans="1:5" x14ac:dyDescent="0.4">
      <c r="A204">
        <v>70.4084</v>
      </c>
      <c r="B204">
        <v>4</v>
      </c>
      <c r="C204">
        <v>3136.0122000000001</v>
      </c>
      <c r="D204" s="1">
        <v>1</v>
      </c>
      <c r="E204">
        <f t="shared" si="2"/>
        <v>6.1426401338617245</v>
      </c>
    </row>
    <row r="205" spans="1:5" x14ac:dyDescent="0.4">
      <c r="A205">
        <v>70.418400000000005</v>
      </c>
      <c r="B205">
        <v>3</v>
      </c>
      <c r="C205">
        <v>3136.4602</v>
      </c>
      <c r="D205" s="1">
        <v>1</v>
      </c>
      <c r="E205">
        <f t="shared" si="2"/>
        <v>4.606322056948148</v>
      </c>
    </row>
    <row r="206" spans="1:5" x14ac:dyDescent="0.4">
      <c r="A206">
        <v>70.428399999999996</v>
      </c>
      <c r="B206">
        <v>1</v>
      </c>
      <c r="C206">
        <v>3131.8442</v>
      </c>
      <c r="D206" s="1">
        <v>1</v>
      </c>
      <c r="E206">
        <f t="shared" si="2"/>
        <v>1.5377037593377092</v>
      </c>
    </row>
    <row r="207" spans="1:5" x14ac:dyDescent="0.4">
      <c r="A207">
        <v>70.438400000000001</v>
      </c>
      <c r="B207">
        <v>6</v>
      </c>
      <c r="C207">
        <v>3124.6822999999999</v>
      </c>
      <c r="D207" s="1">
        <v>1</v>
      </c>
      <c r="E207">
        <f t="shared" si="2"/>
        <v>9.2473694365663999</v>
      </c>
    </row>
    <row r="208" spans="1:5" x14ac:dyDescent="0.4">
      <c r="A208">
        <v>70.448400000000007</v>
      </c>
      <c r="B208">
        <v>1</v>
      </c>
      <c r="C208">
        <v>3120.5612999999998</v>
      </c>
      <c r="D208" s="1">
        <v>1</v>
      </c>
      <c r="E208">
        <f t="shared" si="2"/>
        <v>1.5432635788952458</v>
      </c>
    </row>
    <row r="209" spans="1:5" x14ac:dyDescent="0.4">
      <c r="A209">
        <v>70.458399999999997</v>
      </c>
      <c r="B209">
        <v>1</v>
      </c>
      <c r="C209">
        <v>3118.6783999999998</v>
      </c>
      <c r="D209" s="1">
        <v>1</v>
      </c>
      <c r="E209">
        <f t="shared" si="2"/>
        <v>1.5441953232497461</v>
      </c>
    </row>
    <row r="210" spans="1:5" x14ac:dyDescent="0.4">
      <c r="A210">
        <v>70.468400000000003</v>
      </c>
      <c r="B210">
        <v>2</v>
      </c>
      <c r="C210">
        <v>3125.5697</v>
      </c>
      <c r="D210" s="1">
        <v>1</v>
      </c>
      <c r="E210">
        <f t="shared" si="2"/>
        <v>3.0815813193991484</v>
      </c>
    </row>
    <row r="211" spans="1:5" x14ac:dyDescent="0.4">
      <c r="A211">
        <v>70.478399999999993</v>
      </c>
      <c r="B211">
        <v>2</v>
      </c>
      <c r="C211">
        <v>3133.3020000000001</v>
      </c>
      <c r="D211" s="1">
        <v>1</v>
      </c>
      <c r="E211">
        <f t="shared" si="2"/>
        <v>3.0739766546601635</v>
      </c>
    </row>
    <row r="212" spans="1:5" x14ac:dyDescent="0.4">
      <c r="A212">
        <v>70.488399999999999</v>
      </c>
      <c r="B212">
        <v>3</v>
      </c>
      <c r="C212">
        <v>3135.4378000000002</v>
      </c>
      <c r="D212" s="1">
        <v>1</v>
      </c>
      <c r="E212">
        <f t="shared" si="2"/>
        <v>4.607824081217621</v>
      </c>
    </row>
    <row r="213" spans="1:5" x14ac:dyDescent="0.4">
      <c r="A213">
        <v>70.498400000000004</v>
      </c>
      <c r="B213">
        <v>2</v>
      </c>
      <c r="C213">
        <v>3130.6475</v>
      </c>
      <c r="D213" s="1">
        <v>1</v>
      </c>
      <c r="E213">
        <f t="shared" si="2"/>
        <v>3.0765831030162292</v>
      </c>
    </row>
    <row r="214" spans="1:5" x14ac:dyDescent="0.4">
      <c r="A214">
        <v>70.508399999999995</v>
      </c>
      <c r="B214">
        <v>2</v>
      </c>
      <c r="C214">
        <v>3124.2438000000002</v>
      </c>
      <c r="D214" s="1">
        <v>1</v>
      </c>
      <c r="E214">
        <f t="shared" ref="E214:E222" si="3">$A$1*B214/C214</f>
        <v>3.0828891138393231</v>
      </c>
    </row>
    <row r="215" spans="1:5" x14ac:dyDescent="0.4">
      <c r="A215">
        <v>70.5184</v>
      </c>
      <c r="B215">
        <v>5</v>
      </c>
      <c r="C215">
        <v>3113.0266000000001</v>
      </c>
      <c r="D215" s="1">
        <v>1</v>
      </c>
      <c r="E215">
        <f t="shared" si="3"/>
        <v>7.7349942978322126</v>
      </c>
    </row>
    <row r="216" spans="1:5" x14ac:dyDescent="0.4">
      <c r="A216">
        <v>70.528400000000005</v>
      </c>
      <c r="B216">
        <v>2</v>
      </c>
      <c r="C216">
        <v>3111.0066000000002</v>
      </c>
      <c r="D216" s="1">
        <v>1</v>
      </c>
      <c r="E216">
        <f t="shared" si="3"/>
        <v>3.0960066751385229</v>
      </c>
    </row>
    <row r="217" spans="1:5" x14ac:dyDescent="0.4">
      <c r="A217">
        <v>70.538399999999996</v>
      </c>
      <c r="B217">
        <v>1</v>
      </c>
      <c r="C217">
        <v>3110.7172999999998</v>
      </c>
      <c r="D217" s="1">
        <v>1</v>
      </c>
      <c r="E217">
        <f t="shared" si="3"/>
        <v>1.5481473035174236</v>
      </c>
    </row>
    <row r="218" spans="1:5" x14ac:dyDescent="0.4">
      <c r="A218">
        <v>70.548400000000001</v>
      </c>
      <c r="B218">
        <v>2</v>
      </c>
      <c r="C218">
        <v>3112.0680000000002</v>
      </c>
      <c r="D218" s="1">
        <v>1</v>
      </c>
      <c r="E218">
        <f t="shared" si="3"/>
        <v>3.0949507530041118</v>
      </c>
    </row>
    <row r="219" spans="1:5" x14ac:dyDescent="0.4">
      <c r="A219">
        <v>70.558400000000006</v>
      </c>
      <c r="B219">
        <v>5</v>
      </c>
      <c r="C219">
        <v>3113.6516999999999</v>
      </c>
      <c r="D219" s="1">
        <v>1</v>
      </c>
      <c r="E219">
        <f t="shared" si="3"/>
        <v>7.7334414122170454</v>
      </c>
    </row>
    <row r="220" spans="1:5" x14ac:dyDescent="0.4">
      <c r="A220">
        <v>70.568399999999997</v>
      </c>
      <c r="B220">
        <v>1</v>
      </c>
      <c r="C220">
        <v>3119.3049999999998</v>
      </c>
      <c r="D220" s="1">
        <v>1</v>
      </c>
      <c r="E220">
        <f t="shared" si="3"/>
        <v>1.543885128257737</v>
      </c>
    </row>
    <row r="221" spans="1:5" x14ac:dyDescent="0.4">
      <c r="A221">
        <v>70.578400000000002</v>
      </c>
      <c r="B221">
        <v>0</v>
      </c>
      <c r="C221">
        <v>3114.3960999999999</v>
      </c>
      <c r="D221" s="1">
        <v>1</v>
      </c>
      <c r="E221">
        <f t="shared" si="3"/>
        <v>0</v>
      </c>
    </row>
    <row r="222" spans="1:5" x14ac:dyDescent="0.4">
      <c r="A222">
        <v>70.588399999999993</v>
      </c>
      <c r="B222">
        <v>4</v>
      </c>
      <c r="C222">
        <v>3112.5376999999999</v>
      </c>
      <c r="D222" s="1">
        <v>1</v>
      </c>
      <c r="E222">
        <f t="shared" si="3"/>
        <v>6.1889674139529305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8270-314E-46C4-AA18-C723B54F32C6}">
  <dimension ref="A1:O222"/>
  <sheetViews>
    <sheetView workbookViewId="0">
      <selection activeCell="A13" sqref="A13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24</v>
      </c>
    </row>
    <row r="4" spans="1:1" x14ac:dyDescent="0.4">
      <c r="A4" t="s">
        <v>31</v>
      </c>
    </row>
    <row r="5" spans="1:1" x14ac:dyDescent="0.4">
      <c r="A5" t="s">
        <v>32</v>
      </c>
    </row>
    <row r="6" spans="1:1" x14ac:dyDescent="0.4">
      <c r="A6" t="s">
        <v>33</v>
      </c>
    </row>
    <row r="7" spans="1:1" x14ac:dyDescent="0.4">
      <c r="A7" t="s">
        <v>34</v>
      </c>
    </row>
    <row r="8" spans="1:1" x14ac:dyDescent="0.4">
      <c r="A8" t="s">
        <v>5</v>
      </c>
    </row>
    <row r="9" spans="1:1" x14ac:dyDescent="0.4">
      <c r="A9" t="s">
        <v>35</v>
      </c>
    </row>
    <row r="10" spans="1:1" x14ac:dyDescent="0.4">
      <c r="A10" t="s">
        <v>7</v>
      </c>
    </row>
    <row r="11" spans="1:1" x14ac:dyDescent="0.4">
      <c r="A11" t="s">
        <v>36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15" x14ac:dyDescent="0.4">
      <c r="A17" t="s">
        <v>14</v>
      </c>
    </row>
    <row r="18" spans="1:15" x14ac:dyDescent="0.4">
      <c r="A18" t="s">
        <v>15</v>
      </c>
    </row>
    <row r="19" spans="1:15" x14ac:dyDescent="0.4">
      <c r="A19" t="s">
        <v>37</v>
      </c>
      <c r="B19" t="s">
        <v>38</v>
      </c>
    </row>
    <row r="20" spans="1:15" x14ac:dyDescent="0.4">
      <c r="A20" t="s">
        <v>18</v>
      </c>
      <c r="B20" t="s">
        <v>19</v>
      </c>
    </row>
    <row r="21" spans="1:15" x14ac:dyDescent="0.4">
      <c r="A21" t="s">
        <v>20</v>
      </c>
      <c r="B21" t="s">
        <v>21</v>
      </c>
      <c r="C21" t="s">
        <v>22</v>
      </c>
      <c r="D21" t="s">
        <v>23</v>
      </c>
    </row>
    <row r="22" spans="1:15" x14ac:dyDescent="0.4">
      <c r="A22">
        <v>68.5899</v>
      </c>
      <c r="B22">
        <v>29</v>
      </c>
      <c r="C22">
        <v>4452.1619000000001</v>
      </c>
      <c r="D22" s="1">
        <v>1</v>
      </c>
      <c r="E22">
        <f t="shared" ref="E22:E85" si="0">$A$1*B22/C22</f>
        <v>31.368942221081408</v>
      </c>
    </row>
    <row r="23" spans="1:15" x14ac:dyDescent="0.4">
      <c r="A23">
        <v>68.599900000000005</v>
      </c>
      <c r="B23">
        <v>31</v>
      </c>
      <c r="C23">
        <v>4444.5617000000002</v>
      </c>
      <c r="D23" s="1">
        <v>1</v>
      </c>
      <c r="E23">
        <f t="shared" si="0"/>
        <v>33.589657805852937</v>
      </c>
    </row>
    <row r="24" spans="1:15" x14ac:dyDescent="0.4">
      <c r="A24">
        <v>68.609899999999996</v>
      </c>
      <c r="B24">
        <v>26</v>
      </c>
      <c r="C24">
        <v>4440.2878000000001</v>
      </c>
      <c r="D24" s="1">
        <v>1</v>
      </c>
      <c r="E24">
        <f t="shared" si="0"/>
        <v>28.199087365463114</v>
      </c>
    </row>
    <row r="25" spans="1:15" x14ac:dyDescent="0.4">
      <c r="A25">
        <v>68.619900000000001</v>
      </c>
      <c r="B25">
        <v>43</v>
      </c>
      <c r="C25">
        <v>4438.4538000000002</v>
      </c>
      <c r="D25" s="1">
        <v>1</v>
      </c>
      <c r="E25">
        <f t="shared" si="0"/>
        <v>46.656222894558461</v>
      </c>
    </row>
    <row r="26" spans="1:15" x14ac:dyDescent="0.4">
      <c r="A26">
        <v>68.629900000000006</v>
      </c>
      <c r="B26">
        <v>34</v>
      </c>
      <c r="C26">
        <v>4435.3495999999996</v>
      </c>
      <c r="D26" s="1">
        <v>1</v>
      </c>
      <c r="E26">
        <f t="shared" si="0"/>
        <v>36.916786086039309</v>
      </c>
      <c r="M26">
        <v>0.15</v>
      </c>
    </row>
    <row r="27" spans="1:15" x14ac:dyDescent="0.4">
      <c r="A27">
        <v>68.639899999999997</v>
      </c>
      <c r="B27">
        <v>40</v>
      </c>
      <c r="C27">
        <v>4427.3838999999998</v>
      </c>
      <c r="D27" s="1">
        <v>1</v>
      </c>
      <c r="E27">
        <f t="shared" si="0"/>
        <v>43.509654538880177</v>
      </c>
      <c r="L27">
        <v>0.1</v>
      </c>
      <c r="M27">
        <f>SIN(RADIANS(M26))</f>
        <v>2.6179908874179934E-3</v>
      </c>
      <c r="N27" s="2">
        <f>L27/M27</f>
        <v>38.197229975321079</v>
      </c>
    </row>
    <row r="28" spans="1:15" x14ac:dyDescent="0.4">
      <c r="A28">
        <v>68.649900000000002</v>
      </c>
      <c r="B28">
        <v>32</v>
      </c>
      <c r="C28">
        <v>4424.3471</v>
      </c>
      <c r="D28" s="1">
        <v>1</v>
      </c>
      <c r="E28">
        <f t="shared" si="0"/>
        <v>34.831615087342492</v>
      </c>
    </row>
    <row r="29" spans="1:15" x14ac:dyDescent="0.4">
      <c r="A29">
        <v>68.659899999999993</v>
      </c>
      <c r="B29">
        <v>36</v>
      </c>
      <c r="C29">
        <v>4426.4521000000004</v>
      </c>
      <c r="D29" s="1">
        <v>1</v>
      </c>
      <c r="E29">
        <f t="shared" si="0"/>
        <v>39.166932270655316</v>
      </c>
      <c r="M29">
        <v>200</v>
      </c>
      <c r="N29">
        <f>1.2398419/8</f>
        <v>0.15498023750000001</v>
      </c>
      <c r="O29" s="2">
        <f>DEGREES(ASIN(N29/(2*M29)))</f>
        <v>2.2199284347131414E-2</v>
      </c>
    </row>
    <row r="30" spans="1:15" x14ac:dyDescent="0.4">
      <c r="A30">
        <v>68.669899999999998</v>
      </c>
      <c r="B30">
        <v>33</v>
      </c>
      <c r="C30">
        <v>4426.8292000000001</v>
      </c>
      <c r="D30" s="1">
        <v>1</v>
      </c>
      <c r="E30">
        <f t="shared" si="0"/>
        <v>35.899962844737722</v>
      </c>
    </row>
    <row r="31" spans="1:15" x14ac:dyDescent="0.4">
      <c r="A31">
        <v>68.679900000000004</v>
      </c>
      <c r="B31">
        <v>23</v>
      </c>
      <c r="C31">
        <v>4419.9339</v>
      </c>
      <c r="D31" s="1">
        <v>1</v>
      </c>
      <c r="E31">
        <f t="shared" si="0"/>
        <v>25.060220425468355</v>
      </c>
    </row>
    <row r="32" spans="1:15" x14ac:dyDescent="0.4">
      <c r="A32">
        <v>68.689899999999994</v>
      </c>
      <c r="B32">
        <v>26</v>
      </c>
      <c r="C32">
        <v>4412.9780000000001</v>
      </c>
      <c r="D32" s="1">
        <v>1</v>
      </c>
      <c r="E32">
        <f t="shared" si="0"/>
        <v>28.373597964911678</v>
      </c>
    </row>
    <row r="33" spans="1:5" x14ac:dyDescent="0.4">
      <c r="A33">
        <v>68.6999</v>
      </c>
      <c r="B33">
        <v>41</v>
      </c>
      <c r="C33">
        <v>4408.1557000000003</v>
      </c>
      <c r="D33" s="1">
        <v>1</v>
      </c>
      <c r="E33">
        <f t="shared" si="0"/>
        <v>44.791927971146755</v>
      </c>
    </row>
    <row r="34" spans="1:5" x14ac:dyDescent="0.4">
      <c r="A34">
        <v>68.709900000000005</v>
      </c>
      <c r="B34">
        <v>38</v>
      </c>
      <c r="C34">
        <v>4401.3269</v>
      </c>
      <c r="D34" s="1">
        <v>1</v>
      </c>
      <c r="E34">
        <f t="shared" si="0"/>
        <v>41.578880859769818</v>
      </c>
    </row>
    <row r="35" spans="1:5" x14ac:dyDescent="0.4">
      <c r="A35">
        <v>68.719899999999996</v>
      </c>
      <c r="B35">
        <v>47</v>
      </c>
      <c r="C35">
        <v>4401.8050999999996</v>
      </c>
      <c r="D35" s="1">
        <v>1</v>
      </c>
      <c r="E35">
        <f t="shared" si="0"/>
        <v>51.420923702414726</v>
      </c>
    </row>
    <row r="36" spans="1:5" x14ac:dyDescent="0.4">
      <c r="A36">
        <v>68.729900000000001</v>
      </c>
      <c r="B36">
        <v>36</v>
      </c>
      <c r="C36">
        <v>4404.4907000000003</v>
      </c>
      <c r="D36" s="1">
        <v>1</v>
      </c>
      <c r="E36">
        <f t="shared" si="0"/>
        <v>39.362224013777571</v>
      </c>
    </row>
    <row r="37" spans="1:5" x14ac:dyDescent="0.4">
      <c r="A37">
        <v>68.739900000000006</v>
      </c>
      <c r="B37">
        <v>60</v>
      </c>
      <c r="C37">
        <v>4403.1886999999997</v>
      </c>
      <c r="D37" s="1">
        <v>1</v>
      </c>
      <c r="E37">
        <f t="shared" si="0"/>
        <v>65.623105364528215</v>
      </c>
    </row>
    <row r="38" spans="1:5" x14ac:dyDescent="0.4">
      <c r="A38">
        <v>68.749899999999997</v>
      </c>
      <c r="B38">
        <v>50</v>
      </c>
      <c r="C38">
        <v>4399.424</v>
      </c>
      <c r="D38" s="1">
        <v>1</v>
      </c>
      <c r="E38">
        <f t="shared" si="0"/>
        <v>54.732717282989782</v>
      </c>
    </row>
    <row r="39" spans="1:5" x14ac:dyDescent="0.4">
      <c r="A39">
        <v>68.759900000000002</v>
      </c>
      <c r="B39">
        <v>42</v>
      </c>
      <c r="C39">
        <v>4403.4016000000001</v>
      </c>
      <c r="D39" s="1">
        <v>1</v>
      </c>
      <c r="E39">
        <f t="shared" si="0"/>
        <v>45.933952787772071</v>
      </c>
    </row>
    <row r="40" spans="1:5" x14ac:dyDescent="0.4">
      <c r="A40">
        <v>68.769900000000007</v>
      </c>
      <c r="B40">
        <v>43</v>
      </c>
      <c r="C40">
        <v>4412.3292000000001</v>
      </c>
      <c r="D40" s="1">
        <v>1</v>
      </c>
      <c r="E40">
        <f t="shared" si="0"/>
        <v>46.932465918454135</v>
      </c>
    </row>
    <row r="41" spans="1:5" x14ac:dyDescent="0.4">
      <c r="A41">
        <v>68.779899999999998</v>
      </c>
      <c r="B41">
        <v>57</v>
      </c>
      <c r="C41">
        <v>4405.8809000000001</v>
      </c>
      <c r="D41" s="1">
        <v>1</v>
      </c>
      <c r="E41">
        <f t="shared" si="0"/>
        <v>62.303856239055392</v>
      </c>
    </row>
    <row r="42" spans="1:5" x14ac:dyDescent="0.4">
      <c r="A42">
        <v>68.789900000000003</v>
      </c>
      <c r="B42">
        <v>50</v>
      </c>
      <c r="C42">
        <v>4395.6695</v>
      </c>
      <c r="D42" s="1">
        <v>1</v>
      </c>
      <c r="E42">
        <f t="shared" si="0"/>
        <v>54.779466472627213</v>
      </c>
    </row>
    <row r="43" spans="1:5" x14ac:dyDescent="0.4">
      <c r="A43">
        <v>68.799899999999994</v>
      </c>
      <c r="B43">
        <v>41</v>
      </c>
      <c r="C43">
        <v>4390.2276000000002</v>
      </c>
      <c r="D43" s="1">
        <v>1</v>
      </c>
      <c r="E43">
        <f t="shared" si="0"/>
        <v>44.974841987691029</v>
      </c>
    </row>
    <row r="44" spans="1:5" x14ac:dyDescent="0.4">
      <c r="A44">
        <v>68.809899999999999</v>
      </c>
      <c r="B44">
        <v>53</v>
      </c>
      <c r="C44">
        <v>4382.6220999999996</v>
      </c>
      <c r="D44" s="1">
        <v>1</v>
      </c>
      <c r="E44">
        <f t="shared" si="0"/>
        <v>58.239102066317798</v>
      </c>
    </row>
    <row r="45" spans="1:5" x14ac:dyDescent="0.4">
      <c r="A45">
        <v>68.819900000000004</v>
      </c>
      <c r="B45">
        <v>44</v>
      </c>
      <c r="C45">
        <v>4381.3804</v>
      </c>
      <c r="D45" s="1">
        <v>1</v>
      </c>
      <c r="E45">
        <f t="shared" si="0"/>
        <v>48.363145642409869</v>
      </c>
    </row>
    <row r="46" spans="1:5" x14ac:dyDescent="0.4">
      <c r="A46">
        <v>68.829899999999995</v>
      </c>
      <c r="B46">
        <v>50</v>
      </c>
      <c r="C46">
        <v>4383.8991999999998</v>
      </c>
      <c r="D46" s="1">
        <v>1</v>
      </c>
      <c r="E46">
        <f t="shared" si="0"/>
        <v>54.926543475269696</v>
      </c>
    </row>
    <row r="47" spans="1:5" x14ac:dyDescent="0.4">
      <c r="A47">
        <v>68.8399</v>
      </c>
      <c r="B47">
        <v>55</v>
      </c>
      <c r="C47">
        <v>4381.4502000000002</v>
      </c>
      <c r="D47" s="1">
        <v>1</v>
      </c>
      <c r="E47">
        <f t="shared" si="0"/>
        <v>60.45296897360604</v>
      </c>
    </row>
    <row r="48" spans="1:5" x14ac:dyDescent="0.4">
      <c r="A48">
        <v>68.849900000000005</v>
      </c>
      <c r="B48">
        <v>56</v>
      </c>
      <c r="C48">
        <v>4374.9337999999998</v>
      </c>
      <c r="D48" s="1">
        <v>1</v>
      </c>
      <c r="E48">
        <f t="shared" si="0"/>
        <v>61.643794838678481</v>
      </c>
    </row>
    <row r="49" spans="1:5" x14ac:dyDescent="0.4">
      <c r="A49">
        <v>68.859899999999996</v>
      </c>
      <c r="B49">
        <v>46</v>
      </c>
      <c r="C49">
        <v>4371.8143</v>
      </c>
      <c r="D49" s="1">
        <v>1</v>
      </c>
      <c r="E49">
        <f t="shared" si="0"/>
        <v>50.672105537511051</v>
      </c>
    </row>
    <row r="50" spans="1:5" x14ac:dyDescent="0.4">
      <c r="A50">
        <v>68.869900000000001</v>
      </c>
      <c r="B50">
        <v>53</v>
      </c>
      <c r="C50">
        <v>4371.2686999999996</v>
      </c>
      <c r="D50" s="1">
        <v>1</v>
      </c>
      <c r="E50">
        <f t="shared" si="0"/>
        <v>58.390365204500021</v>
      </c>
    </row>
    <row r="51" spans="1:5" x14ac:dyDescent="0.4">
      <c r="A51">
        <v>68.879900000000006</v>
      </c>
      <c r="B51">
        <v>56</v>
      </c>
      <c r="C51">
        <v>4367.1733999999997</v>
      </c>
      <c r="D51" s="1">
        <v>1</v>
      </c>
      <c r="E51">
        <f t="shared" si="0"/>
        <v>61.753334914523904</v>
      </c>
    </row>
    <row r="52" spans="1:5" x14ac:dyDescent="0.4">
      <c r="A52">
        <v>68.889899999999997</v>
      </c>
      <c r="B52">
        <v>61</v>
      </c>
      <c r="C52">
        <v>4362.4759000000004</v>
      </c>
      <c r="D52" s="1">
        <v>1</v>
      </c>
      <c r="E52">
        <f t="shared" si="0"/>
        <v>67.339458448354975</v>
      </c>
    </row>
    <row r="53" spans="1:5" x14ac:dyDescent="0.4">
      <c r="A53">
        <v>68.899900000000002</v>
      </c>
      <c r="B53">
        <v>72</v>
      </c>
      <c r="C53">
        <v>4362.3833000000004</v>
      </c>
      <c r="D53" s="1">
        <v>1</v>
      </c>
      <c r="E53">
        <f t="shared" si="0"/>
        <v>79.484326652359954</v>
      </c>
    </row>
    <row r="54" spans="1:5" x14ac:dyDescent="0.4">
      <c r="A54">
        <v>68.909899999999993</v>
      </c>
      <c r="B54">
        <v>56</v>
      </c>
      <c r="C54">
        <v>4364.0164000000004</v>
      </c>
      <c r="D54" s="1">
        <v>1</v>
      </c>
      <c r="E54">
        <f t="shared" si="0"/>
        <v>61.798008275129305</v>
      </c>
    </row>
    <row r="55" spans="1:5" x14ac:dyDescent="0.4">
      <c r="A55">
        <v>68.919899999999998</v>
      </c>
      <c r="B55">
        <v>65</v>
      </c>
      <c r="C55">
        <v>4369.0825000000004</v>
      </c>
      <c r="D55" s="1">
        <v>1</v>
      </c>
      <c r="E55">
        <f t="shared" si="0"/>
        <v>71.646657850933238</v>
      </c>
    </row>
    <row r="56" spans="1:5" x14ac:dyDescent="0.4">
      <c r="A56">
        <v>68.929900000000004</v>
      </c>
      <c r="B56">
        <v>68</v>
      </c>
      <c r="C56">
        <v>4360.8783999999996</v>
      </c>
      <c r="D56" s="1">
        <v>1</v>
      </c>
      <c r="E56">
        <f t="shared" si="0"/>
        <v>75.094436203495164</v>
      </c>
    </row>
    <row r="57" spans="1:5" x14ac:dyDescent="0.4">
      <c r="A57">
        <v>68.939899999999994</v>
      </c>
      <c r="B57">
        <v>69</v>
      </c>
      <c r="C57">
        <v>4351.6192000000001</v>
      </c>
      <c r="D57" s="1">
        <v>1</v>
      </c>
      <c r="E57">
        <f t="shared" si="0"/>
        <v>76.360898812101951</v>
      </c>
    </row>
    <row r="58" spans="1:5" x14ac:dyDescent="0.4">
      <c r="A58">
        <v>68.9499</v>
      </c>
      <c r="B58">
        <v>75</v>
      </c>
      <c r="C58">
        <v>4345.9862000000003</v>
      </c>
      <c r="D58" s="1">
        <v>1</v>
      </c>
      <c r="E58">
        <f t="shared" si="0"/>
        <v>83.108557730809181</v>
      </c>
    </row>
    <row r="59" spans="1:5" x14ac:dyDescent="0.4">
      <c r="A59">
        <v>68.959900000000005</v>
      </c>
      <c r="B59">
        <v>83</v>
      </c>
      <c r="C59">
        <v>4349.7583999999997</v>
      </c>
      <c r="D59" s="1">
        <v>1</v>
      </c>
      <c r="E59">
        <f t="shared" si="0"/>
        <v>91.893709269002159</v>
      </c>
    </row>
    <row r="60" spans="1:5" x14ac:dyDescent="0.4">
      <c r="A60">
        <v>68.969899999999996</v>
      </c>
      <c r="B60">
        <v>78</v>
      </c>
      <c r="C60">
        <v>4346.277</v>
      </c>
      <c r="D60" s="1">
        <v>1</v>
      </c>
      <c r="E60">
        <f t="shared" si="0"/>
        <v>86.427117001516478</v>
      </c>
    </row>
    <row r="61" spans="1:5" x14ac:dyDescent="0.4">
      <c r="A61">
        <v>68.979900000000001</v>
      </c>
      <c r="B61">
        <v>78</v>
      </c>
      <c r="C61">
        <v>4346.3546999999999</v>
      </c>
      <c r="D61" s="1">
        <v>1</v>
      </c>
      <c r="E61">
        <f t="shared" si="0"/>
        <v>86.425571939630245</v>
      </c>
    </row>
    <row r="62" spans="1:5" x14ac:dyDescent="0.4">
      <c r="A62">
        <v>68.989900000000006</v>
      </c>
      <c r="B62">
        <v>78</v>
      </c>
      <c r="C62">
        <v>4344.1652000000004</v>
      </c>
      <c r="D62" s="1">
        <v>1</v>
      </c>
      <c r="E62">
        <f t="shared" si="0"/>
        <v>86.469131238379248</v>
      </c>
    </row>
    <row r="63" spans="1:5" x14ac:dyDescent="0.4">
      <c r="A63">
        <v>68.999899999999997</v>
      </c>
      <c r="B63">
        <v>91</v>
      </c>
      <c r="C63">
        <v>4335.2219999999998</v>
      </c>
      <c r="D63" s="1">
        <v>1</v>
      </c>
      <c r="E63">
        <f t="shared" si="0"/>
        <v>101.08876145212403</v>
      </c>
    </row>
    <row r="64" spans="1:5" x14ac:dyDescent="0.4">
      <c r="A64">
        <v>69.009900000000002</v>
      </c>
      <c r="B64">
        <v>89</v>
      </c>
      <c r="C64">
        <v>4329.973</v>
      </c>
      <c r="D64" s="1">
        <v>1</v>
      </c>
      <c r="E64">
        <f t="shared" si="0"/>
        <v>98.986881765775451</v>
      </c>
    </row>
    <row r="65" spans="1:5" x14ac:dyDescent="0.4">
      <c r="A65">
        <v>69.019900000000007</v>
      </c>
      <c r="B65">
        <v>85</v>
      </c>
      <c r="C65">
        <v>4333.51</v>
      </c>
      <c r="D65" s="1">
        <v>1</v>
      </c>
      <c r="E65">
        <f t="shared" si="0"/>
        <v>94.460871441395071</v>
      </c>
    </row>
    <row r="66" spans="1:5" x14ac:dyDescent="0.4">
      <c r="A66">
        <v>69.029899999999998</v>
      </c>
      <c r="B66">
        <v>99</v>
      </c>
      <c r="C66">
        <v>4336.7520000000004</v>
      </c>
      <c r="D66" s="1">
        <v>1</v>
      </c>
      <c r="E66">
        <f t="shared" si="0"/>
        <v>109.93688626880208</v>
      </c>
    </row>
    <row r="67" spans="1:5" x14ac:dyDescent="0.4">
      <c r="A67">
        <v>69.039900000000003</v>
      </c>
      <c r="B67">
        <v>109</v>
      </c>
      <c r="C67">
        <v>4335.4566000000004</v>
      </c>
      <c r="D67" s="1">
        <v>1</v>
      </c>
      <c r="E67">
        <f t="shared" si="0"/>
        <v>121.07778853097041</v>
      </c>
    </row>
    <row r="68" spans="1:5" x14ac:dyDescent="0.4">
      <c r="A68">
        <v>69.049899999999994</v>
      </c>
      <c r="B68">
        <v>82</v>
      </c>
      <c r="C68">
        <v>4336.2880999999998</v>
      </c>
      <c r="D68" s="1">
        <v>1</v>
      </c>
      <c r="E68">
        <f t="shared" si="0"/>
        <v>91.068576647386521</v>
      </c>
    </row>
    <row r="69" spans="1:5" x14ac:dyDescent="0.4">
      <c r="A69">
        <v>69.059899999999999</v>
      </c>
      <c r="B69">
        <v>105</v>
      </c>
      <c r="C69">
        <v>4332.2803000000004</v>
      </c>
      <c r="D69" s="1">
        <v>1</v>
      </c>
      <c r="E69">
        <f t="shared" si="0"/>
        <v>116.72007995419871</v>
      </c>
    </row>
    <row r="70" spans="1:5" x14ac:dyDescent="0.4">
      <c r="A70">
        <v>69.069900000000004</v>
      </c>
      <c r="B70">
        <v>114</v>
      </c>
      <c r="C70">
        <v>4327.1388999999999</v>
      </c>
      <c r="D70" s="1">
        <v>1</v>
      </c>
      <c r="E70">
        <f t="shared" si="0"/>
        <v>126.87522935767096</v>
      </c>
    </row>
    <row r="71" spans="1:5" x14ac:dyDescent="0.4">
      <c r="A71">
        <v>69.079899999999995</v>
      </c>
      <c r="B71">
        <v>103</v>
      </c>
      <c r="C71">
        <v>4322.4179000000004</v>
      </c>
      <c r="D71" s="1">
        <v>1</v>
      </c>
      <c r="E71">
        <f t="shared" si="0"/>
        <v>114.75808616283955</v>
      </c>
    </row>
    <row r="72" spans="1:5" x14ac:dyDescent="0.4">
      <c r="A72">
        <v>69.0899</v>
      </c>
      <c r="B72">
        <v>127</v>
      </c>
      <c r="C72">
        <v>4314.0469000000003</v>
      </c>
      <c r="D72" s="1">
        <v>1</v>
      </c>
      <c r="E72">
        <f t="shared" si="0"/>
        <v>141.77239756016559</v>
      </c>
    </row>
    <row r="73" spans="1:5" x14ac:dyDescent="0.4">
      <c r="A73">
        <v>69.099900000000005</v>
      </c>
      <c r="B73">
        <v>111</v>
      </c>
      <c r="C73">
        <v>4316.8555999999999</v>
      </c>
      <c r="D73" s="1">
        <v>1</v>
      </c>
      <c r="E73">
        <f t="shared" si="0"/>
        <v>123.83068699356079</v>
      </c>
    </row>
    <row r="74" spans="1:5" x14ac:dyDescent="0.4">
      <c r="A74">
        <v>69.109899999999996</v>
      </c>
      <c r="B74">
        <v>110</v>
      </c>
      <c r="C74">
        <v>4320.7561999999998</v>
      </c>
      <c r="D74" s="1">
        <v>1</v>
      </c>
      <c r="E74">
        <f t="shared" si="0"/>
        <v>122.60431310611787</v>
      </c>
    </row>
    <row r="75" spans="1:5" x14ac:dyDescent="0.4">
      <c r="A75">
        <v>69.119900000000001</v>
      </c>
      <c r="B75">
        <v>139</v>
      </c>
      <c r="C75">
        <v>4317.9898000000003</v>
      </c>
      <c r="D75" s="1">
        <v>1</v>
      </c>
      <c r="E75">
        <f t="shared" si="0"/>
        <v>155.02652539846204</v>
      </c>
    </row>
    <row r="76" spans="1:5" x14ac:dyDescent="0.4">
      <c r="A76">
        <v>69.129900000000006</v>
      </c>
      <c r="B76">
        <v>153</v>
      </c>
      <c r="C76">
        <v>4306.9027999999998</v>
      </c>
      <c r="D76" s="1">
        <v>1</v>
      </c>
      <c r="E76">
        <f t="shared" si="0"/>
        <v>171.07997789037637</v>
      </c>
    </row>
    <row r="77" spans="1:5" x14ac:dyDescent="0.4">
      <c r="A77">
        <v>69.139899999999997</v>
      </c>
      <c r="B77">
        <v>156</v>
      </c>
      <c r="C77">
        <v>4303.7384000000002</v>
      </c>
      <c r="D77" s="1">
        <v>1</v>
      </c>
      <c r="E77">
        <f t="shared" si="0"/>
        <v>174.56274331172173</v>
      </c>
    </row>
    <row r="78" spans="1:5" x14ac:dyDescent="0.4">
      <c r="A78">
        <v>69.149900000000002</v>
      </c>
      <c r="B78">
        <v>156</v>
      </c>
      <c r="C78">
        <v>4311.7623999999996</v>
      </c>
      <c r="D78" s="1">
        <v>1</v>
      </c>
      <c r="E78">
        <f t="shared" si="0"/>
        <v>174.23788973158636</v>
      </c>
    </row>
    <row r="79" spans="1:5" x14ac:dyDescent="0.4">
      <c r="A79">
        <v>69.159899999999993</v>
      </c>
      <c r="B79">
        <v>157</v>
      </c>
      <c r="C79">
        <v>4312.0774000000001</v>
      </c>
      <c r="D79" s="1">
        <v>1</v>
      </c>
      <c r="E79">
        <f t="shared" si="0"/>
        <v>175.34198950139438</v>
      </c>
    </row>
    <row r="80" spans="1:5" x14ac:dyDescent="0.4">
      <c r="A80">
        <v>69.169899999999998</v>
      </c>
      <c r="B80">
        <v>178</v>
      </c>
      <c r="C80">
        <v>4305.63</v>
      </c>
      <c r="D80" s="1">
        <v>1</v>
      </c>
      <c r="E80">
        <f t="shared" si="0"/>
        <v>199.09305973806389</v>
      </c>
    </row>
    <row r="81" spans="1:5" x14ac:dyDescent="0.4">
      <c r="A81">
        <v>69.179900000000004</v>
      </c>
      <c r="B81">
        <v>201</v>
      </c>
      <c r="C81">
        <v>4307.6034</v>
      </c>
      <c r="D81" s="1">
        <v>1</v>
      </c>
      <c r="E81">
        <f t="shared" si="0"/>
        <v>224.71557353678381</v>
      </c>
    </row>
    <row r="82" spans="1:5" x14ac:dyDescent="0.4">
      <c r="A82">
        <v>69.189899999999994</v>
      </c>
      <c r="B82">
        <v>156</v>
      </c>
      <c r="C82">
        <v>4303.5474000000004</v>
      </c>
      <c r="D82" s="1">
        <v>1</v>
      </c>
      <c r="E82">
        <f t="shared" si="0"/>
        <v>174.57049075374422</v>
      </c>
    </row>
    <row r="83" spans="1:5" x14ac:dyDescent="0.4">
      <c r="A83">
        <v>69.1999</v>
      </c>
      <c r="B83">
        <v>180</v>
      </c>
      <c r="C83">
        <v>4294.3671000000004</v>
      </c>
      <c r="D83" s="1">
        <v>1</v>
      </c>
      <c r="E83">
        <f t="shared" si="0"/>
        <v>201.85809173137525</v>
      </c>
    </row>
    <row r="84" spans="1:5" x14ac:dyDescent="0.4">
      <c r="A84">
        <v>69.209900000000005</v>
      </c>
      <c r="B84">
        <v>207</v>
      </c>
      <c r="C84">
        <v>4283.5433999999996</v>
      </c>
      <c r="D84" s="1">
        <v>1</v>
      </c>
      <c r="E84">
        <f t="shared" si="0"/>
        <v>232.72337107638506</v>
      </c>
    </row>
    <row r="85" spans="1:5" x14ac:dyDescent="0.4">
      <c r="A85">
        <v>69.219899999999996</v>
      </c>
      <c r="B85">
        <v>212</v>
      </c>
      <c r="C85">
        <v>4285.2430999999997</v>
      </c>
      <c r="D85" s="1">
        <v>1</v>
      </c>
      <c r="E85">
        <f t="shared" si="0"/>
        <v>238.25017143134775</v>
      </c>
    </row>
    <row r="86" spans="1:5" x14ac:dyDescent="0.4">
      <c r="A86">
        <v>69.229900000000001</v>
      </c>
      <c r="B86">
        <v>237</v>
      </c>
      <c r="C86">
        <v>4292.2440999999999</v>
      </c>
      <c r="D86" s="1">
        <v>1</v>
      </c>
      <c r="E86">
        <f t="shared" ref="E86:E149" si="1">$A$1*B86/C86</f>
        <v>265.9112789507941</v>
      </c>
    </row>
    <row r="87" spans="1:5" x14ac:dyDescent="0.4">
      <c r="A87">
        <v>69.239900000000006</v>
      </c>
      <c r="B87">
        <v>239</v>
      </c>
      <c r="C87">
        <v>4297.9612999999999</v>
      </c>
      <c r="D87" s="1">
        <v>1</v>
      </c>
      <c r="E87">
        <f t="shared" si="1"/>
        <v>267.79855263005743</v>
      </c>
    </row>
    <row r="88" spans="1:5" x14ac:dyDescent="0.4">
      <c r="A88">
        <v>69.249899999999997</v>
      </c>
      <c r="B88">
        <v>245</v>
      </c>
      <c r="C88">
        <v>4285.9363000000003</v>
      </c>
      <c r="D88" s="1">
        <v>1</v>
      </c>
      <c r="E88">
        <f t="shared" si="1"/>
        <v>275.29175060301293</v>
      </c>
    </row>
    <row r="89" spans="1:5" x14ac:dyDescent="0.4">
      <c r="A89">
        <v>69.259900000000002</v>
      </c>
      <c r="B89">
        <v>243</v>
      </c>
      <c r="C89">
        <v>4276.6007</v>
      </c>
      <c r="D89" s="1">
        <v>1</v>
      </c>
      <c r="E89">
        <f t="shared" si="1"/>
        <v>273.64051308320649</v>
      </c>
    </row>
    <row r="90" spans="1:5" x14ac:dyDescent="0.4">
      <c r="A90">
        <v>69.269900000000007</v>
      </c>
      <c r="B90">
        <v>286</v>
      </c>
      <c r="C90">
        <v>4276.1884</v>
      </c>
      <c r="D90" s="1">
        <v>1</v>
      </c>
      <c r="E90">
        <f t="shared" si="1"/>
        <v>322.0935493861777</v>
      </c>
    </row>
    <row r="91" spans="1:5" x14ac:dyDescent="0.4">
      <c r="A91">
        <v>69.279899999999998</v>
      </c>
      <c r="B91">
        <v>316</v>
      </c>
      <c r="C91">
        <v>4280.7554</v>
      </c>
      <c r="D91" s="1">
        <v>1</v>
      </c>
      <c r="E91">
        <f t="shared" si="1"/>
        <v>355.49990957203488</v>
      </c>
    </row>
    <row r="92" spans="1:5" x14ac:dyDescent="0.4">
      <c r="A92">
        <v>69.289900000000003</v>
      </c>
      <c r="B92">
        <v>304</v>
      </c>
      <c r="C92">
        <v>4281.2275</v>
      </c>
      <c r="D92" s="1">
        <v>1</v>
      </c>
      <c r="E92">
        <f t="shared" si="1"/>
        <v>341.96219995316767</v>
      </c>
    </row>
    <row r="93" spans="1:5" x14ac:dyDescent="0.4">
      <c r="A93">
        <v>69.299899999999994</v>
      </c>
      <c r="B93">
        <v>357</v>
      </c>
      <c r="C93">
        <v>4273.3568999999998</v>
      </c>
      <c r="D93" s="1">
        <v>1</v>
      </c>
      <c r="E93">
        <f t="shared" si="1"/>
        <v>402.32023452101561</v>
      </c>
    </row>
    <row r="94" spans="1:5" x14ac:dyDescent="0.4">
      <c r="A94">
        <v>69.309899999999999</v>
      </c>
      <c r="B94">
        <v>380</v>
      </c>
      <c r="C94">
        <v>4266.6709000000001</v>
      </c>
      <c r="D94" s="1">
        <v>1</v>
      </c>
      <c r="E94">
        <f t="shared" si="1"/>
        <v>428.91109037727756</v>
      </c>
    </row>
    <row r="95" spans="1:5" x14ac:dyDescent="0.4">
      <c r="A95">
        <v>69.319900000000004</v>
      </c>
      <c r="B95">
        <v>334</v>
      </c>
      <c r="C95">
        <v>4259.4080999999996</v>
      </c>
      <c r="D95" s="1">
        <v>1</v>
      </c>
      <c r="E95">
        <f t="shared" si="1"/>
        <v>377.6330876583533</v>
      </c>
    </row>
    <row r="96" spans="1:5" x14ac:dyDescent="0.4">
      <c r="A96">
        <v>69.329899999999995</v>
      </c>
      <c r="B96">
        <v>425</v>
      </c>
      <c r="C96">
        <v>4259.4466000000002</v>
      </c>
      <c r="D96" s="1">
        <v>1</v>
      </c>
      <c r="E96">
        <f t="shared" si="1"/>
        <v>480.51680117318523</v>
      </c>
    </row>
    <row r="97" spans="1:5" x14ac:dyDescent="0.4">
      <c r="A97">
        <v>69.3399</v>
      </c>
      <c r="B97">
        <v>437</v>
      </c>
      <c r="C97">
        <v>4263.0923000000003</v>
      </c>
      <c r="D97" s="1">
        <v>1</v>
      </c>
      <c r="E97">
        <f t="shared" si="1"/>
        <v>493.66180464823623</v>
      </c>
    </row>
    <row r="98" spans="1:5" x14ac:dyDescent="0.4">
      <c r="A98">
        <v>69.349900000000005</v>
      </c>
      <c r="B98">
        <v>504</v>
      </c>
      <c r="C98">
        <v>4266.6046999999999</v>
      </c>
      <c r="D98" s="1">
        <v>1</v>
      </c>
      <c r="E98">
        <f t="shared" si="1"/>
        <v>568.88037797361449</v>
      </c>
    </row>
    <row r="99" spans="1:5" x14ac:dyDescent="0.4">
      <c r="A99">
        <v>69.359899999999996</v>
      </c>
      <c r="B99">
        <v>538</v>
      </c>
      <c r="C99">
        <v>4262.5236000000004</v>
      </c>
      <c r="D99" s="1">
        <v>1</v>
      </c>
      <c r="E99">
        <f t="shared" si="1"/>
        <v>607.83863972037591</v>
      </c>
    </row>
    <row r="100" spans="1:5" x14ac:dyDescent="0.4">
      <c r="A100">
        <v>69.369900000000001</v>
      </c>
      <c r="B100">
        <v>581</v>
      </c>
      <c r="C100">
        <v>4259.5060000000003</v>
      </c>
      <c r="D100" s="1">
        <v>1</v>
      </c>
      <c r="E100">
        <f t="shared" si="1"/>
        <v>656.885572317541</v>
      </c>
    </row>
    <row r="101" spans="1:5" x14ac:dyDescent="0.4">
      <c r="A101">
        <v>69.379900000000006</v>
      </c>
      <c r="B101">
        <v>624</v>
      </c>
      <c r="C101">
        <v>4253.4058000000005</v>
      </c>
      <c r="D101" s="1">
        <v>1</v>
      </c>
      <c r="E101">
        <f t="shared" si="1"/>
        <v>706.51371341055676</v>
      </c>
    </row>
    <row r="102" spans="1:5" x14ac:dyDescent="0.4">
      <c r="A102">
        <v>69.389899999999997</v>
      </c>
      <c r="B102">
        <v>671</v>
      </c>
      <c r="C102">
        <v>4248.3436000000002</v>
      </c>
      <c r="D102" s="1">
        <v>1</v>
      </c>
      <c r="E102">
        <f t="shared" si="1"/>
        <v>760.63395875041749</v>
      </c>
    </row>
    <row r="103" spans="1:5" x14ac:dyDescent="0.4">
      <c r="A103">
        <v>69.399900000000002</v>
      </c>
      <c r="B103">
        <v>817</v>
      </c>
      <c r="C103">
        <v>4250.1985999999997</v>
      </c>
      <c r="D103" s="1">
        <v>1</v>
      </c>
      <c r="E103">
        <f t="shared" si="1"/>
        <v>925.73281309725155</v>
      </c>
    </row>
    <row r="104" spans="1:5" x14ac:dyDescent="0.4">
      <c r="A104">
        <v>69.409899999999993</v>
      </c>
      <c r="B104">
        <v>867</v>
      </c>
      <c r="C104">
        <v>4255.3184000000001</v>
      </c>
      <c r="D104" s="1">
        <v>1</v>
      </c>
      <c r="E104">
        <f t="shared" si="1"/>
        <v>981.20524569912322</v>
      </c>
    </row>
    <row r="105" spans="1:5" x14ac:dyDescent="0.4">
      <c r="A105">
        <v>69.419899999999998</v>
      </c>
      <c r="B105">
        <v>944</v>
      </c>
      <c r="C105">
        <v>4257.9674999999997</v>
      </c>
      <c r="D105" s="1">
        <v>1</v>
      </c>
      <c r="E105">
        <f t="shared" si="1"/>
        <v>1067.6833673342974</v>
      </c>
    </row>
    <row r="106" spans="1:5" x14ac:dyDescent="0.4">
      <c r="A106">
        <v>69.429900000000004</v>
      </c>
      <c r="B106">
        <v>1075</v>
      </c>
      <c r="C106">
        <v>4259.5964000000004</v>
      </c>
      <c r="D106" s="1">
        <v>1</v>
      </c>
      <c r="E106">
        <f t="shared" si="1"/>
        <v>1215.3821063892344</v>
      </c>
    </row>
    <row r="107" spans="1:5" x14ac:dyDescent="0.4">
      <c r="A107">
        <v>69.439899999999994</v>
      </c>
      <c r="B107">
        <v>1199</v>
      </c>
      <c r="C107">
        <v>4250.2524000000003</v>
      </c>
      <c r="D107" s="1">
        <v>1</v>
      </c>
      <c r="E107">
        <f t="shared" si="1"/>
        <v>1358.555193428042</v>
      </c>
    </row>
    <row r="108" spans="1:5" x14ac:dyDescent="0.4">
      <c r="A108">
        <v>69.4499</v>
      </c>
      <c r="B108">
        <v>1390</v>
      </c>
      <c r="C108">
        <v>4236.4849000000004</v>
      </c>
      <c r="D108" s="1">
        <v>1</v>
      </c>
      <c r="E108">
        <f t="shared" si="1"/>
        <v>1580.0905023879584</v>
      </c>
    </row>
    <row r="109" spans="1:5" x14ac:dyDescent="0.4">
      <c r="A109">
        <v>69.459900000000005</v>
      </c>
      <c r="B109">
        <v>1644</v>
      </c>
      <c r="C109">
        <v>4233.7496000000001</v>
      </c>
      <c r="D109" s="1">
        <v>1</v>
      </c>
      <c r="E109">
        <f t="shared" si="1"/>
        <v>1870.0338580250473</v>
      </c>
    </row>
    <row r="110" spans="1:5" x14ac:dyDescent="0.4">
      <c r="A110">
        <v>69.469899999999996</v>
      </c>
      <c r="B110">
        <v>1962</v>
      </c>
      <c r="C110">
        <v>4235.3953000000001</v>
      </c>
      <c r="D110" s="1">
        <v>1</v>
      </c>
      <c r="E110">
        <f t="shared" si="1"/>
        <v>2230.8885674024336</v>
      </c>
    </row>
    <row r="111" spans="1:5" x14ac:dyDescent="0.4">
      <c r="A111">
        <v>69.479900000000001</v>
      </c>
      <c r="B111">
        <v>2341</v>
      </c>
      <c r="C111">
        <v>4236.2604000000001</v>
      </c>
      <c r="D111" s="1">
        <v>1</v>
      </c>
      <c r="E111">
        <f t="shared" si="1"/>
        <v>2661.2862544049467</v>
      </c>
    </row>
    <row r="112" spans="1:5" x14ac:dyDescent="0.4">
      <c r="A112">
        <v>69.489900000000006</v>
      </c>
      <c r="B112">
        <v>2673</v>
      </c>
      <c r="C112">
        <v>4232.0177999999996</v>
      </c>
      <c r="D112" s="1">
        <v>1</v>
      </c>
      <c r="E112">
        <f t="shared" si="1"/>
        <v>3041.7554736655411</v>
      </c>
    </row>
    <row r="113" spans="1:5" x14ac:dyDescent="0.4">
      <c r="A113">
        <v>69.499899999999997</v>
      </c>
      <c r="B113">
        <v>3472</v>
      </c>
      <c r="C113">
        <v>4229.7714999999998</v>
      </c>
      <c r="D113" s="1">
        <v>1</v>
      </c>
      <c r="E113">
        <f t="shared" si="1"/>
        <v>3953.0802879540897</v>
      </c>
    </row>
    <row r="114" spans="1:5" x14ac:dyDescent="0.4">
      <c r="A114">
        <v>69.509900000000002</v>
      </c>
      <c r="B114">
        <v>4273</v>
      </c>
      <c r="C114">
        <v>4232.6468000000004</v>
      </c>
      <c r="D114" s="1">
        <v>1</v>
      </c>
      <c r="E114">
        <f t="shared" si="1"/>
        <v>4861.7619282100268</v>
      </c>
    </row>
    <row r="115" spans="1:5" x14ac:dyDescent="0.4">
      <c r="A115">
        <v>69.519900000000007</v>
      </c>
      <c r="B115">
        <v>5717</v>
      </c>
      <c r="C115">
        <v>4229.4558999999999</v>
      </c>
      <c r="D115" s="1">
        <v>1</v>
      </c>
      <c r="E115">
        <f t="shared" si="1"/>
        <v>6509.6331767402999</v>
      </c>
    </row>
    <row r="116" spans="1:5" x14ac:dyDescent="0.4">
      <c r="A116">
        <v>69.529899999999998</v>
      </c>
      <c r="B116">
        <v>7652</v>
      </c>
      <c r="C116">
        <v>4228.8801000000003</v>
      </c>
      <c r="D116" s="1">
        <v>1</v>
      </c>
      <c r="E116">
        <f t="shared" si="1"/>
        <v>8714.09749526831</v>
      </c>
    </row>
    <row r="117" spans="1:5" x14ac:dyDescent="0.4">
      <c r="A117">
        <v>69.539900000000003</v>
      </c>
      <c r="B117">
        <v>11055</v>
      </c>
      <c r="C117">
        <v>4223.1023999999998</v>
      </c>
      <c r="D117" s="1">
        <v>1</v>
      </c>
      <c r="E117">
        <f t="shared" si="1"/>
        <v>12606.657672567922</v>
      </c>
    </row>
    <row r="118" spans="1:5" x14ac:dyDescent="0.4">
      <c r="A118">
        <v>69.549899999999994</v>
      </c>
      <c r="B118">
        <v>18253</v>
      </c>
      <c r="C118">
        <v>4215.5907999999999</v>
      </c>
      <c r="D118" s="1">
        <v>1</v>
      </c>
      <c r="E118">
        <f t="shared" si="1"/>
        <v>20852.043916549017</v>
      </c>
    </row>
    <row r="119" spans="1:5" x14ac:dyDescent="0.4">
      <c r="A119">
        <v>69.559899999999999</v>
      </c>
      <c r="B119">
        <v>34915</v>
      </c>
      <c r="C119">
        <v>4209.8236999999999</v>
      </c>
      <c r="D119" s="1">
        <v>1</v>
      </c>
      <c r="E119">
        <f t="shared" si="1"/>
        <v>39941.18657961853</v>
      </c>
    </row>
    <row r="120" spans="1:5" x14ac:dyDescent="0.4">
      <c r="A120">
        <v>69.569900000000004</v>
      </c>
      <c r="B120">
        <v>105981</v>
      </c>
      <c r="C120">
        <v>4211.4192999999996</v>
      </c>
      <c r="D120" s="1">
        <v>1</v>
      </c>
      <c r="E120">
        <f t="shared" si="1"/>
        <v>121191.55422890333</v>
      </c>
    </row>
    <row r="121" spans="1:5" x14ac:dyDescent="0.4">
      <c r="A121">
        <v>69.579899999999995</v>
      </c>
      <c r="B121">
        <v>3081582</v>
      </c>
      <c r="C121">
        <v>4211.0248000000001</v>
      </c>
      <c r="D121" s="1">
        <v>1</v>
      </c>
      <c r="E121">
        <f t="shared" si="1"/>
        <v>3524185.4572989456</v>
      </c>
    </row>
    <row r="122" spans="1:5" x14ac:dyDescent="0.4">
      <c r="A122">
        <v>69.5899</v>
      </c>
      <c r="B122">
        <v>8159042</v>
      </c>
      <c r="C122">
        <v>4212.8850000000002</v>
      </c>
      <c r="D122" s="1">
        <v>1</v>
      </c>
      <c r="E122">
        <f t="shared" si="1"/>
        <v>9326794.10737326</v>
      </c>
    </row>
    <row r="123" spans="1:5" x14ac:dyDescent="0.4">
      <c r="A123">
        <v>69.599900000000005</v>
      </c>
      <c r="B123">
        <v>3458639</v>
      </c>
      <c r="C123">
        <v>4216.3909000000003</v>
      </c>
      <c r="D123" s="1">
        <v>1</v>
      </c>
      <c r="E123">
        <f t="shared" si="1"/>
        <v>3950364.7031529737</v>
      </c>
    </row>
    <row r="124" spans="1:5" x14ac:dyDescent="0.4">
      <c r="A124">
        <v>69.609899999999996</v>
      </c>
      <c r="B124">
        <v>93991</v>
      </c>
      <c r="C124">
        <v>4207.6455999999998</v>
      </c>
      <c r="D124" s="1">
        <v>1</v>
      </c>
      <c r="E124">
        <f t="shared" si="1"/>
        <v>107577.12716170773</v>
      </c>
    </row>
    <row r="125" spans="1:5" x14ac:dyDescent="0.4">
      <c r="A125">
        <v>69.619900000000001</v>
      </c>
      <c r="B125">
        <v>32339</v>
      </c>
      <c r="C125">
        <v>4195.9714000000004</v>
      </c>
      <c r="D125" s="1">
        <v>1</v>
      </c>
      <c r="E125">
        <f t="shared" si="1"/>
        <v>37116.489372496675</v>
      </c>
    </row>
    <row r="126" spans="1:5" x14ac:dyDescent="0.4">
      <c r="A126">
        <v>69.629900000000006</v>
      </c>
      <c r="B126">
        <v>16829</v>
      </c>
      <c r="C126">
        <v>4188.4438</v>
      </c>
      <c r="D126" s="1">
        <v>1</v>
      </c>
      <c r="E126">
        <f t="shared" si="1"/>
        <v>19349.887442538922</v>
      </c>
    </row>
    <row r="127" spans="1:5" x14ac:dyDescent="0.4">
      <c r="A127">
        <v>69.639899999999997</v>
      </c>
      <c r="B127">
        <v>10404</v>
      </c>
      <c r="C127">
        <v>4185.9044000000004</v>
      </c>
      <c r="D127" s="1">
        <v>1</v>
      </c>
      <c r="E127">
        <f t="shared" si="1"/>
        <v>11969.716469014438</v>
      </c>
    </row>
    <row r="128" spans="1:5" x14ac:dyDescent="0.4">
      <c r="A128">
        <v>69.649900000000002</v>
      </c>
      <c r="B128">
        <v>6994</v>
      </c>
      <c r="C128">
        <v>4191.9592000000002</v>
      </c>
      <c r="D128" s="1">
        <v>1</v>
      </c>
      <c r="E128">
        <f t="shared" si="1"/>
        <v>8034.9172073048803</v>
      </c>
    </row>
    <row r="129" spans="1:5" x14ac:dyDescent="0.4">
      <c r="A129">
        <v>69.659899999999993</v>
      </c>
      <c r="B129">
        <v>5389</v>
      </c>
      <c r="C129">
        <v>4202.7502000000004</v>
      </c>
      <c r="D129" s="1">
        <v>1</v>
      </c>
      <c r="E129">
        <f t="shared" si="1"/>
        <v>6175.1488597633042</v>
      </c>
    </row>
    <row r="130" spans="1:5" x14ac:dyDescent="0.4">
      <c r="A130">
        <v>69.669899999999998</v>
      </c>
      <c r="B130">
        <v>4075</v>
      </c>
      <c r="C130">
        <v>4206.8353999999999</v>
      </c>
      <c r="D130" s="1">
        <v>1</v>
      </c>
      <c r="E130">
        <f t="shared" si="1"/>
        <v>4664.9277138344896</v>
      </c>
    </row>
    <row r="131" spans="1:5" x14ac:dyDescent="0.4">
      <c r="A131">
        <v>69.679900000000004</v>
      </c>
      <c r="B131">
        <v>3055</v>
      </c>
      <c r="C131">
        <v>4208.5264999999999</v>
      </c>
      <c r="D131" s="1">
        <v>1</v>
      </c>
      <c r="E131">
        <f t="shared" si="1"/>
        <v>3495.8595301704768</v>
      </c>
    </row>
    <row r="132" spans="1:5" x14ac:dyDescent="0.4">
      <c r="A132">
        <v>69.689899999999994</v>
      </c>
      <c r="B132">
        <v>2543</v>
      </c>
      <c r="C132">
        <v>4205.683</v>
      </c>
      <c r="D132" s="1">
        <v>1</v>
      </c>
      <c r="E132">
        <f t="shared" si="1"/>
        <v>2911.9415300202131</v>
      </c>
    </row>
    <row r="133" spans="1:5" x14ac:dyDescent="0.4">
      <c r="A133">
        <v>69.6999</v>
      </c>
      <c r="B133">
        <v>2139</v>
      </c>
      <c r="C133">
        <v>4196.5859</v>
      </c>
      <c r="D133" s="1">
        <v>1</v>
      </c>
      <c r="E133">
        <f t="shared" si="1"/>
        <v>2454.6382227991571</v>
      </c>
    </row>
    <row r="134" spans="1:5" x14ac:dyDescent="0.4">
      <c r="A134">
        <v>69.709900000000005</v>
      </c>
      <c r="B134">
        <v>1774</v>
      </c>
      <c r="C134">
        <v>4181.3459000000003</v>
      </c>
      <c r="D134" s="1">
        <v>1</v>
      </c>
      <c r="E134">
        <f t="shared" si="1"/>
        <v>2043.1974825139437</v>
      </c>
    </row>
    <row r="135" spans="1:5" x14ac:dyDescent="0.4">
      <c r="A135">
        <v>69.719899999999996</v>
      </c>
      <c r="B135">
        <v>1495</v>
      </c>
      <c r="C135">
        <v>4173.1615000000002</v>
      </c>
      <c r="D135" s="1">
        <v>1</v>
      </c>
      <c r="E135">
        <f t="shared" si="1"/>
        <v>1725.2372468690705</v>
      </c>
    </row>
    <row r="136" spans="1:5" x14ac:dyDescent="0.4">
      <c r="A136">
        <v>69.729900000000001</v>
      </c>
      <c r="B136">
        <v>1222</v>
      </c>
      <c r="C136">
        <v>4168.9894999999997</v>
      </c>
      <c r="D136" s="1">
        <v>1</v>
      </c>
      <c r="E136">
        <f t="shared" si="1"/>
        <v>1411.6051357769074</v>
      </c>
    </row>
    <row r="137" spans="1:5" x14ac:dyDescent="0.4">
      <c r="A137">
        <v>69.739900000000006</v>
      </c>
      <c r="B137">
        <v>1046</v>
      </c>
      <c r="C137">
        <v>4177.7449999999999</v>
      </c>
      <c r="D137" s="1">
        <v>1</v>
      </c>
      <c r="E137">
        <f t="shared" si="1"/>
        <v>1205.7647452393578</v>
      </c>
    </row>
    <row r="138" spans="1:5" x14ac:dyDescent="0.4">
      <c r="A138">
        <v>69.749899999999997</v>
      </c>
      <c r="B138">
        <v>930</v>
      </c>
      <c r="C138">
        <v>4182.8167999999996</v>
      </c>
      <c r="D138" s="1">
        <v>1</v>
      </c>
      <c r="E138">
        <f t="shared" si="1"/>
        <v>1070.7471572744951</v>
      </c>
    </row>
    <row r="139" spans="1:5" x14ac:dyDescent="0.4">
      <c r="A139">
        <v>69.759900000000002</v>
      </c>
      <c r="B139">
        <v>820</v>
      </c>
      <c r="C139">
        <v>4177.8154000000004</v>
      </c>
      <c r="D139" s="1">
        <v>1</v>
      </c>
      <c r="E139">
        <f t="shared" si="1"/>
        <v>945.2298567332582</v>
      </c>
    </row>
    <row r="140" spans="1:5" x14ac:dyDescent="0.4">
      <c r="A140">
        <v>69.769900000000007</v>
      </c>
      <c r="B140">
        <v>711</v>
      </c>
      <c r="C140">
        <v>4181.3851000000004</v>
      </c>
      <c r="D140" s="1">
        <v>1</v>
      </c>
      <c r="E140">
        <f t="shared" si="1"/>
        <v>818.88376045535722</v>
      </c>
    </row>
    <row r="141" spans="1:5" x14ac:dyDescent="0.4">
      <c r="A141">
        <v>69.779899999999998</v>
      </c>
      <c r="B141">
        <v>666</v>
      </c>
      <c r="C141">
        <v>4176.1773999999996</v>
      </c>
      <c r="D141" s="1">
        <v>1</v>
      </c>
      <c r="E141">
        <f t="shared" si="1"/>
        <v>768.01219402221773</v>
      </c>
    </row>
    <row r="142" spans="1:5" x14ac:dyDescent="0.4">
      <c r="A142">
        <v>69.789900000000003</v>
      </c>
      <c r="B142">
        <v>612</v>
      </c>
      <c r="C142">
        <v>4166.7449999999999</v>
      </c>
      <c r="D142" s="1">
        <v>1</v>
      </c>
      <c r="E142">
        <f t="shared" si="1"/>
        <v>707.33854440336529</v>
      </c>
    </row>
    <row r="143" spans="1:5" x14ac:dyDescent="0.4">
      <c r="A143">
        <v>69.799899999999994</v>
      </c>
      <c r="B143">
        <v>556</v>
      </c>
      <c r="C143">
        <v>4156.0846000000001</v>
      </c>
      <c r="D143" s="1">
        <v>1</v>
      </c>
      <c r="E143">
        <f t="shared" si="1"/>
        <v>644.26306952461948</v>
      </c>
    </row>
    <row r="144" spans="1:5" x14ac:dyDescent="0.4">
      <c r="A144">
        <v>69.809899999999999</v>
      </c>
      <c r="B144">
        <v>546</v>
      </c>
      <c r="C144">
        <v>4152.0213999999996</v>
      </c>
      <c r="D144" s="1">
        <v>1</v>
      </c>
      <c r="E144">
        <f t="shared" si="1"/>
        <v>633.294745446158</v>
      </c>
    </row>
    <row r="145" spans="1:5" x14ac:dyDescent="0.4">
      <c r="A145">
        <v>69.819900000000004</v>
      </c>
      <c r="B145">
        <v>424</v>
      </c>
      <c r="C145">
        <v>4151.7305999999999</v>
      </c>
      <c r="D145" s="1">
        <v>1</v>
      </c>
      <c r="E145">
        <f t="shared" si="1"/>
        <v>491.82377257329756</v>
      </c>
    </row>
    <row r="146" spans="1:5" x14ac:dyDescent="0.4">
      <c r="A146">
        <v>69.829899999999995</v>
      </c>
      <c r="B146">
        <v>436</v>
      </c>
      <c r="C146">
        <v>4155.1686</v>
      </c>
      <c r="D146" s="1">
        <v>1</v>
      </c>
      <c r="E146">
        <f t="shared" si="1"/>
        <v>505.32485964588778</v>
      </c>
    </row>
    <row r="147" spans="1:5" x14ac:dyDescent="0.4">
      <c r="A147">
        <v>69.8399</v>
      </c>
      <c r="B147">
        <v>379</v>
      </c>
      <c r="C147">
        <v>4159.4011</v>
      </c>
      <c r="D147" s="1">
        <v>1</v>
      </c>
      <c r="E147">
        <f t="shared" si="1"/>
        <v>438.81476576038801</v>
      </c>
    </row>
    <row r="148" spans="1:5" x14ac:dyDescent="0.4">
      <c r="A148">
        <v>69.849900000000005</v>
      </c>
      <c r="B148">
        <v>361</v>
      </c>
      <c r="C148">
        <v>4159.1216000000004</v>
      </c>
      <c r="D148" s="1">
        <v>1</v>
      </c>
      <c r="E148">
        <f t="shared" si="1"/>
        <v>418.00204749964513</v>
      </c>
    </row>
    <row r="149" spans="1:5" x14ac:dyDescent="0.4">
      <c r="A149">
        <v>69.859899999999996</v>
      </c>
      <c r="B149">
        <v>329</v>
      </c>
      <c r="C149">
        <v>4154.8541999999998</v>
      </c>
      <c r="D149" s="1">
        <v>1</v>
      </c>
      <c r="E149">
        <f t="shared" si="1"/>
        <v>381.34050273051702</v>
      </c>
    </row>
    <row r="150" spans="1:5" x14ac:dyDescent="0.4">
      <c r="A150">
        <v>69.869900000000001</v>
      </c>
      <c r="B150">
        <v>288</v>
      </c>
      <c r="C150">
        <v>4146.3825999999999</v>
      </c>
      <c r="D150" s="1">
        <v>1</v>
      </c>
      <c r="E150">
        <f t="shared" ref="E150:E213" si="2">$A$1*B150/C150</f>
        <v>334.49985941963001</v>
      </c>
    </row>
    <row r="151" spans="1:5" x14ac:dyDescent="0.4">
      <c r="A151">
        <v>69.879900000000006</v>
      </c>
      <c r="B151">
        <v>263</v>
      </c>
      <c r="C151">
        <v>4146.5441000000001</v>
      </c>
      <c r="D151" s="1">
        <v>1</v>
      </c>
      <c r="E151">
        <f t="shared" si="2"/>
        <v>305.45151607093726</v>
      </c>
    </row>
    <row r="152" spans="1:5" x14ac:dyDescent="0.4">
      <c r="A152">
        <v>69.889899999999997</v>
      </c>
      <c r="B152">
        <v>255</v>
      </c>
      <c r="C152">
        <v>4148.5241999999998</v>
      </c>
      <c r="D152" s="1">
        <v>1</v>
      </c>
      <c r="E152">
        <f t="shared" si="2"/>
        <v>296.01885726013126</v>
      </c>
    </row>
    <row r="153" spans="1:5" x14ac:dyDescent="0.4">
      <c r="A153">
        <v>69.899900000000002</v>
      </c>
      <c r="B153">
        <v>224</v>
      </c>
      <c r="C153">
        <v>4141.1935999999996</v>
      </c>
      <c r="D153" s="1">
        <v>1</v>
      </c>
      <c r="E153">
        <f t="shared" si="2"/>
        <v>260.49255132626502</v>
      </c>
    </row>
    <row r="154" spans="1:5" x14ac:dyDescent="0.4">
      <c r="A154">
        <v>69.909899999999993</v>
      </c>
      <c r="B154">
        <v>215</v>
      </c>
      <c r="C154">
        <v>4136.2206999999999</v>
      </c>
      <c r="D154" s="1">
        <v>1</v>
      </c>
      <c r="E154">
        <f t="shared" si="2"/>
        <v>250.32693468218466</v>
      </c>
    </row>
    <row r="155" spans="1:5" x14ac:dyDescent="0.4">
      <c r="A155">
        <v>69.919899999999998</v>
      </c>
      <c r="B155">
        <v>199</v>
      </c>
      <c r="C155">
        <v>4134.3119999999999</v>
      </c>
      <c r="D155" s="1">
        <v>1</v>
      </c>
      <c r="E155">
        <f t="shared" si="2"/>
        <v>231.80492217326611</v>
      </c>
    </row>
    <row r="156" spans="1:5" x14ac:dyDescent="0.4">
      <c r="A156">
        <v>69.929900000000004</v>
      </c>
      <c r="B156">
        <v>180</v>
      </c>
      <c r="C156">
        <v>4132.6541999999999</v>
      </c>
      <c r="D156" s="1">
        <v>1</v>
      </c>
      <c r="E156">
        <f t="shared" si="2"/>
        <v>209.75690344476439</v>
      </c>
    </row>
    <row r="157" spans="1:5" x14ac:dyDescent="0.4">
      <c r="A157">
        <v>69.939899999999994</v>
      </c>
      <c r="B157">
        <v>174</v>
      </c>
      <c r="C157">
        <v>4130.3562000000002</v>
      </c>
      <c r="D157" s="1">
        <v>1</v>
      </c>
      <c r="E157">
        <f t="shared" si="2"/>
        <v>202.87781872178482</v>
      </c>
    </row>
    <row r="158" spans="1:5" x14ac:dyDescent="0.4">
      <c r="A158">
        <v>69.9499</v>
      </c>
      <c r="B158">
        <v>164</v>
      </c>
      <c r="C158">
        <v>4124.5910000000003</v>
      </c>
      <c r="D158" s="1">
        <v>1</v>
      </c>
      <c r="E158">
        <f t="shared" si="2"/>
        <v>191.48545162417315</v>
      </c>
    </row>
    <row r="159" spans="1:5" x14ac:dyDescent="0.4">
      <c r="A159">
        <v>69.959900000000005</v>
      </c>
      <c r="B159">
        <v>172</v>
      </c>
      <c r="C159">
        <v>4125.0528000000004</v>
      </c>
      <c r="D159" s="1">
        <v>1</v>
      </c>
      <c r="E159">
        <f t="shared" si="2"/>
        <v>200.80372285174144</v>
      </c>
    </row>
    <row r="160" spans="1:5" x14ac:dyDescent="0.4">
      <c r="A160">
        <v>69.969899999999996</v>
      </c>
      <c r="B160">
        <v>110</v>
      </c>
      <c r="C160">
        <v>4133.3374999999996</v>
      </c>
      <c r="D160" s="1">
        <v>1</v>
      </c>
      <c r="E160">
        <f t="shared" si="2"/>
        <v>128.16358354477467</v>
      </c>
    </row>
    <row r="161" spans="1:5" x14ac:dyDescent="0.4">
      <c r="A161">
        <v>69.979900000000001</v>
      </c>
      <c r="B161">
        <v>148</v>
      </c>
      <c r="C161">
        <v>4135.3684000000003</v>
      </c>
      <c r="D161" s="1">
        <v>1</v>
      </c>
      <c r="E161">
        <f t="shared" si="2"/>
        <v>172.35359074659465</v>
      </c>
    </row>
    <row r="162" spans="1:5" x14ac:dyDescent="0.4">
      <c r="A162">
        <v>69.989900000000006</v>
      </c>
      <c r="B162">
        <v>126</v>
      </c>
      <c r="C162">
        <v>4124.2097000000003</v>
      </c>
      <c r="D162" s="1">
        <v>1</v>
      </c>
      <c r="E162">
        <f t="shared" si="2"/>
        <v>147.13047292430352</v>
      </c>
    </row>
    <row r="163" spans="1:5" x14ac:dyDescent="0.4">
      <c r="A163">
        <v>69.999899999999997</v>
      </c>
      <c r="B163">
        <v>122</v>
      </c>
      <c r="C163">
        <v>4115.6320999999998</v>
      </c>
      <c r="D163" s="1">
        <v>1</v>
      </c>
      <c r="E163">
        <f t="shared" si="2"/>
        <v>142.75657175479802</v>
      </c>
    </row>
    <row r="164" spans="1:5" x14ac:dyDescent="0.4">
      <c r="A164">
        <v>70.009900000000002</v>
      </c>
      <c r="B164">
        <v>127</v>
      </c>
      <c r="C164">
        <v>4115.2106999999996</v>
      </c>
      <c r="D164" s="1">
        <v>1</v>
      </c>
      <c r="E164">
        <f t="shared" si="2"/>
        <v>148.62246839511766</v>
      </c>
    </row>
    <row r="165" spans="1:5" x14ac:dyDescent="0.4">
      <c r="A165">
        <v>70.019900000000007</v>
      </c>
      <c r="B165">
        <v>99</v>
      </c>
      <c r="C165">
        <v>4123.9296000000004</v>
      </c>
      <c r="D165" s="1">
        <v>1</v>
      </c>
      <c r="E165">
        <f t="shared" si="2"/>
        <v>115.6103662390357</v>
      </c>
    </row>
    <row r="166" spans="1:5" x14ac:dyDescent="0.4">
      <c r="A166">
        <v>70.029899999999998</v>
      </c>
      <c r="B166">
        <v>92</v>
      </c>
      <c r="C166">
        <v>4128.3062</v>
      </c>
      <c r="D166" s="1">
        <v>1</v>
      </c>
      <c r="E166">
        <f t="shared" si="2"/>
        <v>107.32199835370739</v>
      </c>
    </row>
    <row r="167" spans="1:5" x14ac:dyDescent="0.4">
      <c r="A167">
        <v>70.039900000000003</v>
      </c>
      <c r="B167">
        <v>92</v>
      </c>
      <c r="C167">
        <v>4124.9013000000004</v>
      </c>
      <c r="D167" s="1">
        <v>1</v>
      </c>
      <c r="E167">
        <f t="shared" si="2"/>
        <v>107.41058730302224</v>
      </c>
    </row>
    <row r="168" spans="1:5" x14ac:dyDescent="0.4">
      <c r="A168">
        <v>70.049899999999994</v>
      </c>
      <c r="B168">
        <v>86</v>
      </c>
      <c r="C168">
        <v>4118.4683999999997</v>
      </c>
      <c r="D168" s="1">
        <v>1</v>
      </c>
      <c r="E168">
        <f t="shared" si="2"/>
        <v>100.56237886880473</v>
      </c>
    </row>
    <row r="169" spans="1:5" x14ac:dyDescent="0.4">
      <c r="A169">
        <v>70.059899999999999</v>
      </c>
      <c r="B169">
        <v>79</v>
      </c>
      <c r="C169">
        <v>4105.9324999999999</v>
      </c>
      <c r="D169" s="1">
        <v>1</v>
      </c>
      <c r="E169">
        <f t="shared" si="2"/>
        <v>92.659107133397839</v>
      </c>
    </row>
    <row r="170" spans="1:5" x14ac:dyDescent="0.4">
      <c r="A170">
        <v>70.069900000000004</v>
      </c>
      <c r="B170">
        <v>86</v>
      </c>
      <c r="C170">
        <v>4094.0985999999998</v>
      </c>
      <c r="D170" s="1">
        <v>1</v>
      </c>
      <c r="E170">
        <f t="shared" si="2"/>
        <v>101.16096852186219</v>
      </c>
    </row>
    <row r="171" spans="1:5" x14ac:dyDescent="0.4">
      <c r="A171">
        <v>70.079899999999995</v>
      </c>
      <c r="B171">
        <v>72</v>
      </c>
      <c r="C171">
        <v>4096.0378000000001</v>
      </c>
      <c r="D171" s="1">
        <v>1</v>
      </c>
      <c r="E171">
        <f t="shared" si="2"/>
        <v>84.652807452118722</v>
      </c>
    </row>
    <row r="172" spans="1:5" x14ac:dyDescent="0.4">
      <c r="A172">
        <v>70.0899</v>
      </c>
      <c r="B172">
        <v>70</v>
      </c>
      <c r="C172">
        <v>4103.5392000000002</v>
      </c>
      <c r="D172" s="1">
        <v>1</v>
      </c>
      <c r="E172">
        <f t="shared" si="2"/>
        <v>82.150891113700098</v>
      </c>
    </row>
    <row r="173" spans="1:5" x14ac:dyDescent="0.4">
      <c r="A173">
        <v>70.099900000000005</v>
      </c>
      <c r="B173">
        <v>57</v>
      </c>
      <c r="C173">
        <v>4113.6448</v>
      </c>
      <c r="D173" s="1">
        <v>1</v>
      </c>
      <c r="E173">
        <f t="shared" si="2"/>
        <v>66.72996419136625</v>
      </c>
    </row>
    <row r="174" spans="1:5" x14ac:dyDescent="0.4">
      <c r="A174">
        <v>70.109899999999996</v>
      </c>
      <c r="B174">
        <v>73</v>
      </c>
      <c r="C174">
        <v>4116.2927</v>
      </c>
      <c r="D174" s="1">
        <v>1</v>
      </c>
      <c r="E174">
        <f t="shared" si="2"/>
        <v>85.406207337976724</v>
      </c>
    </row>
    <row r="175" spans="1:5" x14ac:dyDescent="0.4">
      <c r="A175">
        <v>70.119900000000001</v>
      </c>
      <c r="B175">
        <v>56</v>
      </c>
      <c r="C175">
        <v>4113.9521999999997</v>
      </c>
      <c r="D175" s="1">
        <v>1</v>
      </c>
      <c r="E175">
        <f t="shared" si="2"/>
        <v>65.554364389552234</v>
      </c>
    </row>
    <row r="176" spans="1:5" x14ac:dyDescent="0.4">
      <c r="A176">
        <v>70.129900000000006</v>
      </c>
      <c r="B176">
        <v>54</v>
      </c>
      <c r="C176">
        <v>4109.1664000000001</v>
      </c>
      <c r="D176" s="1">
        <v>1</v>
      </c>
      <c r="E176">
        <f t="shared" si="2"/>
        <v>63.286759183079084</v>
      </c>
    </row>
    <row r="177" spans="1:5" x14ac:dyDescent="0.4">
      <c r="A177">
        <v>70.139899999999997</v>
      </c>
      <c r="B177">
        <v>67</v>
      </c>
      <c r="C177">
        <v>4091.0405000000001</v>
      </c>
      <c r="D177" s="1">
        <v>1</v>
      </c>
      <c r="E177">
        <f t="shared" si="2"/>
        <v>78.870364690840887</v>
      </c>
    </row>
    <row r="178" spans="1:5" x14ac:dyDescent="0.4">
      <c r="A178">
        <v>70.149900000000002</v>
      </c>
      <c r="B178">
        <v>53</v>
      </c>
      <c r="C178">
        <v>4083.2492000000002</v>
      </c>
      <c r="D178" s="1">
        <v>1</v>
      </c>
      <c r="E178">
        <f t="shared" si="2"/>
        <v>62.509037116813737</v>
      </c>
    </row>
    <row r="179" spans="1:5" x14ac:dyDescent="0.4">
      <c r="A179">
        <v>70.159899999999993</v>
      </c>
      <c r="B179">
        <v>44</v>
      </c>
      <c r="C179">
        <v>4087.9749000000002</v>
      </c>
      <c r="D179" s="1">
        <v>1</v>
      </c>
      <c r="E179">
        <f t="shared" si="2"/>
        <v>51.834305147030136</v>
      </c>
    </row>
    <row r="180" spans="1:5" x14ac:dyDescent="0.4">
      <c r="A180">
        <v>70.169899999999998</v>
      </c>
      <c r="B180">
        <v>53</v>
      </c>
      <c r="C180">
        <v>4096.6571999999996</v>
      </c>
      <c r="D180" s="1">
        <v>1</v>
      </c>
      <c r="E180">
        <f t="shared" si="2"/>
        <v>62.304450516386879</v>
      </c>
    </row>
    <row r="181" spans="1:5" x14ac:dyDescent="0.4">
      <c r="A181">
        <v>70.179900000000004</v>
      </c>
      <c r="B181">
        <v>43</v>
      </c>
      <c r="C181">
        <v>4094.7064</v>
      </c>
      <c r="D181" s="1">
        <v>1</v>
      </c>
      <c r="E181">
        <f t="shared" si="2"/>
        <v>50.572976318888216</v>
      </c>
    </row>
    <row r="182" spans="1:5" x14ac:dyDescent="0.4">
      <c r="A182">
        <v>70.189899999999994</v>
      </c>
      <c r="B182">
        <v>45</v>
      </c>
      <c r="C182">
        <v>4095.2559000000001</v>
      </c>
      <c r="D182" s="1">
        <v>1</v>
      </c>
      <c r="E182">
        <f t="shared" si="2"/>
        <v>52.918106289768119</v>
      </c>
    </row>
    <row r="183" spans="1:5" x14ac:dyDescent="0.4">
      <c r="A183">
        <v>70.1999</v>
      </c>
      <c r="B183">
        <v>44</v>
      </c>
      <c r="C183">
        <v>4096.2894999999999</v>
      </c>
      <c r="D183" s="1">
        <v>1</v>
      </c>
      <c r="E183">
        <f t="shared" si="2"/>
        <v>51.729092487237537</v>
      </c>
    </row>
    <row r="184" spans="1:5" x14ac:dyDescent="0.4">
      <c r="A184">
        <v>70.209900000000005</v>
      </c>
      <c r="B184">
        <v>46</v>
      </c>
      <c r="C184">
        <v>4088.1867000000002</v>
      </c>
      <c r="D184" s="1">
        <v>1</v>
      </c>
      <c r="E184">
        <f t="shared" si="2"/>
        <v>54.187602439976629</v>
      </c>
    </row>
    <row r="185" spans="1:5" x14ac:dyDescent="0.4">
      <c r="A185">
        <v>70.219899999999996</v>
      </c>
      <c r="B185">
        <v>39</v>
      </c>
      <c r="C185">
        <v>4079.8139000000001</v>
      </c>
      <c r="D185" s="1">
        <v>1</v>
      </c>
      <c r="E185">
        <f t="shared" si="2"/>
        <v>46.035946737668603</v>
      </c>
    </row>
    <row r="186" spans="1:5" x14ac:dyDescent="0.4">
      <c r="A186">
        <v>70.229900000000001</v>
      </c>
      <c r="B186">
        <v>39</v>
      </c>
      <c r="C186">
        <v>4074.5828999999999</v>
      </c>
      <c r="D186" s="1">
        <v>1</v>
      </c>
      <c r="E186">
        <f t="shared" si="2"/>
        <v>46.095048256350367</v>
      </c>
    </row>
    <row r="187" spans="1:5" x14ac:dyDescent="0.4">
      <c r="A187">
        <v>70.239900000000006</v>
      </c>
      <c r="B187">
        <v>31</v>
      </c>
      <c r="C187">
        <v>4063.2984999999999</v>
      </c>
      <c r="D187" s="1">
        <v>1</v>
      </c>
      <c r="E187">
        <f t="shared" si="2"/>
        <v>36.741407651935987</v>
      </c>
    </row>
    <row r="188" spans="1:5" x14ac:dyDescent="0.4">
      <c r="A188">
        <v>70.249899999999997</v>
      </c>
      <c r="B188">
        <v>29</v>
      </c>
      <c r="C188">
        <v>4051.6185999999998</v>
      </c>
      <c r="D188" s="1">
        <v>1</v>
      </c>
      <c r="E188">
        <f t="shared" si="2"/>
        <v>34.470078057199167</v>
      </c>
    </row>
    <row r="189" spans="1:5" x14ac:dyDescent="0.4">
      <c r="A189">
        <v>70.259900000000002</v>
      </c>
      <c r="B189">
        <v>25</v>
      </c>
      <c r="C189">
        <v>4056.6181999999999</v>
      </c>
      <c r="D189" s="1">
        <v>1</v>
      </c>
      <c r="E189">
        <f t="shared" si="2"/>
        <v>29.678961406819113</v>
      </c>
    </row>
    <row r="190" spans="1:5" x14ac:dyDescent="0.4">
      <c r="A190">
        <v>70.269900000000007</v>
      </c>
      <c r="B190">
        <v>32</v>
      </c>
      <c r="C190">
        <v>4074.748</v>
      </c>
      <c r="D190" s="1">
        <v>1</v>
      </c>
      <c r="E190">
        <f t="shared" si="2"/>
        <v>37.820045607728382</v>
      </c>
    </row>
    <row r="191" spans="1:5" x14ac:dyDescent="0.4">
      <c r="A191">
        <v>70.279899999999998</v>
      </c>
      <c r="B191">
        <v>33</v>
      </c>
      <c r="C191">
        <v>4076.8166999999999</v>
      </c>
      <c r="D191" s="1">
        <v>1</v>
      </c>
      <c r="E191">
        <f t="shared" si="2"/>
        <v>38.98213127904426</v>
      </c>
    </row>
    <row r="192" spans="1:5" x14ac:dyDescent="0.4">
      <c r="A192">
        <v>70.289900000000003</v>
      </c>
      <c r="B192">
        <v>29</v>
      </c>
      <c r="C192">
        <v>4072.5126</v>
      </c>
      <c r="D192" s="1">
        <v>1</v>
      </c>
      <c r="E192">
        <f t="shared" si="2"/>
        <v>34.293229540898167</v>
      </c>
    </row>
    <row r="193" spans="1:5" x14ac:dyDescent="0.4">
      <c r="A193">
        <v>70.299899999999994</v>
      </c>
      <c r="B193">
        <v>27</v>
      </c>
      <c r="C193">
        <v>4062.8809000000001</v>
      </c>
      <c r="D193" s="1">
        <v>1</v>
      </c>
      <c r="E193">
        <f t="shared" si="2"/>
        <v>32.003870012532239</v>
      </c>
    </row>
    <row r="194" spans="1:5" x14ac:dyDescent="0.4">
      <c r="A194">
        <v>70.309899999999999</v>
      </c>
      <c r="B194">
        <v>27</v>
      </c>
      <c r="C194">
        <v>4058.1118999999999</v>
      </c>
      <c r="D194" s="1">
        <v>1</v>
      </c>
      <c r="E194">
        <f t="shared" si="2"/>
        <v>32.04148022630919</v>
      </c>
    </row>
    <row r="195" spans="1:5" x14ac:dyDescent="0.4">
      <c r="A195">
        <v>70.319900000000004</v>
      </c>
      <c r="B195">
        <v>22</v>
      </c>
      <c r="C195">
        <v>4056.4328999999998</v>
      </c>
      <c r="D195" s="1">
        <v>1</v>
      </c>
      <c r="E195">
        <f t="shared" si="2"/>
        <v>26.118679098574518</v>
      </c>
    </row>
    <row r="196" spans="1:5" x14ac:dyDescent="0.4">
      <c r="A196">
        <v>70.329899999999995</v>
      </c>
      <c r="B196">
        <v>26</v>
      </c>
      <c r="C196">
        <v>4055.3615</v>
      </c>
      <c r="D196" s="1">
        <v>1</v>
      </c>
      <c r="E196">
        <f t="shared" si="2"/>
        <v>30.875684843385727</v>
      </c>
    </row>
    <row r="197" spans="1:5" x14ac:dyDescent="0.4">
      <c r="A197">
        <v>70.3399</v>
      </c>
      <c r="B197">
        <v>27</v>
      </c>
      <c r="C197">
        <v>4052.8717000000001</v>
      </c>
      <c r="D197" s="1">
        <v>1</v>
      </c>
      <c r="E197">
        <f t="shared" si="2"/>
        <v>32.082908570730233</v>
      </c>
    </row>
    <row r="198" spans="1:5" x14ac:dyDescent="0.4">
      <c r="A198">
        <v>70.349900000000005</v>
      </c>
      <c r="B198">
        <v>18</v>
      </c>
      <c r="C198">
        <v>4049.3852999999999</v>
      </c>
      <c r="D198" s="1">
        <v>1</v>
      </c>
      <c r="E198">
        <f t="shared" si="2"/>
        <v>21.407020665581019</v>
      </c>
    </row>
    <row r="199" spans="1:5" x14ac:dyDescent="0.4">
      <c r="A199">
        <v>70.359899999999996</v>
      </c>
      <c r="B199">
        <v>24</v>
      </c>
      <c r="C199">
        <v>4051.7366000000002</v>
      </c>
      <c r="D199" s="1">
        <v>1</v>
      </c>
      <c r="E199">
        <f t="shared" si="2"/>
        <v>28.526130351119072</v>
      </c>
    </row>
    <row r="200" spans="1:5" x14ac:dyDescent="0.4">
      <c r="A200">
        <v>70.369900000000001</v>
      </c>
      <c r="B200">
        <v>16</v>
      </c>
      <c r="C200">
        <v>4048.5493999999999</v>
      </c>
      <c r="D200" s="1">
        <v>1</v>
      </c>
      <c r="E200">
        <f t="shared" si="2"/>
        <v>19.032391601791993</v>
      </c>
    </row>
    <row r="201" spans="1:5" x14ac:dyDescent="0.4">
      <c r="A201">
        <v>70.379900000000006</v>
      </c>
      <c r="B201">
        <v>18</v>
      </c>
      <c r="C201">
        <v>4047.3467999999998</v>
      </c>
      <c r="D201" s="1">
        <v>1</v>
      </c>
      <c r="E201">
        <f t="shared" si="2"/>
        <v>21.417802596011789</v>
      </c>
    </row>
    <row r="202" spans="1:5" x14ac:dyDescent="0.4">
      <c r="A202">
        <v>70.389899999999997</v>
      </c>
      <c r="B202">
        <v>15</v>
      </c>
      <c r="C202">
        <v>4051.7143000000001</v>
      </c>
      <c r="D202" s="1">
        <v>1</v>
      </c>
      <c r="E202">
        <f t="shared" si="2"/>
        <v>17.828929596541396</v>
      </c>
    </row>
    <row r="203" spans="1:5" x14ac:dyDescent="0.4">
      <c r="A203">
        <v>70.399900000000002</v>
      </c>
      <c r="B203">
        <v>12</v>
      </c>
      <c r="C203">
        <v>4058.0309000000002</v>
      </c>
      <c r="D203" s="1">
        <v>1</v>
      </c>
      <c r="E203">
        <f t="shared" si="2"/>
        <v>14.240942127867976</v>
      </c>
    </row>
    <row r="204" spans="1:5" x14ac:dyDescent="0.4">
      <c r="A204">
        <v>70.409899999999993</v>
      </c>
      <c r="B204">
        <v>12</v>
      </c>
      <c r="C204">
        <v>4055.1444999999999</v>
      </c>
      <c r="D204" s="1">
        <v>1</v>
      </c>
      <c r="E204">
        <f t="shared" si="2"/>
        <v>14.251078648368757</v>
      </c>
    </row>
    <row r="205" spans="1:5" x14ac:dyDescent="0.4">
      <c r="A205">
        <v>70.419899999999998</v>
      </c>
      <c r="B205">
        <v>23</v>
      </c>
      <c r="C205">
        <v>4050.2011000000002</v>
      </c>
      <c r="D205" s="1">
        <v>1</v>
      </c>
      <c r="E205">
        <f t="shared" si="2"/>
        <v>27.347905712632393</v>
      </c>
    </row>
    <row r="206" spans="1:5" x14ac:dyDescent="0.4">
      <c r="A206">
        <v>70.429900000000004</v>
      </c>
      <c r="B206">
        <v>12</v>
      </c>
      <c r="C206">
        <v>4042.0493999999999</v>
      </c>
      <c r="D206" s="1">
        <v>1</v>
      </c>
      <c r="E206">
        <f t="shared" si="2"/>
        <v>14.297248123686959</v>
      </c>
    </row>
    <row r="207" spans="1:5" x14ac:dyDescent="0.4">
      <c r="A207">
        <v>70.439899999999994</v>
      </c>
      <c r="B207">
        <v>12</v>
      </c>
      <c r="C207">
        <v>4034.0151000000001</v>
      </c>
      <c r="D207" s="1">
        <v>1</v>
      </c>
      <c r="E207">
        <f t="shared" si="2"/>
        <v>14.325723074264149</v>
      </c>
    </row>
    <row r="208" spans="1:5" x14ac:dyDescent="0.4">
      <c r="A208">
        <v>70.4499</v>
      </c>
      <c r="B208">
        <v>10</v>
      </c>
      <c r="C208">
        <v>4031.3802999999998</v>
      </c>
      <c r="D208" s="1">
        <v>1</v>
      </c>
      <c r="E208">
        <f t="shared" si="2"/>
        <v>11.945904979493006</v>
      </c>
    </row>
    <row r="209" spans="1:5" x14ac:dyDescent="0.4">
      <c r="A209">
        <v>70.459900000000005</v>
      </c>
      <c r="B209">
        <v>12</v>
      </c>
      <c r="C209">
        <v>4030.6862999999998</v>
      </c>
      <c r="D209" s="1">
        <v>1</v>
      </c>
      <c r="E209">
        <f t="shared" si="2"/>
        <v>14.33755417780838</v>
      </c>
    </row>
    <row r="210" spans="1:5" x14ac:dyDescent="0.4">
      <c r="A210">
        <v>70.469899999999996</v>
      </c>
      <c r="B210">
        <v>7</v>
      </c>
      <c r="C210">
        <v>4033.3200999999999</v>
      </c>
      <c r="D210" s="1">
        <v>1</v>
      </c>
      <c r="E210">
        <f t="shared" si="2"/>
        <v>8.3581117700030809</v>
      </c>
    </row>
    <row r="211" spans="1:5" x14ac:dyDescent="0.4">
      <c r="A211">
        <v>70.479900000000001</v>
      </c>
      <c r="B211">
        <v>7</v>
      </c>
      <c r="C211">
        <v>4030.5619999999999</v>
      </c>
      <c r="D211" s="1">
        <v>1</v>
      </c>
      <c r="E211">
        <f t="shared" si="2"/>
        <v>8.3638311977337167</v>
      </c>
    </row>
    <row r="212" spans="1:5" x14ac:dyDescent="0.4">
      <c r="A212">
        <v>70.489900000000006</v>
      </c>
      <c r="B212">
        <v>8</v>
      </c>
      <c r="C212">
        <v>4026.4220999999998</v>
      </c>
      <c r="D212" s="1">
        <v>1</v>
      </c>
      <c r="E212">
        <f t="shared" si="2"/>
        <v>9.5684922849991327</v>
      </c>
    </row>
    <row r="213" spans="1:5" x14ac:dyDescent="0.4">
      <c r="A213">
        <v>70.499899999999997</v>
      </c>
      <c r="B213">
        <v>14</v>
      </c>
      <c r="C213">
        <v>4022.8240999999998</v>
      </c>
      <c r="D213" s="1">
        <v>1</v>
      </c>
      <c r="E213">
        <f t="shared" si="2"/>
        <v>16.759838045118606</v>
      </c>
    </row>
    <row r="214" spans="1:5" x14ac:dyDescent="0.4">
      <c r="A214">
        <v>70.509900000000002</v>
      </c>
      <c r="B214">
        <v>13</v>
      </c>
      <c r="C214">
        <v>4015.6855999999998</v>
      </c>
      <c r="D214" s="1">
        <v>1</v>
      </c>
      <c r="E214">
        <f t="shared" ref="E214:E222" si="3">$A$1*B214/C214</f>
        <v>15.590371865765588</v>
      </c>
    </row>
    <row r="215" spans="1:5" x14ac:dyDescent="0.4">
      <c r="A215">
        <v>70.519900000000007</v>
      </c>
      <c r="B215">
        <v>5</v>
      </c>
      <c r="C215">
        <v>4017.4897999999998</v>
      </c>
      <c r="D215" s="1">
        <v>1</v>
      </c>
      <c r="E215">
        <f t="shared" si="3"/>
        <v>5.9936040161197184</v>
      </c>
    </row>
    <row r="216" spans="1:5" x14ac:dyDescent="0.4">
      <c r="A216">
        <v>70.529899999999998</v>
      </c>
      <c r="B216">
        <v>5</v>
      </c>
      <c r="C216">
        <v>4026.3307</v>
      </c>
      <c r="D216" s="1">
        <v>1</v>
      </c>
      <c r="E216">
        <f t="shared" si="3"/>
        <v>5.9804434345147062</v>
      </c>
    </row>
    <row r="217" spans="1:5" x14ac:dyDescent="0.4">
      <c r="A217">
        <v>70.539900000000003</v>
      </c>
      <c r="B217">
        <v>14</v>
      </c>
      <c r="C217">
        <v>4016.8431999999998</v>
      </c>
      <c r="D217" s="1">
        <v>1</v>
      </c>
      <c r="E217">
        <f t="shared" si="3"/>
        <v>16.784792694920235</v>
      </c>
    </row>
    <row r="218" spans="1:5" x14ac:dyDescent="0.4">
      <c r="A218">
        <v>70.549899999999994</v>
      </c>
      <c r="B218">
        <v>4</v>
      </c>
      <c r="C218">
        <v>4009.7289000000001</v>
      </c>
      <c r="D218" s="1">
        <v>1</v>
      </c>
      <c r="E218">
        <f t="shared" si="3"/>
        <v>4.8041637927192538</v>
      </c>
    </row>
    <row r="219" spans="1:5" x14ac:dyDescent="0.4">
      <c r="A219">
        <v>70.559899999999999</v>
      </c>
      <c r="B219">
        <v>7</v>
      </c>
      <c r="C219">
        <v>4011.2777999999998</v>
      </c>
      <c r="D219" s="1">
        <v>1</v>
      </c>
      <c r="E219">
        <f t="shared" si="3"/>
        <v>8.4040402786363995</v>
      </c>
    </row>
    <row r="220" spans="1:5" x14ac:dyDescent="0.4">
      <c r="A220">
        <v>70.569900000000004</v>
      </c>
      <c r="B220">
        <v>6</v>
      </c>
      <c r="C220">
        <v>4021.4690999999998</v>
      </c>
      <c r="D220" s="1">
        <v>1</v>
      </c>
      <c r="E220">
        <f t="shared" si="3"/>
        <v>7.1852079131976918</v>
      </c>
    </row>
    <row r="221" spans="1:5" x14ac:dyDescent="0.4">
      <c r="A221">
        <v>70.579899999999995</v>
      </c>
      <c r="B221">
        <v>8</v>
      </c>
      <c r="C221">
        <v>4024.9657999999999</v>
      </c>
      <c r="D221" s="1">
        <v>1</v>
      </c>
      <c r="E221">
        <f t="shared" si="3"/>
        <v>9.5719543256740227</v>
      </c>
    </row>
    <row r="222" spans="1:5" x14ac:dyDescent="0.4">
      <c r="A222">
        <v>70.5899</v>
      </c>
      <c r="B222">
        <v>5</v>
      </c>
      <c r="C222">
        <v>4019.5708</v>
      </c>
      <c r="D222" s="1">
        <v>1</v>
      </c>
      <c r="E222">
        <f t="shared" si="3"/>
        <v>5.9905010256318914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E61B-4BCC-4F13-9BA0-9B7761ED4471}">
  <dimension ref="A1:E222"/>
  <sheetViews>
    <sheetView workbookViewId="0">
      <selection activeCell="A3" sqref="A3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69</v>
      </c>
    </row>
    <row r="4" spans="1:1" x14ac:dyDescent="0.4">
      <c r="A4" t="s">
        <v>70</v>
      </c>
    </row>
    <row r="5" spans="1:1" x14ac:dyDescent="0.4">
      <c r="A5" t="s">
        <v>71</v>
      </c>
    </row>
    <row r="6" spans="1:1" x14ac:dyDescent="0.4">
      <c r="A6" t="s">
        <v>72</v>
      </c>
    </row>
    <row r="7" spans="1:1" x14ac:dyDescent="0.4">
      <c r="A7" t="s">
        <v>73</v>
      </c>
    </row>
    <row r="8" spans="1:1" x14ac:dyDescent="0.4">
      <c r="A8" t="s">
        <v>64</v>
      </c>
    </row>
    <row r="9" spans="1:1" x14ac:dyDescent="0.4">
      <c r="A9" t="s">
        <v>74</v>
      </c>
    </row>
    <row r="10" spans="1:1" x14ac:dyDescent="0.4">
      <c r="A10" t="s">
        <v>7</v>
      </c>
    </row>
    <row r="11" spans="1:1" x14ac:dyDescent="0.4">
      <c r="A11" t="s">
        <v>75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76</v>
      </c>
      <c r="B19" t="s">
        <v>77</v>
      </c>
    </row>
    <row r="20" spans="1:5" x14ac:dyDescent="0.4">
      <c r="A20" t="s">
        <v>18</v>
      </c>
      <c r="B20" t="s">
        <v>52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68.591499999999996</v>
      </c>
      <c r="B22">
        <v>2</v>
      </c>
      <c r="C22">
        <v>234.3492</v>
      </c>
      <c r="D22" s="1">
        <v>1</v>
      </c>
      <c r="E22">
        <f t="shared" ref="E22:E85" si="0">$A$1*B22/C22</f>
        <v>41.099765648869294</v>
      </c>
    </row>
    <row r="23" spans="1:5" x14ac:dyDescent="0.4">
      <c r="A23">
        <v>68.601500000000001</v>
      </c>
      <c r="B23">
        <v>2</v>
      </c>
      <c r="C23">
        <v>234.61279999999999</v>
      </c>
      <c r="D23" s="1">
        <v>1</v>
      </c>
      <c r="E23">
        <f t="shared" si="0"/>
        <v>41.053587869033578</v>
      </c>
    </row>
    <row r="24" spans="1:5" x14ac:dyDescent="0.4">
      <c r="A24">
        <v>68.611500000000007</v>
      </c>
      <c r="B24">
        <v>4</v>
      </c>
      <c r="C24">
        <v>234.5573</v>
      </c>
      <c r="D24" s="1">
        <v>1</v>
      </c>
      <c r="E24">
        <f t="shared" si="0"/>
        <v>82.126603606027189</v>
      </c>
    </row>
    <row r="25" spans="1:5" x14ac:dyDescent="0.4">
      <c r="A25">
        <v>68.621499999999997</v>
      </c>
      <c r="B25">
        <v>1</v>
      </c>
      <c r="C25">
        <v>234.6174</v>
      </c>
      <c r="D25" s="1">
        <v>1</v>
      </c>
      <c r="E25">
        <f t="shared" si="0"/>
        <v>20.526391478210908</v>
      </c>
    </row>
    <row r="26" spans="1:5" x14ac:dyDescent="0.4">
      <c r="A26">
        <v>68.631500000000003</v>
      </c>
      <c r="B26">
        <v>7</v>
      </c>
      <c r="C26">
        <v>234.6377</v>
      </c>
      <c r="D26" s="1">
        <v>1</v>
      </c>
      <c r="E26">
        <f t="shared" si="0"/>
        <v>143.67230926658419</v>
      </c>
    </row>
    <row r="27" spans="1:5" x14ac:dyDescent="0.4">
      <c r="A27">
        <v>68.641499999999994</v>
      </c>
      <c r="B27">
        <v>2</v>
      </c>
      <c r="C27">
        <v>234.53049999999999</v>
      </c>
      <c r="D27" s="1">
        <v>1</v>
      </c>
      <c r="E27">
        <f t="shared" si="0"/>
        <v>41.067994141486935</v>
      </c>
    </row>
    <row r="28" spans="1:5" x14ac:dyDescent="0.4">
      <c r="A28">
        <v>68.651499999999999</v>
      </c>
      <c r="B28">
        <v>1</v>
      </c>
      <c r="C28">
        <v>234.61439999999999</v>
      </c>
      <c r="D28" s="1">
        <v>1</v>
      </c>
      <c r="E28">
        <f t="shared" si="0"/>
        <v>20.526653947924768</v>
      </c>
    </row>
    <row r="29" spans="1:5" x14ac:dyDescent="0.4">
      <c r="A29">
        <v>68.661500000000004</v>
      </c>
      <c r="B29">
        <v>1</v>
      </c>
      <c r="C29">
        <v>234.76949999999999</v>
      </c>
      <c r="D29" s="1">
        <v>1</v>
      </c>
      <c r="E29">
        <f t="shared" si="0"/>
        <v>20.513093055102985</v>
      </c>
    </row>
    <row r="30" spans="1:5" x14ac:dyDescent="0.4">
      <c r="A30">
        <v>68.671499999999995</v>
      </c>
      <c r="B30">
        <v>4</v>
      </c>
      <c r="C30">
        <v>234.45689999999999</v>
      </c>
      <c r="D30" s="1">
        <v>1</v>
      </c>
      <c r="E30">
        <f t="shared" si="0"/>
        <v>82.161772163668473</v>
      </c>
    </row>
    <row r="31" spans="1:5" x14ac:dyDescent="0.4">
      <c r="A31">
        <v>68.6815</v>
      </c>
      <c r="B31">
        <v>3</v>
      </c>
      <c r="C31">
        <v>234.37049999999999</v>
      </c>
      <c r="D31" s="1">
        <v>1</v>
      </c>
      <c r="E31">
        <f t="shared" si="0"/>
        <v>61.6440456456764</v>
      </c>
    </row>
    <row r="32" spans="1:5" x14ac:dyDescent="0.4">
      <c r="A32">
        <v>68.691500000000005</v>
      </c>
      <c r="B32">
        <v>2</v>
      </c>
      <c r="C32">
        <v>234.63640000000001</v>
      </c>
      <c r="D32" s="1">
        <v>1</v>
      </c>
      <c r="E32">
        <f t="shared" si="0"/>
        <v>41.049458651769292</v>
      </c>
    </row>
    <row r="33" spans="1:5" x14ac:dyDescent="0.4">
      <c r="A33">
        <v>68.701499999999996</v>
      </c>
      <c r="B33">
        <v>3</v>
      </c>
      <c r="C33">
        <v>234.59309999999999</v>
      </c>
      <c r="D33" s="1">
        <v>1</v>
      </c>
      <c r="E33">
        <f t="shared" si="0"/>
        <v>61.585553027774473</v>
      </c>
    </row>
    <row r="34" spans="1:5" x14ac:dyDescent="0.4">
      <c r="A34">
        <v>68.711500000000001</v>
      </c>
      <c r="B34">
        <v>4</v>
      </c>
      <c r="C34">
        <v>234.36</v>
      </c>
      <c r="D34" s="1">
        <v>1</v>
      </c>
      <c r="E34">
        <f t="shared" si="0"/>
        <v>82.195743300904596</v>
      </c>
    </row>
    <row r="35" spans="1:5" x14ac:dyDescent="0.4">
      <c r="A35">
        <v>68.721500000000006</v>
      </c>
      <c r="B35">
        <v>6</v>
      </c>
      <c r="C35">
        <v>234.41159999999999</v>
      </c>
      <c r="D35" s="1">
        <v>1</v>
      </c>
      <c r="E35">
        <f t="shared" si="0"/>
        <v>123.26647486728473</v>
      </c>
    </row>
    <row r="36" spans="1:5" x14ac:dyDescent="0.4">
      <c r="A36">
        <v>68.731499999999997</v>
      </c>
      <c r="B36">
        <v>4</v>
      </c>
      <c r="C36">
        <v>234.2047</v>
      </c>
      <c r="D36" s="1">
        <v>1</v>
      </c>
      <c r="E36">
        <f t="shared" si="0"/>
        <v>82.250246899400395</v>
      </c>
    </row>
    <row r="37" spans="1:5" x14ac:dyDescent="0.4">
      <c r="A37">
        <v>68.741500000000002</v>
      </c>
      <c r="B37">
        <v>5</v>
      </c>
      <c r="C37">
        <v>234.44550000000001</v>
      </c>
      <c r="D37" s="1">
        <v>1</v>
      </c>
      <c r="E37">
        <f t="shared" si="0"/>
        <v>102.70720913815791</v>
      </c>
    </row>
    <row r="38" spans="1:5" x14ac:dyDescent="0.4">
      <c r="A38">
        <v>68.751499999999993</v>
      </c>
      <c r="B38">
        <v>5</v>
      </c>
      <c r="C38">
        <v>234.4999</v>
      </c>
      <c r="D38" s="1">
        <v>1</v>
      </c>
      <c r="E38">
        <f t="shared" si="0"/>
        <v>102.68338280741273</v>
      </c>
    </row>
    <row r="39" spans="1:5" x14ac:dyDescent="0.4">
      <c r="A39">
        <v>68.761499999999998</v>
      </c>
      <c r="B39">
        <v>5</v>
      </c>
      <c r="C39">
        <v>234.56720000000001</v>
      </c>
      <c r="D39" s="1">
        <v>1</v>
      </c>
      <c r="E39">
        <f t="shared" si="0"/>
        <v>102.65392177593458</v>
      </c>
    </row>
    <row r="40" spans="1:5" x14ac:dyDescent="0.4">
      <c r="A40">
        <v>68.771500000000003</v>
      </c>
      <c r="B40">
        <v>2</v>
      </c>
      <c r="C40">
        <v>235.02670000000001</v>
      </c>
      <c r="D40" s="1">
        <v>1</v>
      </c>
      <c r="E40">
        <f t="shared" si="0"/>
        <v>40.98128935988975</v>
      </c>
    </row>
    <row r="41" spans="1:5" x14ac:dyDescent="0.4">
      <c r="A41">
        <v>68.781499999999994</v>
      </c>
      <c r="B41">
        <v>6</v>
      </c>
      <c r="C41">
        <v>234.52799999999999</v>
      </c>
      <c r="D41" s="1">
        <v>1</v>
      </c>
      <c r="E41">
        <f t="shared" si="0"/>
        <v>123.20529574293901</v>
      </c>
    </row>
    <row r="42" spans="1:5" x14ac:dyDescent="0.4">
      <c r="A42">
        <v>68.791499999999999</v>
      </c>
      <c r="B42">
        <v>8</v>
      </c>
      <c r="C42">
        <v>234.2672</v>
      </c>
      <c r="D42" s="1">
        <v>1</v>
      </c>
      <c r="E42">
        <f t="shared" si="0"/>
        <v>164.45660681478245</v>
      </c>
    </row>
    <row r="43" spans="1:5" x14ac:dyDescent="0.4">
      <c r="A43">
        <v>68.801500000000004</v>
      </c>
      <c r="B43">
        <v>12</v>
      </c>
      <c r="C43">
        <v>234.02799999999999</v>
      </c>
      <c r="D43" s="1">
        <v>1</v>
      </c>
      <c r="E43">
        <f t="shared" si="0"/>
        <v>246.937046849095</v>
      </c>
    </row>
    <row r="44" spans="1:5" x14ac:dyDescent="0.4">
      <c r="A44">
        <v>68.811499999999995</v>
      </c>
      <c r="B44">
        <v>4</v>
      </c>
      <c r="C44">
        <v>234.0992</v>
      </c>
      <c r="D44" s="1">
        <v>1</v>
      </c>
      <c r="E44">
        <f t="shared" si="0"/>
        <v>82.287314095904648</v>
      </c>
    </row>
    <row r="45" spans="1:5" x14ac:dyDescent="0.4">
      <c r="A45">
        <v>68.8215</v>
      </c>
      <c r="B45">
        <v>6</v>
      </c>
      <c r="C45">
        <v>234.1584</v>
      </c>
      <c r="D45" s="1">
        <v>1</v>
      </c>
      <c r="E45">
        <f t="shared" si="0"/>
        <v>123.39976528708772</v>
      </c>
    </row>
    <row r="46" spans="1:5" x14ac:dyDescent="0.4">
      <c r="A46">
        <v>68.831500000000005</v>
      </c>
      <c r="B46">
        <v>17</v>
      </c>
      <c r="C46">
        <v>234.02670000000001</v>
      </c>
      <c r="D46" s="1">
        <v>1</v>
      </c>
      <c r="E46">
        <f t="shared" si="0"/>
        <v>349.82942630050331</v>
      </c>
    </row>
    <row r="47" spans="1:5" x14ac:dyDescent="0.4">
      <c r="A47">
        <v>68.841499999999996</v>
      </c>
      <c r="B47">
        <v>6</v>
      </c>
      <c r="C47">
        <v>233.94929999999999</v>
      </c>
      <c r="D47" s="1">
        <v>1</v>
      </c>
      <c r="E47">
        <f t="shared" si="0"/>
        <v>123.51005794845294</v>
      </c>
    </row>
    <row r="48" spans="1:5" x14ac:dyDescent="0.4">
      <c r="A48">
        <v>68.851500000000001</v>
      </c>
      <c r="B48">
        <v>6</v>
      </c>
      <c r="C48">
        <v>233.517</v>
      </c>
      <c r="D48" s="1">
        <v>1</v>
      </c>
      <c r="E48">
        <f t="shared" si="0"/>
        <v>123.73870681791904</v>
      </c>
    </row>
    <row r="49" spans="1:5" x14ac:dyDescent="0.4">
      <c r="A49">
        <v>68.861500000000007</v>
      </c>
      <c r="B49">
        <v>6</v>
      </c>
      <c r="C49">
        <v>233.4897</v>
      </c>
      <c r="D49" s="1">
        <v>1</v>
      </c>
      <c r="E49">
        <f t="shared" si="0"/>
        <v>123.75317455116864</v>
      </c>
    </row>
    <row r="50" spans="1:5" x14ac:dyDescent="0.4">
      <c r="A50">
        <v>68.871499999999997</v>
      </c>
      <c r="B50">
        <v>8</v>
      </c>
      <c r="C50">
        <v>233.35980000000001</v>
      </c>
      <c r="D50" s="1">
        <v>1</v>
      </c>
      <c r="E50">
        <f t="shared" si="0"/>
        <v>165.09608253006732</v>
      </c>
    </row>
    <row r="51" spans="1:5" x14ac:dyDescent="0.4">
      <c r="A51">
        <v>68.881500000000003</v>
      </c>
      <c r="B51">
        <v>8</v>
      </c>
      <c r="C51">
        <v>233.4427</v>
      </c>
      <c r="D51" s="1">
        <v>1</v>
      </c>
      <c r="E51">
        <f t="shared" si="0"/>
        <v>165.03745373061571</v>
      </c>
    </row>
    <row r="52" spans="1:5" x14ac:dyDescent="0.4">
      <c r="A52">
        <v>68.891499999999994</v>
      </c>
      <c r="B52">
        <v>8</v>
      </c>
      <c r="C52">
        <v>233.33320000000001</v>
      </c>
      <c r="D52" s="1">
        <v>1</v>
      </c>
      <c r="E52">
        <f t="shared" si="0"/>
        <v>165.11490349423056</v>
      </c>
    </row>
    <row r="53" spans="1:5" x14ac:dyDescent="0.4">
      <c r="A53">
        <v>68.901499999999999</v>
      </c>
      <c r="B53">
        <v>5</v>
      </c>
      <c r="C53">
        <v>233.27430000000001</v>
      </c>
      <c r="D53" s="1">
        <v>1</v>
      </c>
      <c r="E53">
        <f t="shared" si="0"/>
        <v>103.22287110067418</v>
      </c>
    </row>
    <row r="54" spans="1:5" x14ac:dyDescent="0.4">
      <c r="A54">
        <v>68.911500000000004</v>
      </c>
      <c r="B54">
        <v>4</v>
      </c>
      <c r="C54">
        <v>233.5659</v>
      </c>
      <c r="D54" s="1">
        <v>1</v>
      </c>
      <c r="E54">
        <f t="shared" si="0"/>
        <v>82.475200361011602</v>
      </c>
    </row>
    <row r="55" spans="1:5" x14ac:dyDescent="0.4">
      <c r="A55">
        <v>68.921499999999995</v>
      </c>
      <c r="B55">
        <v>6</v>
      </c>
      <c r="C55">
        <v>233.2971</v>
      </c>
      <c r="D55" s="1">
        <v>1</v>
      </c>
      <c r="E55">
        <f t="shared" si="0"/>
        <v>123.85533982205523</v>
      </c>
    </row>
    <row r="56" spans="1:5" x14ac:dyDescent="0.4">
      <c r="A56">
        <v>68.9315</v>
      </c>
      <c r="B56">
        <v>11</v>
      </c>
      <c r="C56">
        <v>233.4442</v>
      </c>
      <c r="D56" s="1">
        <v>1</v>
      </c>
      <c r="E56">
        <f t="shared" si="0"/>
        <v>226.92504075920499</v>
      </c>
    </row>
    <row r="57" spans="1:5" x14ac:dyDescent="0.4">
      <c r="A57">
        <v>68.941500000000005</v>
      </c>
      <c r="B57">
        <v>8</v>
      </c>
      <c r="C57">
        <v>233.57509999999999</v>
      </c>
      <c r="D57" s="1">
        <v>1</v>
      </c>
      <c r="E57">
        <f t="shared" si="0"/>
        <v>164.94390369521409</v>
      </c>
    </row>
    <row r="58" spans="1:5" x14ac:dyDescent="0.4">
      <c r="A58">
        <v>68.951499999999996</v>
      </c>
      <c r="B58">
        <v>8</v>
      </c>
      <c r="C58">
        <v>233.7544</v>
      </c>
      <c r="D58" s="1">
        <v>1</v>
      </c>
      <c r="E58">
        <f t="shared" si="0"/>
        <v>164.81738440003696</v>
      </c>
    </row>
    <row r="59" spans="1:5" x14ac:dyDescent="0.4">
      <c r="A59">
        <v>68.961500000000001</v>
      </c>
      <c r="B59">
        <v>8</v>
      </c>
      <c r="C59">
        <v>233.57470000000001</v>
      </c>
      <c r="D59" s="1">
        <v>1</v>
      </c>
      <c r="E59">
        <f t="shared" si="0"/>
        <v>164.94418616399807</v>
      </c>
    </row>
    <row r="60" spans="1:5" x14ac:dyDescent="0.4">
      <c r="A60">
        <v>68.971500000000006</v>
      </c>
      <c r="B60">
        <v>6</v>
      </c>
      <c r="C60">
        <v>233.52930000000001</v>
      </c>
      <c r="D60" s="1">
        <v>1</v>
      </c>
      <c r="E60">
        <f t="shared" si="0"/>
        <v>123.73218949399497</v>
      </c>
    </row>
    <row r="61" spans="1:5" x14ac:dyDescent="0.4">
      <c r="A61">
        <v>68.981499999999997</v>
      </c>
      <c r="B61">
        <v>6</v>
      </c>
      <c r="C61">
        <v>233.70769999999999</v>
      </c>
      <c r="D61" s="1">
        <v>1</v>
      </c>
      <c r="E61">
        <f t="shared" si="0"/>
        <v>123.63773893628665</v>
      </c>
    </row>
    <row r="62" spans="1:5" x14ac:dyDescent="0.4">
      <c r="A62">
        <v>68.991500000000002</v>
      </c>
      <c r="B62">
        <v>11</v>
      </c>
      <c r="C62">
        <v>233.65700000000001</v>
      </c>
      <c r="D62" s="1">
        <v>1</v>
      </c>
      <c r="E62">
        <f t="shared" si="0"/>
        <v>226.71837180140119</v>
      </c>
    </row>
    <row r="63" spans="1:5" x14ac:dyDescent="0.4">
      <c r="A63">
        <v>69.001499999999993</v>
      </c>
      <c r="B63">
        <v>6</v>
      </c>
      <c r="C63">
        <v>233.6181</v>
      </c>
      <c r="D63" s="1">
        <v>1</v>
      </c>
      <c r="E63">
        <f t="shared" si="0"/>
        <v>123.68515795651108</v>
      </c>
    </row>
    <row r="64" spans="1:5" x14ac:dyDescent="0.4">
      <c r="A64">
        <v>69.011499999999998</v>
      </c>
      <c r="B64">
        <v>7</v>
      </c>
      <c r="C64">
        <v>233.41059999999999</v>
      </c>
      <c r="D64" s="1">
        <v>1</v>
      </c>
      <c r="E64">
        <f t="shared" si="0"/>
        <v>144.42763182134834</v>
      </c>
    </row>
    <row r="65" spans="1:5" x14ac:dyDescent="0.4">
      <c r="A65">
        <v>69.021500000000003</v>
      </c>
      <c r="B65">
        <v>10</v>
      </c>
      <c r="C65">
        <v>233.68950000000001</v>
      </c>
      <c r="D65" s="1">
        <v>1</v>
      </c>
      <c r="E65">
        <f t="shared" si="0"/>
        <v>206.07894663645564</v>
      </c>
    </row>
    <row r="66" spans="1:5" x14ac:dyDescent="0.4">
      <c r="A66">
        <v>69.031499999999994</v>
      </c>
      <c r="B66">
        <v>10</v>
      </c>
      <c r="C66">
        <v>233.63730000000001</v>
      </c>
      <c r="D66" s="1">
        <v>1</v>
      </c>
      <c r="E66">
        <f t="shared" si="0"/>
        <v>206.12498946015899</v>
      </c>
    </row>
    <row r="67" spans="1:5" x14ac:dyDescent="0.4">
      <c r="A67">
        <v>69.041499999999999</v>
      </c>
      <c r="B67">
        <v>6</v>
      </c>
      <c r="C67">
        <v>233.43129999999999</v>
      </c>
      <c r="D67" s="1">
        <v>1</v>
      </c>
      <c r="E67">
        <f t="shared" si="0"/>
        <v>123.78413520380515</v>
      </c>
    </row>
    <row r="68" spans="1:5" x14ac:dyDescent="0.4">
      <c r="A68">
        <v>69.051500000000004</v>
      </c>
      <c r="B68">
        <v>14</v>
      </c>
      <c r="C68">
        <v>234.16390000000001</v>
      </c>
      <c r="D68" s="1">
        <v>1</v>
      </c>
      <c r="E68">
        <f t="shared" si="0"/>
        <v>287.92602275585608</v>
      </c>
    </row>
    <row r="69" spans="1:5" x14ac:dyDescent="0.4">
      <c r="A69">
        <v>69.061499999999995</v>
      </c>
      <c r="B69">
        <v>11</v>
      </c>
      <c r="C69">
        <v>233.9659</v>
      </c>
      <c r="D69" s="1">
        <v>1</v>
      </c>
      <c r="E69">
        <f t="shared" si="0"/>
        <v>226.41904055249077</v>
      </c>
    </row>
    <row r="70" spans="1:5" x14ac:dyDescent="0.4">
      <c r="A70">
        <v>69.0715</v>
      </c>
      <c r="B70">
        <v>9</v>
      </c>
      <c r="C70">
        <v>233.92519999999999</v>
      </c>
      <c r="D70" s="1">
        <v>1</v>
      </c>
      <c r="E70">
        <f t="shared" si="0"/>
        <v>185.2841737444277</v>
      </c>
    </row>
    <row r="71" spans="1:5" x14ac:dyDescent="0.4">
      <c r="A71">
        <v>69.081500000000005</v>
      </c>
      <c r="B71">
        <v>9</v>
      </c>
      <c r="C71">
        <v>233.96250000000001</v>
      </c>
      <c r="D71" s="1">
        <v>1</v>
      </c>
      <c r="E71">
        <f t="shared" si="0"/>
        <v>185.25463439653791</v>
      </c>
    </row>
    <row r="72" spans="1:5" x14ac:dyDescent="0.4">
      <c r="A72">
        <v>69.091499999999996</v>
      </c>
      <c r="B72">
        <v>6</v>
      </c>
      <c r="C72">
        <v>233.9067</v>
      </c>
      <c r="D72" s="1">
        <v>1</v>
      </c>
      <c r="E72">
        <f t="shared" si="0"/>
        <v>123.53255208166333</v>
      </c>
    </row>
    <row r="73" spans="1:5" x14ac:dyDescent="0.4">
      <c r="A73">
        <v>69.101500000000001</v>
      </c>
      <c r="B73">
        <v>16</v>
      </c>
      <c r="C73">
        <v>233.76429999999999</v>
      </c>
      <c r="D73" s="1">
        <v>1</v>
      </c>
      <c r="E73">
        <f t="shared" si="0"/>
        <v>329.6208086521338</v>
      </c>
    </row>
    <row r="74" spans="1:5" x14ac:dyDescent="0.4">
      <c r="A74">
        <v>69.111500000000007</v>
      </c>
      <c r="B74">
        <v>13</v>
      </c>
      <c r="C74">
        <v>233.80080000000001</v>
      </c>
      <c r="D74" s="1">
        <v>1</v>
      </c>
      <c r="E74">
        <f t="shared" si="0"/>
        <v>267.77509657794155</v>
      </c>
    </row>
    <row r="75" spans="1:5" x14ac:dyDescent="0.4">
      <c r="A75">
        <v>69.121499999999997</v>
      </c>
      <c r="B75">
        <v>13</v>
      </c>
      <c r="C75">
        <v>233.3313</v>
      </c>
      <c r="D75" s="1">
        <v>1</v>
      </c>
      <c r="E75">
        <f t="shared" si="0"/>
        <v>268.31390302115494</v>
      </c>
    </row>
    <row r="76" spans="1:5" x14ac:dyDescent="0.4">
      <c r="A76">
        <v>69.131500000000003</v>
      </c>
      <c r="B76">
        <v>21</v>
      </c>
      <c r="C76">
        <v>233.2687</v>
      </c>
      <c r="D76" s="1">
        <v>1</v>
      </c>
      <c r="E76">
        <f t="shared" si="0"/>
        <v>433.54646637118486</v>
      </c>
    </row>
    <row r="77" spans="1:5" x14ac:dyDescent="0.4">
      <c r="A77">
        <v>69.141499999999994</v>
      </c>
      <c r="B77">
        <v>13</v>
      </c>
      <c r="C77">
        <v>233.21639999999999</v>
      </c>
      <c r="D77" s="1">
        <v>1</v>
      </c>
      <c r="E77">
        <f t="shared" si="0"/>
        <v>268.44609470002968</v>
      </c>
    </row>
    <row r="78" spans="1:5" x14ac:dyDescent="0.4">
      <c r="A78">
        <v>69.151499999999999</v>
      </c>
      <c r="B78">
        <v>18</v>
      </c>
      <c r="C78">
        <v>233.11009999999999</v>
      </c>
      <c r="D78" s="1">
        <v>1</v>
      </c>
      <c r="E78">
        <f t="shared" si="0"/>
        <v>371.86408825700818</v>
      </c>
    </row>
    <row r="79" spans="1:5" x14ac:dyDescent="0.4">
      <c r="A79">
        <v>69.161500000000004</v>
      </c>
      <c r="B79">
        <v>18</v>
      </c>
      <c r="C79">
        <v>233.30189999999999</v>
      </c>
      <c r="D79" s="1">
        <v>1</v>
      </c>
      <c r="E79">
        <f t="shared" si="0"/>
        <v>371.55837479248993</v>
      </c>
    </row>
    <row r="80" spans="1:5" x14ac:dyDescent="0.4">
      <c r="A80">
        <v>69.171499999999995</v>
      </c>
      <c r="B80">
        <v>13</v>
      </c>
      <c r="C80">
        <v>232.75210000000001</v>
      </c>
      <c r="D80" s="1">
        <v>1</v>
      </c>
      <c r="E80">
        <f t="shared" si="0"/>
        <v>268.9815980178052</v>
      </c>
    </row>
    <row r="81" spans="1:5" x14ac:dyDescent="0.4">
      <c r="A81">
        <v>69.1815</v>
      </c>
      <c r="B81">
        <v>12</v>
      </c>
      <c r="C81">
        <v>233.12350000000001</v>
      </c>
      <c r="D81" s="1">
        <v>1</v>
      </c>
      <c r="E81">
        <f t="shared" si="0"/>
        <v>247.89514227437388</v>
      </c>
    </row>
    <row r="82" spans="1:5" x14ac:dyDescent="0.4">
      <c r="A82">
        <v>69.191500000000005</v>
      </c>
      <c r="B82">
        <v>8</v>
      </c>
      <c r="C82">
        <v>233.11109999999999</v>
      </c>
      <c r="D82" s="1">
        <v>1</v>
      </c>
      <c r="E82">
        <f t="shared" si="0"/>
        <v>165.27221912641656</v>
      </c>
    </row>
    <row r="83" spans="1:5" x14ac:dyDescent="0.4">
      <c r="A83">
        <v>69.201499999999996</v>
      </c>
      <c r="B83">
        <v>15</v>
      </c>
      <c r="C83">
        <v>232.88749999999999</v>
      </c>
      <c r="D83" s="1">
        <v>1</v>
      </c>
      <c r="E83">
        <f t="shared" si="0"/>
        <v>310.18293811389623</v>
      </c>
    </row>
    <row r="84" spans="1:5" x14ac:dyDescent="0.4">
      <c r="A84">
        <v>69.211500000000001</v>
      </c>
      <c r="B84">
        <v>13</v>
      </c>
      <c r="C84">
        <v>232.76070000000001</v>
      </c>
      <c r="D84" s="1">
        <v>1</v>
      </c>
      <c r="E84">
        <f t="shared" si="0"/>
        <v>268.97165973465451</v>
      </c>
    </row>
    <row r="85" spans="1:5" x14ac:dyDescent="0.4">
      <c r="A85">
        <v>69.221500000000006</v>
      </c>
      <c r="B85">
        <v>12</v>
      </c>
      <c r="C85">
        <v>232.82060000000001</v>
      </c>
      <c r="D85" s="1">
        <v>1</v>
      </c>
      <c r="E85">
        <f t="shared" si="0"/>
        <v>248.21765427973295</v>
      </c>
    </row>
    <row r="86" spans="1:5" x14ac:dyDescent="0.4">
      <c r="A86">
        <v>69.231499999999997</v>
      </c>
      <c r="B86">
        <v>15</v>
      </c>
      <c r="C86">
        <v>232.60409999999999</v>
      </c>
      <c r="D86" s="1">
        <v>1</v>
      </c>
      <c r="E86">
        <f t="shared" ref="E86:E149" si="1">$A$1*B86/C86</f>
        <v>310.56085855752332</v>
      </c>
    </row>
    <row r="87" spans="1:5" x14ac:dyDescent="0.4">
      <c r="A87">
        <v>69.241500000000002</v>
      </c>
      <c r="B87">
        <v>19</v>
      </c>
      <c r="C87">
        <v>232.51050000000001</v>
      </c>
      <c r="D87" s="1">
        <v>1</v>
      </c>
      <c r="E87">
        <f t="shared" si="1"/>
        <v>393.53544635618613</v>
      </c>
    </row>
    <row r="88" spans="1:5" x14ac:dyDescent="0.4">
      <c r="A88">
        <v>69.251499999999993</v>
      </c>
      <c r="B88">
        <v>13</v>
      </c>
      <c r="C88">
        <v>232.64789999999999</v>
      </c>
      <c r="D88" s="1">
        <v>1</v>
      </c>
      <c r="E88">
        <f t="shared" si="1"/>
        <v>269.10207141349656</v>
      </c>
    </row>
    <row r="89" spans="1:5" x14ac:dyDescent="0.4">
      <c r="A89">
        <v>69.261499999999998</v>
      </c>
      <c r="B89">
        <v>23</v>
      </c>
      <c r="C89">
        <v>232.82509999999999</v>
      </c>
      <c r="D89" s="1">
        <v>1</v>
      </c>
      <c r="E89">
        <f t="shared" si="1"/>
        <v>475.74130881936702</v>
      </c>
    </row>
    <row r="90" spans="1:5" x14ac:dyDescent="0.4">
      <c r="A90">
        <v>69.271500000000003</v>
      </c>
      <c r="B90">
        <v>20</v>
      </c>
      <c r="C90">
        <v>232.5609</v>
      </c>
      <c r="D90" s="1">
        <v>1</v>
      </c>
      <c r="E90">
        <f t="shared" si="1"/>
        <v>414.15806354378577</v>
      </c>
    </row>
    <row r="91" spans="1:5" x14ac:dyDescent="0.4">
      <c r="A91">
        <v>69.281499999999994</v>
      </c>
      <c r="B91">
        <v>26</v>
      </c>
      <c r="C91">
        <v>232.43340000000001</v>
      </c>
      <c r="D91" s="1">
        <v>1</v>
      </c>
      <c r="E91">
        <f t="shared" si="1"/>
        <v>538.70082182681153</v>
      </c>
    </row>
    <row r="92" spans="1:5" x14ac:dyDescent="0.4">
      <c r="A92">
        <v>69.291499999999999</v>
      </c>
      <c r="B92">
        <v>29</v>
      </c>
      <c r="C92">
        <v>232.66210000000001</v>
      </c>
      <c r="D92" s="1">
        <v>1</v>
      </c>
      <c r="E92">
        <f t="shared" si="1"/>
        <v>600.26798262372779</v>
      </c>
    </row>
    <row r="93" spans="1:5" x14ac:dyDescent="0.4">
      <c r="A93">
        <v>69.301500000000004</v>
      </c>
      <c r="B93">
        <v>28</v>
      </c>
      <c r="C93">
        <v>232.501</v>
      </c>
      <c r="D93" s="1">
        <v>1</v>
      </c>
      <c r="E93">
        <f t="shared" si="1"/>
        <v>579.97067023367651</v>
      </c>
    </row>
    <row r="94" spans="1:5" x14ac:dyDescent="0.4">
      <c r="A94">
        <v>69.311499999999995</v>
      </c>
      <c r="B94">
        <v>28</v>
      </c>
      <c r="C94">
        <v>232.7604</v>
      </c>
      <c r="D94" s="1">
        <v>1</v>
      </c>
      <c r="E94">
        <f t="shared" si="1"/>
        <v>579.32432149111287</v>
      </c>
    </row>
    <row r="95" spans="1:5" x14ac:dyDescent="0.4">
      <c r="A95">
        <v>69.3215</v>
      </c>
      <c r="B95">
        <v>25</v>
      </c>
      <c r="C95">
        <v>232.54249999999999</v>
      </c>
      <c r="D95" s="1">
        <v>1</v>
      </c>
      <c r="E95">
        <f t="shared" si="1"/>
        <v>517.73854241697757</v>
      </c>
    </row>
    <row r="96" spans="1:5" x14ac:dyDescent="0.4">
      <c r="A96">
        <v>69.331500000000005</v>
      </c>
      <c r="B96">
        <v>28</v>
      </c>
      <c r="C96">
        <v>232.62100000000001</v>
      </c>
      <c r="D96" s="1">
        <v>1</v>
      </c>
      <c r="E96">
        <f t="shared" si="1"/>
        <v>579.67148623727007</v>
      </c>
    </row>
    <row r="97" spans="1:5" x14ac:dyDescent="0.4">
      <c r="A97">
        <v>69.341499999999996</v>
      </c>
      <c r="B97">
        <v>25</v>
      </c>
      <c r="C97">
        <v>232.48840000000001</v>
      </c>
      <c r="D97" s="1">
        <v>1</v>
      </c>
      <c r="E97">
        <f t="shared" si="1"/>
        <v>517.85902006293645</v>
      </c>
    </row>
    <row r="98" spans="1:5" x14ac:dyDescent="0.4">
      <c r="A98">
        <v>69.351500000000001</v>
      </c>
      <c r="B98">
        <v>43</v>
      </c>
      <c r="C98">
        <v>232.7149</v>
      </c>
      <c r="D98" s="1">
        <v>1</v>
      </c>
      <c r="E98">
        <f t="shared" si="1"/>
        <v>889.85058455646811</v>
      </c>
    </row>
    <row r="99" spans="1:5" x14ac:dyDescent="0.4">
      <c r="A99">
        <v>69.361500000000007</v>
      </c>
      <c r="B99">
        <v>51</v>
      </c>
      <c r="C99">
        <v>232.47739999999999</v>
      </c>
      <c r="D99" s="1">
        <v>1</v>
      </c>
      <c r="E99">
        <f t="shared" si="1"/>
        <v>1056.4823875353047</v>
      </c>
    </row>
    <row r="100" spans="1:5" x14ac:dyDescent="0.4">
      <c r="A100">
        <v>69.371499999999997</v>
      </c>
      <c r="B100">
        <v>49</v>
      </c>
      <c r="C100">
        <v>232.55950000000001</v>
      </c>
      <c r="D100" s="1">
        <v>1</v>
      </c>
      <c r="E100">
        <f t="shared" si="1"/>
        <v>1014.6933640638202</v>
      </c>
    </row>
    <row r="101" spans="1:5" x14ac:dyDescent="0.4">
      <c r="A101">
        <v>69.381500000000003</v>
      </c>
      <c r="B101">
        <v>41</v>
      </c>
      <c r="C101">
        <v>232.56059999999999</v>
      </c>
      <c r="D101" s="1">
        <v>1</v>
      </c>
      <c r="E101">
        <f t="shared" si="1"/>
        <v>849.02512549417236</v>
      </c>
    </row>
    <row r="102" spans="1:5" x14ac:dyDescent="0.4">
      <c r="A102">
        <v>69.391499999999994</v>
      </c>
      <c r="B102">
        <v>49</v>
      </c>
      <c r="C102">
        <v>232.67509999999999</v>
      </c>
      <c r="D102" s="1">
        <v>1</v>
      </c>
      <c r="E102">
        <f t="shared" si="1"/>
        <v>1014.1892338286307</v>
      </c>
    </row>
    <row r="103" spans="1:5" x14ac:dyDescent="0.4">
      <c r="A103">
        <v>69.401499999999999</v>
      </c>
      <c r="B103">
        <v>60</v>
      </c>
      <c r="C103">
        <v>232.68799999999999</v>
      </c>
      <c r="D103" s="1">
        <v>1</v>
      </c>
      <c r="E103">
        <f t="shared" si="1"/>
        <v>1241.7955201815307</v>
      </c>
    </row>
    <row r="104" spans="1:5" x14ac:dyDescent="0.4">
      <c r="A104">
        <v>69.411500000000004</v>
      </c>
      <c r="B104">
        <v>48</v>
      </c>
      <c r="C104">
        <v>232.56989999999999</v>
      </c>
      <c r="D104" s="1">
        <v>1</v>
      </c>
      <c r="E104">
        <f t="shared" si="1"/>
        <v>993.94088744932174</v>
      </c>
    </row>
    <row r="105" spans="1:5" x14ac:dyDescent="0.4">
      <c r="A105">
        <v>69.421499999999995</v>
      </c>
      <c r="B105">
        <v>58</v>
      </c>
      <c r="C105">
        <v>232.58109999999999</v>
      </c>
      <c r="D105" s="1">
        <v>1</v>
      </c>
      <c r="E105">
        <f t="shared" si="1"/>
        <v>1200.9540706446055</v>
      </c>
    </row>
    <row r="106" spans="1:5" x14ac:dyDescent="0.4">
      <c r="A106">
        <v>69.4315</v>
      </c>
      <c r="B106">
        <v>61</v>
      </c>
      <c r="C106">
        <v>232.7337</v>
      </c>
      <c r="D106" s="1">
        <v>1</v>
      </c>
      <c r="E106">
        <f t="shared" si="1"/>
        <v>1262.2442070056893</v>
      </c>
    </row>
    <row r="107" spans="1:5" x14ac:dyDescent="0.4">
      <c r="A107">
        <v>69.441500000000005</v>
      </c>
      <c r="B107">
        <v>81</v>
      </c>
      <c r="C107">
        <v>232.7893</v>
      </c>
      <c r="D107" s="1">
        <v>1</v>
      </c>
      <c r="E107">
        <f t="shared" si="1"/>
        <v>1675.6944438597479</v>
      </c>
    </row>
    <row r="108" spans="1:5" x14ac:dyDescent="0.4">
      <c r="A108">
        <v>69.451499999999996</v>
      </c>
      <c r="B108">
        <v>75</v>
      </c>
      <c r="C108">
        <v>233.1354</v>
      </c>
      <c r="D108" s="1">
        <v>1</v>
      </c>
      <c r="E108">
        <f t="shared" si="1"/>
        <v>1549.265555552696</v>
      </c>
    </row>
    <row r="109" spans="1:5" x14ac:dyDescent="0.4">
      <c r="A109">
        <v>69.461500000000001</v>
      </c>
      <c r="B109">
        <v>104</v>
      </c>
      <c r="C109">
        <v>233.2174</v>
      </c>
      <c r="D109" s="1">
        <v>1</v>
      </c>
      <c r="E109">
        <f t="shared" si="1"/>
        <v>2147.5595491588538</v>
      </c>
    </row>
    <row r="110" spans="1:5" x14ac:dyDescent="0.4">
      <c r="A110">
        <v>69.471500000000006</v>
      </c>
      <c r="B110">
        <v>116</v>
      </c>
      <c r="C110">
        <v>232.9777</v>
      </c>
      <c r="D110" s="1">
        <v>1</v>
      </c>
      <c r="E110">
        <f t="shared" si="1"/>
        <v>2397.819351809208</v>
      </c>
    </row>
    <row r="111" spans="1:5" x14ac:dyDescent="0.4">
      <c r="A111">
        <v>69.481499999999997</v>
      </c>
      <c r="B111">
        <v>136</v>
      </c>
      <c r="C111">
        <v>233.0992</v>
      </c>
      <c r="D111" s="1">
        <v>1</v>
      </c>
      <c r="E111">
        <f t="shared" si="1"/>
        <v>2809.7711600897815</v>
      </c>
    </row>
    <row r="112" spans="1:5" x14ac:dyDescent="0.4">
      <c r="A112">
        <v>69.491500000000002</v>
      </c>
      <c r="B112">
        <v>156</v>
      </c>
      <c r="C112">
        <v>232.94630000000001</v>
      </c>
      <c r="D112" s="1">
        <v>1</v>
      </c>
      <c r="E112">
        <f t="shared" si="1"/>
        <v>3225.0882782855965</v>
      </c>
    </row>
    <row r="113" spans="1:5" x14ac:dyDescent="0.4">
      <c r="A113">
        <v>69.501499999999993</v>
      </c>
      <c r="B113">
        <v>206</v>
      </c>
      <c r="C113">
        <v>232.97559999999999</v>
      </c>
      <c r="D113" s="1">
        <v>1</v>
      </c>
      <c r="E113">
        <f t="shared" si="1"/>
        <v>4258.2348177234016</v>
      </c>
    </row>
    <row r="114" spans="1:5" x14ac:dyDescent="0.4">
      <c r="A114">
        <v>69.511499999999998</v>
      </c>
      <c r="B114">
        <v>236</v>
      </c>
      <c r="C114">
        <v>233.21600000000001</v>
      </c>
      <c r="D114" s="1">
        <v>1</v>
      </c>
      <c r="E114">
        <f t="shared" si="1"/>
        <v>4873.3374622667397</v>
      </c>
    </row>
    <row r="115" spans="1:5" x14ac:dyDescent="0.4">
      <c r="A115">
        <v>69.521500000000003</v>
      </c>
      <c r="B115">
        <v>255</v>
      </c>
      <c r="C115">
        <v>233.14259999999999</v>
      </c>
      <c r="D115" s="1">
        <v>1</v>
      </c>
      <c r="E115">
        <f t="shared" si="1"/>
        <v>5267.3402158164154</v>
      </c>
    </row>
    <row r="116" spans="1:5" x14ac:dyDescent="0.4">
      <c r="A116">
        <v>69.531499999999994</v>
      </c>
      <c r="B116">
        <v>362</v>
      </c>
      <c r="C116">
        <v>232.98079999999999</v>
      </c>
      <c r="D116" s="1">
        <v>1</v>
      </c>
      <c r="E116">
        <f t="shared" si="1"/>
        <v>7482.7504807263094</v>
      </c>
    </row>
    <row r="117" spans="1:5" x14ac:dyDescent="0.4">
      <c r="A117">
        <v>69.541499999999999</v>
      </c>
      <c r="B117">
        <v>544</v>
      </c>
      <c r="C117">
        <v>233.0976</v>
      </c>
      <c r="D117" s="1">
        <v>1</v>
      </c>
      <c r="E117">
        <f t="shared" si="1"/>
        <v>11239.161786307539</v>
      </c>
    </row>
    <row r="118" spans="1:5" x14ac:dyDescent="0.4">
      <c r="A118">
        <v>69.551500000000004</v>
      </c>
      <c r="B118">
        <v>990</v>
      </c>
      <c r="C118">
        <v>233.0265</v>
      </c>
      <c r="D118" s="1">
        <v>1</v>
      </c>
      <c r="E118">
        <f t="shared" si="1"/>
        <v>20459.862350419375</v>
      </c>
    </row>
    <row r="119" spans="1:5" x14ac:dyDescent="0.4">
      <c r="A119">
        <v>69.561499999999995</v>
      </c>
      <c r="B119">
        <v>2520</v>
      </c>
      <c r="C119">
        <v>233.17830000000001</v>
      </c>
      <c r="D119" s="1">
        <v>1</v>
      </c>
      <c r="E119">
        <f t="shared" si="1"/>
        <v>52045.745560371615</v>
      </c>
    </row>
    <row r="120" spans="1:5" x14ac:dyDescent="0.4">
      <c r="A120">
        <v>69.5715</v>
      </c>
      <c r="B120">
        <v>23255</v>
      </c>
      <c r="C120">
        <v>233.12379999999999</v>
      </c>
      <c r="D120" s="1">
        <v>1</v>
      </c>
      <c r="E120">
        <f t="shared" si="1"/>
        <v>480399.50958675181</v>
      </c>
    </row>
    <row r="121" spans="1:5" x14ac:dyDescent="0.4">
      <c r="A121">
        <v>69.581500000000005</v>
      </c>
      <c r="B121">
        <v>694377</v>
      </c>
      <c r="C121">
        <v>232.82220000000001</v>
      </c>
      <c r="D121" s="1">
        <v>1</v>
      </c>
      <c r="E121">
        <f t="shared" si="1"/>
        <v>14362953.80475831</v>
      </c>
    </row>
    <row r="122" spans="1:5" x14ac:dyDescent="0.4">
      <c r="A122">
        <v>69.591499999999996</v>
      </c>
      <c r="B122">
        <v>32202</v>
      </c>
      <c r="C122">
        <v>232.905</v>
      </c>
      <c r="D122" s="1">
        <v>1</v>
      </c>
      <c r="E122">
        <f t="shared" si="1"/>
        <v>665850.69713917701</v>
      </c>
    </row>
    <row r="123" spans="1:5" x14ac:dyDescent="0.4">
      <c r="A123">
        <v>69.601500000000001</v>
      </c>
      <c r="B123">
        <v>5913</v>
      </c>
      <c r="C123">
        <v>232.86330000000001</v>
      </c>
      <c r="D123" s="1">
        <v>1</v>
      </c>
      <c r="E123">
        <f t="shared" si="1"/>
        <v>122286.82137460046</v>
      </c>
    </row>
    <row r="124" spans="1:5" x14ac:dyDescent="0.4">
      <c r="A124">
        <v>69.611500000000007</v>
      </c>
      <c r="B124">
        <v>710</v>
      </c>
      <c r="C124">
        <v>232.69990000000001</v>
      </c>
      <c r="D124" s="1">
        <v>1</v>
      </c>
      <c r="E124">
        <f t="shared" si="1"/>
        <v>14693.828858542698</v>
      </c>
    </row>
    <row r="125" spans="1:5" x14ac:dyDescent="0.4">
      <c r="A125">
        <v>69.621499999999997</v>
      </c>
      <c r="B125">
        <v>305</v>
      </c>
      <c r="C125">
        <v>232.49019999999999</v>
      </c>
      <c r="D125" s="1">
        <v>1</v>
      </c>
      <c r="E125">
        <f t="shared" si="1"/>
        <v>6317.8311300863443</v>
      </c>
    </row>
    <row r="126" spans="1:5" x14ac:dyDescent="0.4">
      <c r="A126">
        <v>69.631500000000003</v>
      </c>
      <c r="B126">
        <v>168</v>
      </c>
      <c r="C126">
        <v>232.53450000000001</v>
      </c>
      <c r="D126" s="1">
        <v>1</v>
      </c>
      <c r="E126">
        <f t="shared" si="1"/>
        <v>3479.3227017926374</v>
      </c>
    </row>
    <row r="127" spans="1:5" x14ac:dyDescent="0.4">
      <c r="A127">
        <v>69.641499999999994</v>
      </c>
      <c r="B127">
        <v>90</v>
      </c>
      <c r="C127">
        <v>232.52850000000001</v>
      </c>
      <c r="D127" s="1">
        <v>1</v>
      </c>
      <c r="E127">
        <f t="shared" si="1"/>
        <v>1863.9709713002921</v>
      </c>
    </row>
    <row r="128" spans="1:5" x14ac:dyDescent="0.4">
      <c r="A128">
        <v>69.651499999999999</v>
      </c>
      <c r="B128">
        <v>74</v>
      </c>
      <c r="C128">
        <v>232.4341</v>
      </c>
      <c r="D128" s="1">
        <v>1</v>
      </c>
      <c r="E128">
        <f t="shared" si="1"/>
        <v>1533.2207984972945</v>
      </c>
    </row>
    <row r="129" spans="1:5" x14ac:dyDescent="0.4">
      <c r="A129">
        <v>69.661500000000004</v>
      </c>
      <c r="B129">
        <v>64</v>
      </c>
      <c r="C129">
        <v>232.33160000000001</v>
      </c>
      <c r="D129" s="1">
        <v>1</v>
      </c>
      <c r="E129">
        <f t="shared" si="1"/>
        <v>1326.613815770218</v>
      </c>
    </row>
    <row r="130" spans="1:5" x14ac:dyDescent="0.4">
      <c r="A130">
        <v>69.671499999999995</v>
      </c>
      <c r="B130">
        <v>44</v>
      </c>
      <c r="C130">
        <v>232.23599999999999</v>
      </c>
      <c r="D130" s="1">
        <v>1</v>
      </c>
      <c r="E130">
        <f t="shared" si="1"/>
        <v>912.4224426876109</v>
      </c>
    </row>
    <row r="131" spans="1:5" x14ac:dyDescent="0.4">
      <c r="A131">
        <v>69.6815</v>
      </c>
      <c r="B131">
        <v>26</v>
      </c>
      <c r="C131">
        <v>232.25710000000001</v>
      </c>
      <c r="D131" s="1">
        <v>1</v>
      </c>
      <c r="E131">
        <f t="shared" si="1"/>
        <v>539.10973485848228</v>
      </c>
    </row>
    <row r="132" spans="1:5" x14ac:dyDescent="0.4">
      <c r="A132">
        <v>69.691500000000005</v>
      </c>
      <c r="B132">
        <v>21</v>
      </c>
      <c r="C132">
        <v>232.24459999999999</v>
      </c>
      <c r="D132" s="1">
        <v>1</v>
      </c>
      <c r="E132">
        <f t="shared" si="1"/>
        <v>435.45822206415136</v>
      </c>
    </row>
    <row r="133" spans="1:5" x14ac:dyDescent="0.4">
      <c r="A133">
        <v>69.701499999999996</v>
      </c>
      <c r="B133">
        <v>19</v>
      </c>
      <c r="C133">
        <v>231.887</v>
      </c>
      <c r="D133" s="1">
        <v>1</v>
      </c>
      <c r="E133">
        <f t="shared" si="1"/>
        <v>394.59358825634905</v>
      </c>
    </row>
    <row r="134" spans="1:5" x14ac:dyDescent="0.4">
      <c r="A134">
        <v>69.711500000000001</v>
      </c>
      <c r="B134">
        <v>14</v>
      </c>
      <c r="C134">
        <v>231.9546</v>
      </c>
      <c r="D134" s="1">
        <v>1</v>
      </c>
      <c r="E134">
        <f t="shared" si="1"/>
        <v>290.66843425394455</v>
      </c>
    </row>
    <row r="135" spans="1:5" x14ac:dyDescent="0.4">
      <c r="A135">
        <v>69.721500000000006</v>
      </c>
      <c r="B135">
        <v>17</v>
      </c>
      <c r="C135">
        <v>231.99850000000001</v>
      </c>
      <c r="D135" s="1">
        <v>1</v>
      </c>
      <c r="E135">
        <f t="shared" si="1"/>
        <v>352.88773936038382</v>
      </c>
    </row>
    <row r="136" spans="1:5" x14ac:dyDescent="0.4">
      <c r="A136">
        <v>69.731499999999997</v>
      </c>
      <c r="B136">
        <v>12</v>
      </c>
      <c r="C136">
        <v>231.91329999999999</v>
      </c>
      <c r="D136" s="1">
        <v>1</v>
      </c>
      <c r="E136">
        <f t="shared" si="1"/>
        <v>249.18874079235647</v>
      </c>
    </row>
    <row r="137" spans="1:5" x14ac:dyDescent="0.4">
      <c r="A137">
        <v>69.741500000000002</v>
      </c>
      <c r="B137">
        <v>7</v>
      </c>
      <c r="C137">
        <v>232.0712</v>
      </c>
      <c r="D137" s="1">
        <v>1</v>
      </c>
      <c r="E137">
        <f t="shared" si="1"/>
        <v>145.2611965638132</v>
      </c>
    </row>
    <row r="138" spans="1:5" x14ac:dyDescent="0.4">
      <c r="A138">
        <v>69.751499999999993</v>
      </c>
      <c r="B138">
        <v>2</v>
      </c>
      <c r="C138">
        <v>232.34690000000001</v>
      </c>
      <c r="D138" s="1">
        <v>1</v>
      </c>
      <c r="E138">
        <f t="shared" si="1"/>
        <v>41.453951828063985</v>
      </c>
    </row>
    <row r="139" spans="1:5" x14ac:dyDescent="0.4">
      <c r="A139">
        <v>69.761499999999998</v>
      </c>
      <c r="B139">
        <v>7</v>
      </c>
      <c r="C139">
        <v>232.07499999999999</v>
      </c>
      <c r="D139" s="1">
        <v>1</v>
      </c>
      <c r="E139">
        <f t="shared" si="1"/>
        <v>145.25881805450825</v>
      </c>
    </row>
    <row r="140" spans="1:5" x14ac:dyDescent="0.4">
      <c r="A140">
        <v>69.771500000000003</v>
      </c>
      <c r="B140">
        <v>5</v>
      </c>
      <c r="C140">
        <v>232.4384</v>
      </c>
      <c r="D140" s="1">
        <v>1</v>
      </c>
      <c r="E140">
        <f t="shared" si="1"/>
        <v>103.59408342167215</v>
      </c>
    </row>
    <row r="141" spans="1:5" x14ac:dyDescent="0.4">
      <c r="A141">
        <v>69.781499999999994</v>
      </c>
      <c r="B141">
        <v>7</v>
      </c>
      <c r="C141">
        <v>232.1841</v>
      </c>
      <c r="D141" s="1">
        <v>1</v>
      </c>
      <c r="E141">
        <f t="shared" si="1"/>
        <v>145.1905630058217</v>
      </c>
    </row>
    <row r="142" spans="1:5" x14ac:dyDescent="0.4">
      <c r="A142">
        <v>69.791499999999999</v>
      </c>
      <c r="B142">
        <v>8</v>
      </c>
      <c r="C142">
        <v>231.97049999999999</v>
      </c>
      <c r="D142" s="1">
        <v>1</v>
      </c>
      <c r="E142">
        <f t="shared" si="1"/>
        <v>166.08486337702425</v>
      </c>
    </row>
    <row r="143" spans="1:5" x14ac:dyDescent="0.4">
      <c r="A143">
        <v>69.801500000000004</v>
      </c>
      <c r="B143">
        <v>2</v>
      </c>
      <c r="C143">
        <v>232.17779999999999</v>
      </c>
      <c r="D143" s="1">
        <v>1</v>
      </c>
      <c r="E143">
        <f t="shared" si="1"/>
        <v>41.484143617520715</v>
      </c>
    </row>
    <row r="144" spans="1:5" x14ac:dyDescent="0.4">
      <c r="A144">
        <v>69.811499999999995</v>
      </c>
      <c r="B144">
        <v>4</v>
      </c>
      <c r="C144">
        <v>232.39879999999999</v>
      </c>
      <c r="D144" s="1">
        <v>1</v>
      </c>
      <c r="E144">
        <f t="shared" si="1"/>
        <v>82.88938841336531</v>
      </c>
    </row>
    <row r="145" spans="1:5" x14ac:dyDescent="0.4">
      <c r="A145">
        <v>69.8215</v>
      </c>
      <c r="B145">
        <v>5</v>
      </c>
      <c r="C145">
        <v>232.0932</v>
      </c>
      <c r="D145" s="1">
        <v>1</v>
      </c>
      <c r="E145">
        <f t="shared" si="1"/>
        <v>103.7481623761489</v>
      </c>
    </row>
    <row r="146" spans="1:5" x14ac:dyDescent="0.4">
      <c r="A146">
        <v>69.831500000000005</v>
      </c>
      <c r="B146">
        <v>3</v>
      </c>
      <c r="C146">
        <v>231.98150000000001</v>
      </c>
      <c r="D146" s="1">
        <v>1</v>
      </c>
      <c r="E146">
        <f t="shared" si="1"/>
        <v>62.278870513381449</v>
      </c>
    </row>
    <row r="147" spans="1:5" x14ac:dyDescent="0.4">
      <c r="A147">
        <v>69.841499999999996</v>
      </c>
      <c r="B147">
        <v>2</v>
      </c>
      <c r="C147">
        <v>231.93950000000001</v>
      </c>
      <c r="D147" s="1">
        <v>1</v>
      </c>
      <c r="E147">
        <f t="shared" si="1"/>
        <v>41.526765384938749</v>
      </c>
    </row>
    <row r="148" spans="1:5" x14ac:dyDescent="0.4">
      <c r="A148">
        <v>69.851500000000001</v>
      </c>
      <c r="B148">
        <v>1</v>
      </c>
      <c r="C148">
        <v>231.87790000000001</v>
      </c>
      <c r="D148" s="1">
        <v>1</v>
      </c>
      <c r="E148">
        <f t="shared" si="1"/>
        <v>20.768898631564284</v>
      </c>
    </row>
    <row r="149" spans="1:5" x14ac:dyDescent="0.4">
      <c r="A149">
        <v>69.861500000000007</v>
      </c>
      <c r="B149">
        <v>0</v>
      </c>
      <c r="C149">
        <v>231.98410000000001</v>
      </c>
      <c r="D149" s="1">
        <v>1</v>
      </c>
      <c r="E149">
        <f t="shared" si="1"/>
        <v>0</v>
      </c>
    </row>
    <row r="150" spans="1:5" x14ac:dyDescent="0.4">
      <c r="A150">
        <v>69.871499999999997</v>
      </c>
      <c r="B150">
        <v>2</v>
      </c>
      <c r="C150">
        <v>231.9555</v>
      </c>
      <c r="D150" s="1">
        <v>1</v>
      </c>
      <c r="E150">
        <f t="shared" ref="E150:E213" si="2">$A$1*B150/C150</f>
        <v>41.523900920650732</v>
      </c>
    </row>
    <row r="151" spans="1:5" x14ac:dyDescent="0.4">
      <c r="A151">
        <v>69.881500000000003</v>
      </c>
      <c r="B151">
        <v>1</v>
      </c>
      <c r="C151">
        <v>231.78200000000001</v>
      </c>
      <c r="D151" s="1">
        <v>1</v>
      </c>
      <c r="E151">
        <f t="shared" si="2"/>
        <v>20.777491781070143</v>
      </c>
    </row>
    <row r="152" spans="1:5" x14ac:dyDescent="0.4">
      <c r="A152">
        <v>69.891499999999994</v>
      </c>
      <c r="B152">
        <v>0</v>
      </c>
      <c r="C152">
        <v>231.99189999999999</v>
      </c>
      <c r="D152" s="1">
        <v>1</v>
      </c>
      <c r="E152">
        <f t="shared" si="2"/>
        <v>0</v>
      </c>
    </row>
    <row r="153" spans="1:5" x14ac:dyDescent="0.4">
      <c r="A153">
        <v>69.901499999999999</v>
      </c>
      <c r="B153">
        <v>1</v>
      </c>
      <c r="C153">
        <v>231.5455</v>
      </c>
      <c r="D153" s="1">
        <v>1</v>
      </c>
      <c r="E153">
        <f t="shared" si="2"/>
        <v>20.798713859694963</v>
      </c>
    </row>
    <row r="154" spans="1:5" x14ac:dyDescent="0.4">
      <c r="A154">
        <v>69.911500000000004</v>
      </c>
      <c r="B154">
        <v>2</v>
      </c>
      <c r="C154">
        <v>231.7149</v>
      </c>
      <c r="D154" s="1">
        <v>1</v>
      </c>
      <c r="E154">
        <f t="shared" si="2"/>
        <v>41.567017054147144</v>
      </c>
    </row>
    <row r="155" spans="1:5" x14ac:dyDescent="0.4">
      <c r="A155">
        <v>69.921499999999995</v>
      </c>
      <c r="B155">
        <v>1</v>
      </c>
      <c r="C155">
        <v>231.6645</v>
      </c>
      <c r="D155" s="1">
        <v>1</v>
      </c>
      <c r="E155">
        <f t="shared" si="2"/>
        <v>20.788030103878672</v>
      </c>
    </row>
    <row r="156" spans="1:5" x14ac:dyDescent="0.4">
      <c r="A156">
        <v>69.9315</v>
      </c>
      <c r="B156">
        <v>1</v>
      </c>
      <c r="C156">
        <v>231.6677</v>
      </c>
      <c r="D156" s="1">
        <v>1</v>
      </c>
      <c r="E156">
        <f t="shared" si="2"/>
        <v>20.787742961146506</v>
      </c>
    </row>
    <row r="157" spans="1:5" x14ac:dyDescent="0.4">
      <c r="A157">
        <v>69.941500000000005</v>
      </c>
      <c r="B157">
        <v>0</v>
      </c>
      <c r="C157">
        <v>231.9453</v>
      </c>
      <c r="D157" s="1">
        <v>1</v>
      </c>
      <c r="E157">
        <f t="shared" si="2"/>
        <v>0</v>
      </c>
    </row>
    <row r="158" spans="1:5" x14ac:dyDescent="0.4">
      <c r="A158">
        <v>69.951499999999996</v>
      </c>
      <c r="B158">
        <v>2</v>
      </c>
      <c r="C158">
        <v>231.8441</v>
      </c>
      <c r="D158" s="1">
        <v>1</v>
      </c>
      <c r="E158">
        <f t="shared" si="2"/>
        <v>41.54385295981222</v>
      </c>
    </row>
    <row r="159" spans="1:5" x14ac:dyDescent="0.4">
      <c r="A159">
        <v>69.961500000000001</v>
      </c>
      <c r="B159">
        <v>1</v>
      </c>
      <c r="C159">
        <v>232.02619999999999</v>
      </c>
      <c r="D159" s="1">
        <v>1</v>
      </c>
      <c r="E159">
        <f t="shared" si="2"/>
        <v>20.755624149341756</v>
      </c>
    </row>
    <row r="160" spans="1:5" x14ac:dyDescent="0.4">
      <c r="A160">
        <v>69.971500000000006</v>
      </c>
      <c r="B160">
        <v>1</v>
      </c>
      <c r="C160">
        <v>231.87870000000001</v>
      </c>
      <c r="D160" s="1">
        <v>1</v>
      </c>
      <c r="E160">
        <f t="shared" si="2"/>
        <v>20.768826977208342</v>
      </c>
    </row>
    <row r="161" spans="1:5" x14ac:dyDescent="0.4">
      <c r="A161">
        <v>69.981499999999997</v>
      </c>
      <c r="B161">
        <v>1</v>
      </c>
      <c r="C161">
        <v>231.63300000000001</v>
      </c>
      <c r="D161" s="1">
        <v>1</v>
      </c>
      <c r="E161">
        <f t="shared" si="2"/>
        <v>20.790857088584097</v>
      </c>
    </row>
    <row r="162" spans="1:5" x14ac:dyDescent="0.4">
      <c r="A162">
        <v>69.991500000000002</v>
      </c>
      <c r="B162">
        <v>0</v>
      </c>
      <c r="C162">
        <v>232.01079999999999</v>
      </c>
      <c r="D162" s="1">
        <v>1</v>
      </c>
      <c r="E162">
        <f t="shared" si="2"/>
        <v>0</v>
      </c>
    </row>
    <row r="163" spans="1:5" x14ac:dyDescent="0.4">
      <c r="A163">
        <v>70.001499999999993</v>
      </c>
      <c r="B163">
        <v>2</v>
      </c>
      <c r="C163">
        <v>232.0479</v>
      </c>
      <c r="D163" s="1">
        <v>1</v>
      </c>
      <c r="E163">
        <f t="shared" si="2"/>
        <v>41.507366367030258</v>
      </c>
    </row>
    <row r="164" spans="1:5" x14ac:dyDescent="0.4">
      <c r="A164">
        <v>70.011499999999998</v>
      </c>
      <c r="B164">
        <v>1</v>
      </c>
      <c r="C164">
        <v>231.93379999999999</v>
      </c>
      <c r="D164" s="1">
        <v>1</v>
      </c>
      <c r="E164">
        <f t="shared" si="2"/>
        <v>20.76389297290865</v>
      </c>
    </row>
    <row r="165" spans="1:5" x14ac:dyDescent="0.4">
      <c r="A165">
        <v>70.021500000000003</v>
      </c>
      <c r="B165">
        <v>1</v>
      </c>
      <c r="C165">
        <v>231.81379999999999</v>
      </c>
      <c r="D165" s="1">
        <v>1</v>
      </c>
      <c r="E165">
        <f t="shared" si="2"/>
        <v>20.774641544204876</v>
      </c>
    </row>
    <row r="166" spans="1:5" x14ac:dyDescent="0.4">
      <c r="A166">
        <v>70.031499999999994</v>
      </c>
      <c r="B166">
        <v>1</v>
      </c>
      <c r="C166">
        <v>231.98779999999999</v>
      </c>
      <c r="D166" s="1">
        <v>1</v>
      </c>
      <c r="E166">
        <f t="shared" si="2"/>
        <v>20.759059743658934</v>
      </c>
    </row>
    <row r="167" spans="1:5" x14ac:dyDescent="0.4">
      <c r="A167">
        <v>70.041499999999999</v>
      </c>
      <c r="B167">
        <v>2</v>
      </c>
      <c r="C167">
        <v>232.2499</v>
      </c>
      <c r="D167" s="1">
        <v>1</v>
      </c>
      <c r="E167">
        <f t="shared" si="2"/>
        <v>41.471265219059298</v>
      </c>
    </row>
    <row r="168" spans="1:5" x14ac:dyDescent="0.4">
      <c r="A168">
        <v>70.051500000000004</v>
      </c>
      <c r="B168">
        <v>2</v>
      </c>
      <c r="C168">
        <v>232.58709999999999</v>
      </c>
      <c r="D168" s="1">
        <v>1</v>
      </c>
      <c r="E168">
        <f t="shared" si="2"/>
        <v>41.41114103060746</v>
      </c>
    </row>
    <row r="169" spans="1:5" x14ac:dyDescent="0.4">
      <c r="A169">
        <v>70.061499999999995</v>
      </c>
      <c r="B169">
        <v>0</v>
      </c>
      <c r="C169">
        <v>232.38640000000001</v>
      </c>
      <c r="D169" s="1">
        <v>1</v>
      </c>
      <c r="E169">
        <f t="shared" si="2"/>
        <v>0</v>
      </c>
    </row>
    <row r="170" spans="1:5" x14ac:dyDescent="0.4">
      <c r="A170">
        <v>70.0715</v>
      </c>
      <c r="B170">
        <v>0</v>
      </c>
      <c r="C170">
        <v>232.3366</v>
      </c>
      <c r="D170" s="1">
        <v>1</v>
      </c>
      <c r="E170">
        <f t="shared" si="2"/>
        <v>0</v>
      </c>
    </row>
    <row r="171" spans="1:5" x14ac:dyDescent="0.4">
      <c r="A171">
        <v>70.081500000000005</v>
      </c>
      <c r="B171">
        <v>1</v>
      </c>
      <c r="C171">
        <v>232.58949999999999</v>
      </c>
      <c r="D171" s="1">
        <v>1</v>
      </c>
      <c r="E171">
        <f t="shared" si="2"/>
        <v>20.705356862627077</v>
      </c>
    </row>
    <row r="172" spans="1:5" x14ac:dyDescent="0.4">
      <c r="A172">
        <v>70.091499999999996</v>
      </c>
      <c r="B172">
        <v>0</v>
      </c>
      <c r="C172">
        <v>232.52</v>
      </c>
      <c r="D172" s="1">
        <v>1</v>
      </c>
      <c r="E172">
        <f t="shared" si="2"/>
        <v>0</v>
      </c>
    </row>
    <row r="173" spans="1:5" x14ac:dyDescent="0.4">
      <c r="A173">
        <v>70.101500000000001</v>
      </c>
      <c r="B173">
        <v>0</v>
      </c>
      <c r="C173">
        <v>232.4657</v>
      </c>
      <c r="D173" s="1">
        <v>1</v>
      </c>
      <c r="E173">
        <f t="shared" si="2"/>
        <v>0</v>
      </c>
    </row>
    <row r="174" spans="1:5" x14ac:dyDescent="0.4">
      <c r="A174">
        <v>70.111500000000007</v>
      </c>
      <c r="B174">
        <v>1</v>
      </c>
      <c r="C174">
        <v>232.4188</v>
      </c>
      <c r="D174" s="1">
        <v>1</v>
      </c>
      <c r="E174">
        <f t="shared" si="2"/>
        <v>20.720563913074159</v>
      </c>
    </row>
    <row r="175" spans="1:5" x14ac:dyDescent="0.4">
      <c r="A175">
        <v>70.121499999999997</v>
      </c>
      <c r="B175">
        <v>2</v>
      </c>
      <c r="C175">
        <v>232.4785</v>
      </c>
      <c r="D175" s="1">
        <v>1</v>
      </c>
      <c r="E175">
        <f t="shared" si="2"/>
        <v>41.430485829872445</v>
      </c>
    </row>
    <row r="176" spans="1:5" x14ac:dyDescent="0.4">
      <c r="A176">
        <v>70.131500000000003</v>
      </c>
      <c r="B176">
        <v>0</v>
      </c>
      <c r="C176">
        <v>232.19319999999999</v>
      </c>
      <c r="D176" s="1">
        <v>1</v>
      </c>
      <c r="E176">
        <f t="shared" si="2"/>
        <v>0</v>
      </c>
    </row>
    <row r="177" spans="1:5" x14ac:dyDescent="0.4">
      <c r="A177">
        <v>70.141499999999994</v>
      </c>
      <c r="B177">
        <v>2</v>
      </c>
      <c r="C177">
        <v>232.26490000000001</v>
      </c>
      <c r="D177" s="1">
        <v>1</v>
      </c>
      <c r="E177">
        <f t="shared" si="2"/>
        <v>41.46858694533698</v>
      </c>
    </row>
    <row r="178" spans="1:5" x14ac:dyDescent="0.4">
      <c r="A178">
        <v>70.151499999999999</v>
      </c>
      <c r="B178">
        <v>0</v>
      </c>
      <c r="C178">
        <v>232.54580000000001</v>
      </c>
      <c r="D178" s="1">
        <v>1</v>
      </c>
      <c r="E178">
        <f t="shared" si="2"/>
        <v>0</v>
      </c>
    </row>
    <row r="179" spans="1:5" x14ac:dyDescent="0.4">
      <c r="A179">
        <v>70.161500000000004</v>
      </c>
      <c r="B179">
        <v>1</v>
      </c>
      <c r="C179">
        <v>232.39590000000001</v>
      </c>
      <c r="D179" s="1">
        <v>1</v>
      </c>
      <c r="E179">
        <f t="shared" si="2"/>
        <v>20.722605691408496</v>
      </c>
    </row>
    <row r="180" spans="1:5" x14ac:dyDescent="0.4">
      <c r="A180">
        <v>70.171499999999995</v>
      </c>
      <c r="B180">
        <v>0</v>
      </c>
      <c r="C180">
        <v>232.6071</v>
      </c>
      <c r="D180" s="1">
        <v>1</v>
      </c>
      <c r="E180">
        <f t="shared" si="2"/>
        <v>0</v>
      </c>
    </row>
    <row r="181" spans="1:5" x14ac:dyDescent="0.4">
      <c r="A181">
        <v>70.1815</v>
      </c>
      <c r="B181">
        <v>0</v>
      </c>
      <c r="C181">
        <v>232.1782</v>
      </c>
      <c r="D181" s="1">
        <v>1</v>
      </c>
      <c r="E181">
        <f t="shared" si="2"/>
        <v>0</v>
      </c>
    </row>
    <row r="182" spans="1:5" x14ac:dyDescent="0.4">
      <c r="A182">
        <v>70.191500000000005</v>
      </c>
      <c r="B182">
        <v>1</v>
      </c>
      <c r="C182">
        <v>232.6763</v>
      </c>
      <c r="D182" s="1">
        <v>1</v>
      </c>
      <c r="E182">
        <f t="shared" si="2"/>
        <v>20.697632719791404</v>
      </c>
    </row>
    <row r="183" spans="1:5" x14ac:dyDescent="0.4">
      <c r="A183">
        <v>70.201499999999996</v>
      </c>
      <c r="B183">
        <v>0</v>
      </c>
      <c r="C183">
        <v>232.26480000000001</v>
      </c>
      <c r="D183" s="1">
        <v>1</v>
      </c>
      <c r="E183">
        <f t="shared" si="2"/>
        <v>0</v>
      </c>
    </row>
    <row r="184" spans="1:5" x14ac:dyDescent="0.4">
      <c r="A184">
        <v>70.211500000000001</v>
      </c>
      <c r="B184">
        <v>0</v>
      </c>
      <c r="C184">
        <v>232.1206</v>
      </c>
      <c r="D184" s="1">
        <v>1</v>
      </c>
      <c r="E184">
        <f t="shared" si="2"/>
        <v>0</v>
      </c>
    </row>
    <row r="185" spans="1:5" x14ac:dyDescent="0.4">
      <c r="A185">
        <v>70.221500000000006</v>
      </c>
      <c r="B185">
        <v>0</v>
      </c>
      <c r="C185">
        <v>232.02699999999999</v>
      </c>
      <c r="D185" s="1">
        <v>1</v>
      </c>
      <c r="E185">
        <f t="shared" si="2"/>
        <v>0</v>
      </c>
    </row>
    <row r="186" spans="1:5" x14ac:dyDescent="0.4">
      <c r="A186">
        <v>70.231499999999997</v>
      </c>
      <c r="B186">
        <v>1</v>
      </c>
      <c r="C186">
        <v>232.2079</v>
      </c>
      <c r="D186" s="1">
        <v>1</v>
      </c>
      <c r="E186">
        <f t="shared" si="2"/>
        <v>20.739383113149898</v>
      </c>
    </row>
    <row r="187" spans="1:5" x14ac:dyDescent="0.4">
      <c r="A187">
        <v>70.241500000000002</v>
      </c>
      <c r="B187">
        <v>1</v>
      </c>
      <c r="C187">
        <v>232.22149999999999</v>
      </c>
      <c r="D187" s="1">
        <v>1</v>
      </c>
      <c r="E187">
        <f t="shared" si="2"/>
        <v>20.738168515835099</v>
      </c>
    </row>
    <row r="188" spans="1:5" x14ac:dyDescent="0.4">
      <c r="A188">
        <v>70.251499999999993</v>
      </c>
      <c r="B188">
        <v>1</v>
      </c>
      <c r="C188">
        <v>231.95930000000001</v>
      </c>
      <c r="D188" s="1">
        <v>1</v>
      </c>
      <c r="E188">
        <f t="shared" si="2"/>
        <v>20.761610334226738</v>
      </c>
    </row>
    <row r="189" spans="1:5" x14ac:dyDescent="0.4">
      <c r="A189">
        <v>70.261499999999998</v>
      </c>
      <c r="B189">
        <v>2</v>
      </c>
      <c r="C189">
        <v>231.74109999999999</v>
      </c>
      <c r="D189" s="1">
        <v>1</v>
      </c>
      <c r="E189">
        <f t="shared" si="2"/>
        <v>41.562317603567088</v>
      </c>
    </row>
    <row r="190" spans="1:5" x14ac:dyDescent="0.4">
      <c r="A190">
        <v>70.271500000000003</v>
      </c>
      <c r="B190">
        <v>0</v>
      </c>
      <c r="C190">
        <v>231.67320000000001</v>
      </c>
      <c r="D190" s="1">
        <v>1</v>
      </c>
      <c r="E190">
        <f t="shared" si="2"/>
        <v>0</v>
      </c>
    </row>
    <row r="191" spans="1:5" x14ac:dyDescent="0.4">
      <c r="A191">
        <v>70.281499999999994</v>
      </c>
      <c r="B191">
        <v>0</v>
      </c>
      <c r="C191">
        <v>231.65790000000001</v>
      </c>
      <c r="D191" s="1">
        <v>1</v>
      </c>
      <c r="E191">
        <f t="shared" si="2"/>
        <v>0</v>
      </c>
    </row>
    <row r="192" spans="1:5" x14ac:dyDescent="0.4">
      <c r="A192">
        <v>70.291499999999999</v>
      </c>
      <c r="B192">
        <v>1</v>
      </c>
      <c r="C192">
        <v>231.6558</v>
      </c>
      <c r="D192" s="1">
        <v>1</v>
      </c>
      <c r="E192">
        <f t="shared" si="2"/>
        <v>20.788810813284194</v>
      </c>
    </row>
    <row r="193" spans="1:5" x14ac:dyDescent="0.4">
      <c r="A193">
        <v>70.301500000000004</v>
      </c>
      <c r="B193">
        <v>0</v>
      </c>
      <c r="C193">
        <v>231.7021</v>
      </c>
      <c r="D193" s="1">
        <v>1</v>
      </c>
      <c r="E193">
        <f t="shared" si="2"/>
        <v>0</v>
      </c>
    </row>
    <row r="194" spans="1:5" x14ac:dyDescent="0.4">
      <c r="A194">
        <v>70.311499999999995</v>
      </c>
      <c r="B194">
        <v>0</v>
      </c>
      <c r="C194">
        <v>231.5471</v>
      </c>
      <c r="D194" s="1">
        <v>1</v>
      </c>
      <c r="E194">
        <f t="shared" si="2"/>
        <v>0</v>
      </c>
    </row>
    <row r="195" spans="1:5" x14ac:dyDescent="0.4">
      <c r="A195">
        <v>70.3215</v>
      </c>
      <c r="B195">
        <v>0</v>
      </c>
      <c r="C195">
        <v>231.59440000000001</v>
      </c>
      <c r="D195" s="1">
        <v>1</v>
      </c>
      <c r="E195">
        <f t="shared" si="2"/>
        <v>0</v>
      </c>
    </row>
    <row r="196" spans="1:5" x14ac:dyDescent="0.4">
      <c r="A196">
        <v>70.331500000000005</v>
      </c>
      <c r="B196">
        <v>0</v>
      </c>
      <c r="C196">
        <v>231.39439999999999</v>
      </c>
      <c r="D196" s="1">
        <v>1</v>
      </c>
      <c r="E196">
        <f t="shared" si="2"/>
        <v>0</v>
      </c>
    </row>
    <row r="197" spans="1:5" x14ac:dyDescent="0.4">
      <c r="A197">
        <v>70.341499999999996</v>
      </c>
      <c r="B197">
        <v>0</v>
      </c>
      <c r="C197">
        <v>231.51259999999999</v>
      </c>
      <c r="D197" s="1">
        <v>1</v>
      </c>
      <c r="E197">
        <f t="shared" si="2"/>
        <v>0</v>
      </c>
    </row>
    <row r="198" spans="1:5" x14ac:dyDescent="0.4">
      <c r="A198">
        <v>70.351500000000001</v>
      </c>
      <c r="B198">
        <v>0</v>
      </c>
      <c r="C198">
        <v>231.24809999999999</v>
      </c>
      <c r="D198" s="1">
        <v>1</v>
      </c>
      <c r="E198">
        <f t="shared" si="2"/>
        <v>0</v>
      </c>
    </row>
    <row r="199" spans="1:5" x14ac:dyDescent="0.4">
      <c r="A199">
        <v>70.361500000000007</v>
      </c>
      <c r="B199">
        <v>0</v>
      </c>
      <c r="C199">
        <v>231.61859999999999</v>
      </c>
      <c r="D199" s="1">
        <v>1</v>
      </c>
      <c r="E199">
        <f t="shared" si="2"/>
        <v>0</v>
      </c>
    </row>
    <row r="200" spans="1:5" x14ac:dyDescent="0.4">
      <c r="A200">
        <v>70.371499999999997</v>
      </c>
      <c r="B200">
        <v>0</v>
      </c>
      <c r="C200">
        <v>231.6532</v>
      </c>
      <c r="D200" s="1">
        <v>1</v>
      </c>
      <c r="E200">
        <f t="shared" si="2"/>
        <v>0</v>
      </c>
    </row>
    <row r="201" spans="1:5" x14ac:dyDescent="0.4">
      <c r="A201">
        <v>70.381500000000003</v>
      </c>
      <c r="B201">
        <v>0</v>
      </c>
      <c r="C201">
        <v>231.5855</v>
      </c>
      <c r="D201" s="1">
        <v>1</v>
      </c>
      <c r="E201">
        <f t="shared" si="2"/>
        <v>0</v>
      </c>
    </row>
    <row r="202" spans="1:5" x14ac:dyDescent="0.4">
      <c r="A202">
        <v>70.391499999999994</v>
      </c>
      <c r="B202">
        <v>0</v>
      </c>
      <c r="C202">
        <v>231.92930000000001</v>
      </c>
      <c r="D202" s="1">
        <v>1</v>
      </c>
      <c r="E202">
        <f t="shared" si="2"/>
        <v>0</v>
      </c>
    </row>
    <row r="203" spans="1:5" x14ac:dyDescent="0.4">
      <c r="A203">
        <v>70.401499999999999</v>
      </c>
      <c r="B203">
        <v>0</v>
      </c>
      <c r="C203">
        <v>231.7458</v>
      </c>
      <c r="D203" s="1">
        <v>1</v>
      </c>
      <c r="E203">
        <f t="shared" si="2"/>
        <v>0</v>
      </c>
    </row>
    <row r="204" spans="1:5" x14ac:dyDescent="0.4">
      <c r="A204">
        <v>70.411500000000004</v>
      </c>
      <c r="B204">
        <v>0</v>
      </c>
      <c r="C204">
        <v>231.8759</v>
      </c>
      <c r="D204" s="1">
        <v>1</v>
      </c>
      <c r="E204">
        <f t="shared" si="2"/>
        <v>0</v>
      </c>
    </row>
    <row r="205" spans="1:5" x14ac:dyDescent="0.4">
      <c r="A205">
        <v>70.421499999999995</v>
      </c>
      <c r="B205">
        <v>0</v>
      </c>
      <c r="C205">
        <v>231.75309999999999</v>
      </c>
      <c r="D205" s="1">
        <v>1</v>
      </c>
      <c r="E205">
        <f t="shared" si="2"/>
        <v>0</v>
      </c>
    </row>
    <row r="206" spans="1:5" x14ac:dyDescent="0.4">
      <c r="A206">
        <v>70.4315</v>
      </c>
      <c r="B206">
        <v>0</v>
      </c>
      <c r="C206">
        <v>231.67519999999999</v>
      </c>
      <c r="D206" s="1">
        <v>1</v>
      </c>
      <c r="E206">
        <f t="shared" si="2"/>
        <v>0</v>
      </c>
    </row>
    <row r="207" spans="1:5" x14ac:dyDescent="0.4">
      <c r="A207">
        <v>70.441500000000005</v>
      </c>
      <c r="B207">
        <v>0</v>
      </c>
      <c r="C207">
        <v>231.4419</v>
      </c>
      <c r="D207" s="1">
        <v>1</v>
      </c>
      <c r="E207">
        <f t="shared" si="2"/>
        <v>0</v>
      </c>
    </row>
    <row r="208" spans="1:5" x14ac:dyDescent="0.4">
      <c r="A208">
        <v>70.451499999999996</v>
      </c>
      <c r="B208">
        <v>0</v>
      </c>
      <c r="C208">
        <v>231.6542</v>
      </c>
      <c r="D208" s="1">
        <v>1</v>
      </c>
      <c r="E208">
        <f t="shared" si="2"/>
        <v>0</v>
      </c>
    </row>
    <row r="209" spans="1:5" x14ac:dyDescent="0.4">
      <c r="A209">
        <v>70.461500000000001</v>
      </c>
      <c r="B209">
        <v>0</v>
      </c>
      <c r="C209">
        <v>231.94120000000001</v>
      </c>
      <c r="D209" s="1">
        <v>1</v>
      </c>
      <c r="E209">
        <f t="shared" si="2"/>
        <v>0</v>
      </c>
    </row>
    <row r="210" spans="1:5" x14ac:dyDescent="0.4">
      <c r="A210">
        <v>70.471500000000006</v>
      </c>
      <c r="B210">
        <v>0</v>
      </c>
      <c r="C210">
        <v>231.64099999999999</v>
      </c>
      <c r="D210" s="1">
        <v>1</v>
      </c>
      <c r="E210">
        <f t="shared" si="2"/>
        <v>0</v>
      </c>
    </row>
    <row r="211" spans="1:5" x14ac:dyDescent="0.4">
      <c r="A211">
        <v>70.481499999999997</v>
      </c>
      <c r="B211">
        <v>0</v>
      </c>
      <c r="C211">
        <v>231.54669999999999</v>
      </c>
      <c r="D211" s="1">
        <v>1</v>
      </c>
      <c r="E211">
        <f t="shared" si="2"/>
        <v>0</v>
      </c>
    </row>
    <row r="212" spans="1:5" x14ac:dyDescent="0.4">
      <c r="A212">
        <v>70.491500000000002</v>
      </c>
      <c r="B212">
        <v>0</v>
      </c>
      <c r="C212">
        <v>231.43690000000001</v>
      </c>
      <c r="D212" s="1">
        <v>1</v>
      </c>
      <c r="E212">
        <f t="shared" si="2"/>
        <v>0</v>
      </c>
    </row>
    <row r="213" spans="1:5" x14ac:dyDescent="0.4">
      <c r="A213">
        <v>70.501499999999993</v>
      </c>
      <c r="B213">
        <v>0</v>
      </c>
      <c r="C213">
        <v>231.83590000000001</v>
      </c>
      <c r="D213" s="1">
        <v>1</v>
      </c>
      <c r="E213">
        <f t="shared" si="2"/>
        <v>0</v>
      </c>
    </row>
    <row r="214" spans="1:5" x14ac:dyDescent="0.4">
      <c r="A214">
        <v>70.511499999999998</v>
      </c>
      <c r="B214">
        <v>0</v>
      </c>
      <c r="C214">
        <v>231.63300000000001</v>
      </c>
      <c r="D214" s="1">
        <v>1</v>
      </c>
      <c r="E214">
        <f t="shared" ref="E214:E222" si="3">$A$1*B214/C214</f>
        <v>0</v>
      </c>
    </row>
    <row r="215" spans="1:5" x14ac:dyDescent="0.4">
      <c r="A215">
        <v>70.521500000000003</v>
      </c>
      <c r="B215">
        <v>0</v>
      </c>
      <c r="C215">
        <v>231.34389999999999</v>
      </c>
      <c r="D215" s="1">
        <v>1</v>
      </c>
      <c r="E215">
        <f t="shared" si="3"/>
        <v>0</v>
      </c>
    </row>
    <row r="216" spans="1:5" x14ac:dyDescent="0.4">
      <c r="A216">
        <v>70.531499999999994</v>
      </c>
      <c r="B216">
        <v>1</v>
      </c>
      <c r="C216">
        <v>231.5033</v>
      </c>
      <c r="D216" s="1">
        <v>1</v>
      </c>
      <c r="E216">
        <f t="shared" si="3"/>
        <v>20.802505191070711</v>
      </c>
    </row>
    <row r="217" spans="1:5" x14ac:dyDescent="0.4">
      <c r="A217">
        <v>70.541499999999999</v>
      </c>
      <c r="B217">
        <v>0</v>
      </c>
      <c r="C217">
        <v>231.297</v>
      </c>
      <c r="D217" s="1">
        <v>1</v>
      </c>
      <c r="E217">
        <f t="shared" si="3"/>
        <v>0</v>
      </c>
    </row>
    <row r="218" spans="1:5" x14ac:dyDescent="0.4">
      <c r="A218">
        <v>70.551500000000004</v>
      </c>
      <c r="B218">
        <v>0</v>
      </c>
      <c r="C218">
        <v>230.92449999999999</v>
      </c>
      <c r="D218" s="1">
        <v>1</v>
      </c>
      <c r="E218">
        <f t="shared" si="3"/>
        <v>0</v>
      </c>
    </row>
    <row r="219" spans="1:5" x14ac:dyDescent="0.4">
      <c r="A219">
        <v>70.561499999999995</v>
      </c>
      <c r="B219">
        <v>0</v>
      </c>
      <c r="C219">
        <v>230.90600000000001</v>
      </c>
      <c r="D219" s="1">
        <v>1</v>
      </c>
      <c r="E219">
        <f t="shared" si="3"/>
        <v>0</v>
      </c>
    </row>
    <row r="220" spans="1:5" x14ac:dyDescent="0.4">
      <c r="A220">
        <v>70.5715</v>
      </c>
      <c r="B220">
        <v>0</v>
      </c>
      <c r="C220">
        <v>230.97329999999999</v>
      </c>
      <c r="D220" s="1">
        <v>1</v>
      </c>
      <c r="E220">
        <f t="shared" si="3"/>
        <v>0</v>
      </c>
    </row>
    <row r="221" spans="1:5" x14ac:dyDescent="0.4">
      <c r="A221">
        <v>70.581500000000005</v>
      </c>
      <c r="B221">
        <v>0</v>
      </c>
      <c r="C221">
        <v>230.63229999999999</v>
      </c>
      <c r="D221" s="1">
        <v>1</v>
      </c>
      <c r="E221">
        <f t="shared" si="3"/>
        <v>0</v>
      </c>
    </row>
    <row r="222" spans="1:5" x14ac:dyDescent="0.4">
      <c r="A222">
        <v>70.591499999999996</v>
      </c>
      <c r="B222">
        <v>0</v>
      </c>
      <c r="C222">
        <v>230.7028</v>
      </c>
      <c r="D222" s="1">
        <v>1</v>
      </c>
      <c r="E222">
        <f t="shared" si="3"/>
        <v>0</v>
      </c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3A11-041F-4C53-8A93-14E46B3BC61E}">
  <dimension ref="A1:E222"/>
  <sheetViews>
    <sheetView topLeftCell="A4" workbookViewId="0">
      <selection activeCell="A22" sqref="A22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78</v>
      </c>
    </row>
    <row r="4" spans="1:1" x14ac:dyDescent="0.4">
      <c r="A4" t="s">
        <v>79</v>
      </c>
    </row>
    <row r="5" spans="1:1" x14ac:dyDescent="0.4">
      <c r="A5" t="s">
        <v>80</v>
      </c>
    </row>
    <row r="6" spans="1:1" x14ac:dyDescent="0.4">
      <c r="A6" t="s">
        <v>81</v>
      </c>
    </row>
    <row r="7" spans="1:1" x14ac:dyDescent="0.4">
      <c r="A7" t="s">
        <v>82</v>
      </c>
    </row>
    <row r="8" spans="1:1" x14ac:dyDescent="0.4">
      <c r="A8" t="s">
        <v>64</v>
      </c>
    </row>
    <row r="9" spans="1:1" x14ac:dyDescent="0.4">
      <c r="A9" t="s">
        <v>74</v>
      </c>
    </row>
    <row r="10" spans="1:1" x14ac:dyDescent="0.4">
      <c r="A10" t="s">
        <v>7</v>
      </c>
    </row>
    <row r="11" spans="1:1" x14ac:dyDescent="0.4">
      <c r="A11" t="s">
        <v>75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83</v>
      </c>
      <c r="B19" t="s">
        <v>84</v>
      </c>
    </row>
    <row r="20" spans="1:5" x14ac:dyDescent="0.4">
      <c r="A20" t="s">
        <v>18</v>
      </c>
      <c r="B20" t="s">
        <v>52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68.590999999999994</v>
      </c>
      <c r="B22">
        <v>2</v>
      </c>
      <c r="C22">
        <v>220.154</v>
      </c>
      <c r="D22" s="1">
        <v>1</v>
      </c>
      <c r="E22">
        <f t="shared" ref="E22:E85" si="0">$A$1*B22/C22</f>
        <v>43.749816946319399</v>
      </c>
    </row>
    <row r="23" spans="1:5" x14ac:dyDescent="0.4">
      <c r="A23">
        <v>68.600999999999999</v>
      </c>
      <c r="B23">
        <v>2</v>
      </c>
      <c r="C23">
        <v>220.09</v>
      </c>
      <c r="D23" s="1">
        <v>1</v>
      </c>
      <c r="E23">
        <f t="shared" si="0"/>
        <v>43.762538961334002</v>
      </c>
    </row>
    <row r="24" spans="1:5" x14ac:dyDescent="0.4">
      <c r="A24">
        <v>68.611000000000004</v>
      </c>
      <c r="B24">
        <v>0</v>
      </c>
      <c r="C24">
        <v>219.69550000000001</v>
      </c>
      <c r="D24" s="1">
        <v>1</v>
      </c>
      <c r="E24">
        <f t="shared" si="0"/>
        <v>0</v>
      </c>
    </row>
    <row r="25" spans="1:5" x14ac:dyDescent="0.4">
      <c r="A25">
        <v>68.620999999999995</v>
      </c>
      <c r="B25">
        <v>0</v>
      </c>
      <c r="C25">
        <v>219.7116</v>
      </c>
      <c r="D25" s="1">
        <v>1</v>
      </c>
      <c r="E25">
        <f t="shared" si="0"/>
        <v>0</v>
      </c>
    </row>
    <row r="26" spans="1:5" x14ac:dyDescent="0.4">
      <c r="A26">
        <v>68.631</v>
      </c>
      <c r="B26">
        <v>0</v>
      </c>
      <c r="C26">
        <v>219.54660000000001</v>
      </c>
      <c r="D26" s="1">
        <v>1</v>
      </c>
      <c r="E26">
        <f t="shared" si="0"/>
        <v>0</v>
      </c>
    </row>
    <row r="27" spans="1:5" x14ac:dyDescent="0.4">
      <c r="A27">
        <v>68.641000000000005</v>
      </c>
      <c r="B27">
        <v>3</v>
      </c>
      <c r="C27">
        <v>219.36009999999999</v>
      </c>
      <c r="D27" s="1">
        <v>1</v>
      </c>
      <c r="E27">
        <f t="shared" si="0"/>
        <v>65.86223201028811</v>
      </c>
    </row>
    <row r="28" spans="1:5" x14ac:dyDescent="0.4">
      <c r="A28">
        <v>68.650999999999996</v>
      </c>
      <c r="B28">
        <v>2</v>
      </c>
      <c r="C28">
        <v>219.2405</v>
      </c>
      <c r="D28" s="1">
        <v>1</v>
      </c>
      <c r="E28">
        <f t="shared" si="0"/>
        <v>43.932107434529662</v>
      </c>
    </row>
    <row r="29" spans="1:5" x14ac:dyDescent="0.4">
      <c r="A29">
        <v>68.661000000000001</v>
      </c>
      <c r="B29">
        <v>2</v>
      </c>
      <c r="C29">
        <v>218.9118</v>
      </c>
      <c r="D29" s="1">
        <v>1</v>
      </c>
      <c r="E29">
        <f t="shared" si="0"/>
        <v>43.998072282992517</v>
      </c>
    </row>
    <row r="30" spans="1:5" x14ac:dyDescent="0.4">
      <c r="A30">
        <v>68.671000000000006</v>
      </c>
      <c r="B30">
        <v>3</v>
      </c>
      <c r="C30">
        <v>219.12139999999999</v>
      </c>
      <c r="D30" s="1">
        <v>1</v>
      </c>
      <c r="E30">
        <f t="shared" si="0"/>
        <v>65.933979063660601</v>
      </c>
    </row>
    <row r="31" spans="1:5" x14ac:dyDescent="0.4">
      <c r="A31">
        <v>68.680999999999997</v>
      </c>
      <c r="B31">
        <v>4</v>
      </c>
      <c r="C31">
        <v>219.0822</v>
      </c>
      <c r="D31" s="1">
        <v>1</v>
      </c>
      <c r="E31">
        <f t="shared" si="0"/>
        <v>87.927702022345954</v>
      </c>
    </row>
    <row r="32" spans="1:5" x14ac:dyDescent="0.4">
      <c r="A32">
        <v>68.691000000000003</v>
      </c>
      <c r="B32">
        <v>2</v>
      </c>
      <c r="C32">
        <v>218.93440000000001</v>
      </c>
      <c r="D32" s="1">
        <v>1</v>
      </c>
      <c r="E32">
        <f t="shared" si="0"/>
        <v>43.993530482190096</v>
      </c>
    </row>
    <row r="33" spans="1:5" x14ac:dyDescent="0.4">
      <c r="A33">
        <v>68.700999999999993</v>
      </c>
      <c r="B33">
        <v>2</v>
      </c>
      <c r="C33">
        <v>219.10140000000001</v>
      </c>
      <c r="D33" s="1">
        <v>1</v>
      </c>
      <c r="E33">
        <f t="shared" si="0"/>
        <v>43.959998429950701</v>
      </c>
    </row>
    <row r="34" spans="1:5" x14ac:dyDescent="0.4">
      <c r="A34">
        <v>68.710999999999999</v>
      </c>
      <c r="B34">
        <v>0</v>
      </c>
      <c r="C34">
        <v>219.07929999999999</v>
      </c>
      <c r="D34" s="1">
        <v>1</v>
      </c>
      <c r="E34">
        <f t="shared" si="0"/>
        <v>0</v>
      </c>
    </row>
    <row r="35" spans="1:5" x14ac:dyDescent="0.4">
      <c r="A35">
        <v>68.721000000000004</v>
      </c>
      <c r="B35">
        <v>2</v>
      </c>
      <c r="C35">
        <v>219.1292</v>
      </c>
      <c r="D35" s="1">
        <v>1</v>
      </c>
      <c r="E35">
        <f t="shared" si="0"/>
        <v>43.954421409834929</v>
      </c>
    </row>
    <row r="36" spans="1:5" x14ac:dyDescent="0.4">
      <c r="A36">
        <v>68.730999999999995</v>
      </c>
      <c r="B36">
        <v>1</v>
      </c>
      <c r="C36">
        <v>218.9477</v>
      </c>
      <c r="D36" s="1">
        <v>1</v>
      </c>
      <c r="E36">
        <f t="shared" si="0"/>
        <v>21.995429045383901</v>
      </c>
    </row>
    <row r="37" spans="1:5" x14ac:dyDescent="0.4">
      <c r="A37">
        <v>68.741</v>
      </c>
      <c r="B37">
        <v>2</v>
      </c>
      <c r="C37">
        <v>219.05289999999999</v>
      </c>
      <c r="D37" s="1">
        <v>1</v>
      </c>
      <c r="E37">
        <f t="shared" si="0"/>
        <v>43.969731512342456</v>
      </c>
    </row>
    <row r="38" spans="1:5" x14ac:dyDescent="0.4">
      <c r="A38">
        <v>68.751000000000005</v>
      </c>
      <c r="B38">
        <v>5</v>
      </c>
      <c r="C38">
        <v>219.34020000000001</v>
      </c>
      <c r="D38" s="1">
        <v>1</v>
      </c>
      <c r="E38">
        <f t="shared" si="0"/>
        <v>109.78034578248767</v>
      </c>
    </row>
    <row r="39" spans="1:5" x14ac:dyDescent="0.4">
      <c r="A39">
        <v>68.760999999999996</v>
      </c>
      <c r="B39">
        <v>3</v>
      </c>
      <c r="C39">
        <v>219.27500000000001</v>
      </c>
      <c r="D39" s="1">
        <v>1</v>
      </c>
      <c r="E39">
        <f t="shared" si="0"/>
        <v>65.887792954053126</v>
      </c>
    </row>
    <row r="40" spans="1:5" x14ac:dyDescent="0.4">
      <c r="A40">
        <v>68.771000000000001</v>
      </c>
      <c r="B40">
        <v>3</v>
      </c>
      <c r="C40">
        <v>219.10679999999999</v>
      </c>
      <c r="D40" s="1">
        <v>1</v>
      </c>
      <c r="E40">
        <f t="shared" si="0"/>
        <v>65.938372519702725</v>
      </c>
    </row>
    <row r="41" spans="1:5" x14ac:dyDescent="0.4">
      <c r="A41">
        <v>68.781000000000006</v>
      </c>
      <c r="B41">
        <v>0</v>
      </c>
      <c r="C41">
        <v>219.11969999999999</v>
      </c>
      <c r="D41" s="1">
        <v>1</v>
      </c>
      <c r="E41">
        <f t="shared" si="0"/>
        <v>0</v>
      </c>
    </row>
    <row r="42" spans="1:5" x14ac:dyDescent="0.4">
      <c r="A42">
        <v>68.790999999999997</v>
      </c>
      <c r="B42">
        <v>5</v>
      </c>
      <c r="C42">
        <v>219.0684</v>
      </c>
      <c r="D42" s="1">
        <v>1</v>
      </c>
      <c r="E42">
        <f t="shared" si="0"/>
        <v>109.91655117762308</v>
      </c>
    </row>
    <row r="43" spans="1:5" x14ac:dyDescent="0.4">
      <c r="A43">
        <v>68.801000000000002</v>
      </c>
      <c r="B43">
        <v>3</v>
      </c>
      <c r="C43">
        <v>219.23589999999999</v>
      </c>
      <c r="D43" s="1">
        <v>1</v>
      </c>
      <c r="E43">
        <f t="shared" si="0"/>
        <v>65.899543824711188</v>
      </c>
    </row>
    <row r="44" spans="1:5" x14ac:dyDescent="0.4">
      <c r="A44">
        <v>68.811000000000007</v>
      </c>
      <c r="B44">
        <v>2</v>
      </c>
      <c r="C44">
        <v>219.24449999999999</v>
      </c>
      <c r="D44" s="1">
        <v>1</v>
      </c>
      <c r="E44">
        <f t="shared" si="0"/>
        <v>43.931305916454008</v>
      </c>
    </row>
    <row r="45" spans="1:5" x14ac:dyDescent="0.4">
      <c r="A45">
        <v>68.820999999999998</v>
      </c>
      <c r="B45">
        <v>2</v>
      </c>
      <c r="C45">
        <v>219.12450000000001</v>
      </c>
      <c r="D45" s="1">
        <v>1</v>
      </c>
      <c r="E45">
        <f t="shared" si="0"/>
        <v>43.955364187938819</v>
      </c>
    </row>
    <row r="46" spans="1:5" x14ac:dyDescent="0.4">
      <c r="A46">
        <v>68.831000000000003</v>
      </c>
      <c r="B46">
        <v>3</v>
      </c>
      <c r="C46">
        <v>219.14680000000001</v>
      </c>
      <c r="D46" s="1">
        <v>1</v>
      </c>
      <c r="E46">
        <f t="shared" si="0"/>
        <v>65.926337048955304</v>
      </c>
    </row>
    <row r="47" spans="1:5" x14ac:dyDescent="0.4">
      <c r="A47">
        <v>68.840999999999994</v>
      </c>
      <c r="B47">
        <v>2</v>
      </c>
      <c r="C47">
        <v>219.2251</v>
      </c>
      <c r="D47" s="1">
        <v>1</v>
      </c>
      <c r="E47">
        <f t="shared" si="0"/>
        <v>43.935193552198179</v>
      </c>
    </row>
    <row r="48" spans="1:5" x14ac:dyDescent="0.4">
      <c r="A48">
        <v>68.850999999999999</v>
      </c>
      <c r="B48">
        <v>1</v>
      </c>
      <c r="C48">
        <v>219.23670000000001</v>
      </c>
      <c r="D48" s="1">
        <v>1</v>
      </c>
      <c r="E48">
        <f t="shared" si="0"/>
        <v>21.966434451896056</v>
      </c>
    </row>
    <row r="49" spans="1:5" x14ac:dyDescent="0.4">
      <c r="A49">
        <v>68.861000000000004</v>
      </c>
      <c r="B49">
        <v>3</v>
      </c>
      <c r="C49">
        <v>219.36410000000001</v>
      </c>
      <c r="D49" s="1">
        <v>1</v>
      </c>
      <c r="E49">
        <f t="shared" si="0"/>
        <v>65.861031043821669</v>
      </c>
    </row>
    <row r="50" spans="1:5" x14ac:dyDescent="0.4">
      <c r="A50">
        <v>68.870999999999995</v>
      </c>
      <c r="B50">
        <v>0</v>
      </c>
      <c r="C50">
        <v>219.23500000000001</v>
      </c>
      <c r="D50" s="1">
        <v>1</v>
      </c>
      <c r="E50">
        <f t="shared" si="0"/>
        <v>0</v>
      </c>
    </row>
    <row r="51" spans="1:5" x14ac:dyDescent="0.4">
      <c r="A51">
        <v>68.881</v>
      </c>
      <c r="B51">
        <v>8</v>
      </c>
      <c r="C51">
        <v>219.1755</v>
      </c>
      <c r="D51" s="1">
        <v>1</v>
      </c>
      <c r="E51">
        <f t="shared" si="0"/>
        <v>175.78054481454362</v>
      </c>
    </row>
    <row r="52" spans="1:5" x14ac:dyDescent="0.4">
      <c r="A52">
        <v>68.891000000000005</v>
      </c>
      <c r="B52">
        <v>6</v>
      </c>
      <c r="C52">
        <v>219.18690000000001</v>
      </c>
      <c r="D52" s="1">
        <v>1</v>
      </c>
      <c r="E52">
        <f t="shared" si="0"/>
        <v>131.8285517975755</v>
      </c>
    </row>
    <row r="53" spans="1:5" x14ac:dyDescent="0.4">
      <c r="A53">
        <v>68.900999999999996</v>
      </c>
      <c r="B53">
        <v>5</v>
      </c>
      <c r="C53">
        <v>219.05600000000001</v>
      </c>
      <c r="D53" s="1">
        <v>1</v>
      </c>
      <c r="E53">
        <f t="shared" si="0"/>
        <v>109.92277317215689</v>
      </c>
    </row>
    <row r="54" spans="1:5" x14ac:dyDescent="0.4">
      <c r="A54">
        <v>68.911000000000001</v>
      </c>
      <c r="B54">
        <v>3</v>
      </c>
      <c r="C54">
        <v>219.15190000000001</v>
      </c>
      <c r="D54" s="1">
        <v>1</v>
      </c>
      <c r="E54">
        <f t="shared" si="0"/>
        <v>65.924802842229525</v>
      </c>
    </row>
    <row r="55" spans="1:5" x14ac:dyDescent="0.4">
      <c r="A55">
        <v>68.921000000000006</v>
      </c>
      <c r="B55">
        <v>7</v>
      </c>
      <c r="C55">
        <v>219.12289999999999</v>
      </c>
      <c r="D55" s="1">
        <v>1</v>
      </c>
      <c r="E55">
        <f t="shared" si="0"/>
        <v>153.8448980001634</v>
      </c>
    </row>
    <row r="56" spans="1:5" x14ac:dyDescent="0.4">
      <c r="A56">
        <v>68.930999999999997</v>
      </c>
      <c r="B56">
        <v>4</v>
      </c>
      <c r="C56">
        <v>218.94569999999999</v>
      </c>
      <c r="D56" s="1">
        <v>1</v>
      </c>
      <c r="E56">
        <f t="shared" si="0"/>
        <v>87.982519866798029</v>
      </c>
    </row>
    <row r="57" spans="1:5" x14ac:dyDescent="0.4">
      <c r="A57">
        <v>68.941000000000003</v>
      </c>
      <c r="B57">
        <v>8</v>
      </c>
      <c r="C57">
        <v>218.97739999999999</v>
      </c>
      <c r="D57" s="1">
        <v>1</v>
      </c>
      <c r="E57">
        <f t="shared" si="0"/>
        <v>175.9395663662095</v>
      </c>
    </row>
    <row r="58" spans="1:5" x14ac:dyDescent="0.4">
      <c r="A58">
        <v>68.950999999999993</v>
      </c>
      <c r="B58">
        <v>6</v>
      </c>
      <c r="C58">
        <v>219.2611</v>
      </c>
      <c r="D58" s="1">
        <v>1</v>
      </c>
      <c r="E58">
        <f t="shared" si="0"/>
        <v>131.78393978685685</v>
      </c>
    </row>
    <row r="59" spans="1:5" x14ac:dyDescent="0.4">
      <c r="A59">
        <v>68.960999999999999</v>
      </c>
      <c r="B59">
        <v>5</v>
      </c>
      <c r="C59">
        <v>219.44970000000001</v>
      </c>
      <c r="D59" s="1">
        <v>1</v>
      </c>
      <c r="E59">
        <f t="shared" si="0"/>
        <v>109.72556809145787</v>
      </c>
    </row>
    <row r="60" spans="1:5" x14ac:dyDescent="0.4">
      <c r="A60">
        <v>68.971000000000004</v>
      </c>
      <c r="B60">
        <v>3</v>
      </c>
      <c r="C60">
        <v>219.35749999999999</v>
      </c>
      <c r="D60" s="1">
        <v>1</v>
      </c>
      <c r="E60">
        <f t="shared" si="0"/>
        <v>65.863012661978743</v>
      </c>
    </row>
    <row r="61" spans="1:5" x14ac:dyDescent="0.4">
      <c r="A61">
        <v>68.980999999999995</v>
      </c>
      <c r="B61">
        <v>9</v>
      </c>
      <c r="C61">
        <v>219.1652</v>
      </c>
      <c r="D61" s="1">
        <v>1</v>
      </c>
      <c r="E61">
        <f t="shared" si="0"/>
        <v>197.76240662294927</v>
      </c>
    </row>
    <row r="62" spans="1:5" x14ac:dyDescent="0.4">
      <c r="A62">
        <v>68.991</v>
      </c>
      <c r="B62">
        <v>3</v>
      </c>
      <c r="C62">
        <v>219.1534</v>
      </c>
      <c r="D62" s="1">
        <v>1</v>
      </c>
      <c r="E62">
        <f t="shared" si="0"/>
        <v>65.924351618546638</v>
      </c>
    </row>
    <row r="63" spans="1:5" x14ac:dyDescent="0.4">
      <c r="A63">
        <v>69.001000000000005</v>
      </c>
      <c r="B63">
        <v>7</v>
      </c>
      <c r="C63">
        <v>219.30009999999999</v>
      </c>
      <c r="D63" s="1">
        <v>1</v>
      </c>
      <c r="E63">
        <f t="shared" si="0"/>
        <v>153.72058745071254</v>
      </c>
    </row>
    <row r="64" spans="1:5" x14ac:dyDescent="0.4">
      <c r="A64">
        <v>69.010999999999996</v>
      </c>
      <c r="B64">
        <v>4</v>
      </c>
      <c r="C64">
        <v>219.42509999999999</v>
      </c>
      <c r="D64" s="1">
        <v>1</v>
      </c>
      <c r="E64">
        <f t="shared" si="0"/>
        <v>87.790295640744844</v>
      </c>
    </row>
    <row r="65" spans="1:5" x14ac:dyDescent="0.4">
      <c r="A65">
        <v>69.021000000000001</v>
      </c>
      <c r="B65">
        <v>9</v>
      </c>
      <c r="C65">
        <v>219.27430000000001</v>
      </c>
      <c r="D65" s="1">
        <v>1</v>
      </c>
      <c r="E65">
        <f t="shared" si="0"/>
        <v>197.664009872566</v>
      </c>
    </row>
    <row r="66" spans="1:5" x14ac:dyDescent="0.4">
      <c r="A66">
        <v>69.031000000000006</v>
      </c>
      <c r="B66">
        <v>7</v>
      </c>
      <c r="C66">
        <v>219.1661</v>
      </c>
      <c r="D66" s="1">
        <v>1</v>
      </c>
      <c r="E66">
        <f t="shared" si="0"/>
        <v>153.81457351296575</v>
      </c>
    </row>
    <row r="67" spans="1:5" x14ac:dyDescent="0.4">
      <c r="A67">
        <v>69.040999999999997</v>
      </c>
      <c r="B67">
        <v>9</v>
      </c>
      <c r="C67">
        <v>219.3312</v>
      </c>
      <c r="D67" s="1">
        <v>1</v>
      </c>
      <c r="E67">
        <f t="shared" si="0"/>
        <v>197.61273088370464</v>
      </c>
    </row>
    <row r="68" spans="1:5" x14ac:dyDescent="0.4">
      <c r="A68">
        <v>69.051000000000002</v>
      </c>
      <c r="B68">
        <v>6</v>
      </c>
      <c r="C68">
        <v>219.2046</v>
      </c>
      <c r="D68" s="1">
        <v>1</v>
      </c>
      <c r="E68">
        <f t="shared" si="0"/>
        <v>131.81790710596403</v>
      </c>
    </row>
    <row r="69" spans="1:5" x14ac:dyDescent="0.4">
      <c r="A69">
        <v>69.061000000000007</v>
      </c>
      <c r="B69">
        <v>11</v>
      </c>
      <c r="C69">
        <v>218.98689999999999</v>
      </c>
      <c r="D69" s="1">
        <v>1</v>
      </c>
      <c r="E69">
        <f t="shared" si="0"/>
        <v>241.90640901350721</v>
      </c>
    </row>
    <row r="70" spans="1:5" x14ac:dyDescent="0.4">
      <c r="A70">
        <v>69.070999999999998</v>
      </c>
      <c r="B70">
        <v>16</v>
      </c>
      <c r="C70">
        <v>218.93629999999999</v>
      </c>
      <c r="D70" s="1">
        <v>1</v>
      </c>
      <c r="E70">
        <f t="shared" si="0"/>
        <v>351.94518953686531</v>
      </c>
    </row>
    <row r="71" spans="1:5" x14ac:dyDescent="0.4">
      <c r="A71">
        <v>69.081000000000003</v>
      </c>
      <c r="B71">
        <v>9</v>
      </c>
      <c r="C71">
        <v>218.70939999999999</v>
      </c>
      <c r="D71" s="1">
        <v>1</v>
      </c>
      <c r="E71">
        <f t="shared" si="0"/>
        <v>198.17455216831101</v>
      </c>
    </row>
    <row r="72" spans="1:5" x14ac:dyDescent="0.4">
      <c r="A72">
        <v>69.090999999999994</v>
      </c>
      <c r="B72">
        <v>20</v>
      </c>
      <c r="C72">
        <v>218.64109999999999</v>
      </c>
      <c r="D72" s="1">
        <v>1</v>
      </c>
      <c r="E72">
        <f t="shared" si="0"/>
        <v>440.5254638766454</v>
      </c>
    </row>
    <row r="73" spans="1:5" x14ac:dyDescent="0.4">
      <c r="A73">
        <v>69.100999999999999</v>
      </c>
      <c r="B73">
        <v>17</v>
      </c>
      <c r="C73">
        <v>218.75210000000001</v>
      </c>
      <c r="D73" s="1">
        <v>1</v>
      </c>
      <c r="E73">
        <f t="shared" si="0"/>
        <v>374.2566411933874</v>
      </c>
    </row>
    <row r="74" spans="1:5" x14ac:dyDescent="0.4">
      <c r="A74">
        <v>69.111000000000004</v>
      </c>
      <c r="B74">
        <v>12</v>
      </c>
      <c r="C74">
        <v>218.7715</v>
      </c>
      <c r="D74" s="1">
        <v>1</v>
      </c>
      <c r="E74">
        <f t="shared" si="0"/>
        <v>264.15773169722746</v>
      </c>
    </row>
    <row r="75" spans="1:5" x14ac:dyDescent="0.4">
      <c r="A75">
        <v>69.120999999999995</v>
      </c>
      <c r="B75">
        <v>13</v>
      </c>
      <c r="C75">
        <v>218.37979999999999</v>
      </c>
      <c r="D75" s="1">
        <v>1</v>
      </c>
      <c r="E75">
        <f t="shared" si="0"/>
        <v>286.68417042235598</v>
      </c>
    </row>
    <row r="76" spans="1:5" x14ac:dyDescent="0.4">
      <c r="A76">
        <v>69.131</v>
      </c>
      <c r="B76">
        <v>15</v>
      </c>
      <c r="C76">
        <v>218.57669999999999</v>
      </c>
      <c r="D76" s="1">
        <v>1</v>
      </c>
      <c r="E76">
        <f t="shared" si="0"/>
        <v>330.49144304951079</v>
      </c>
    </row>
    <row r="77" spans="1:5" x14ac:dyDescent="0.4">
      <c r="A77">
        <v>69.141000000000005</v>
      </c>
      <c r="B77">
        <v>17</v>
      </c>
      <c r="C77">
        <v>218.60919999999999</v>
      </c>
      <c r="D77" s="1">
        <v>1</v>
      </c>
      <c r="E77">
        <f t="shared" si="0"/>
        <v>374.50128448391013</v>
      </c>
    </row>
    <row r="78" spans="1:5" x14ac:dyDescent="0.4">
      <c r="A78">
        <v>69.150999999999996</v>
      </c>
      <c r="B78">
        <v>16</v>
      </c>
      <c r="C78">
        <v>218.3203</v>
      </c>
      <c r="D78" s="1">
        <v>1</v>
      </c>
      <c r="E78">
        <f t="shared" si="0"/>
        <v>352.93821783865269</v>
      </c>
    </row>
    <row r="79" spans="1:5" x14ac:dyDescent="0.4">
      <c r="A79">
        <v>69.161000000000001</v>
      </c>
      <c r="B79">
        <v>20</v>
      </c>
      <c r="C79">
        <v>218.4289</v>
      </c>
      <c r="D79" s="1">
        <v>1</v>
      </c>
      <c r="E79">
        <f t="shared" si="0"/>
        <v>440.95342695037152</v>
      </c>
    </row>
    <row r="80" spans="1:5" x14ac:dyDescent="0.4">
      <c r="A80">
        <v>69.171000000000006</v>
      </c>
      <c r="B80">
        <v>15</v>
      </c>
      <c r="C80">
        <v>218.42140000000001</v>
      </c>
      <c r="D80" s="1">
        <v>1</v>
      </c>
      <c r="E80">
        <f t="shared" si="0"/>
        <v>330.72642607363565</v>
      </c>
    </row>
    <row r="81" spans="1:5" x14ac:dyDescent="0.4">
      <c r="A81">
        <v>69.180999999999997</v>
      </c>
      <c r="B81">
        <v>23</v>
      </c>
      <c r="C81">
        <v>218.4023</v>
      </c>
      <c r="D81" s="1">
        <v>1</v>
      </c>
      <c r="E81">
        <f t="shared" si="0"/>
        <v>507.15820208853114</v>
      </c>
    </row>
    <row r="82" spans="1:5" x14ac:dyDescent="0.4">
      <c r="A82">
        <v>69.191000000000003</v>
      </c>
      <c r="B82">
        <v>22</v>
      </c>
      <c r="C82">
        <v>218.43389999999999</v>
      </c>
      <c r="D82" s="1">
        <v>1</v>
      </c>
      <c r="E82">
        <f t="shared" si="0"/>
        <v>485.03766677241953</v>
      </c>
    </row>
    <row r="83" spans="1:5" x14ac:dyDescent="0.4">
      <c r="A83">
        <v>69.200999999999993</v>
      </c>
      <c r="B83">
        <v>19</v>
      </c>
      <c r="C83">
        <v>218.36269999999999</v>
      </c>
      <c r="D83" s="1">
        <v>1</v>
      </c>
      <c r="E83">
        <f t="shared" si="0"/>
        <v>419.03275330447929</v>
      </c>
    </row>
    <row r="84" spans="1:5" x14ac:dyDescent="0.4">
      <c r="A84">
        <v>69.210999999999999</v>
      </c>
      <c r="B84">
        <v>19</v>
      </c>
      <c r="C84">
        <v>218.44</v>
      </c>
      <c r="D84" s="1">
        <v>1</v>
      </c>
      <c r="E84">
        <f t="shared" si="0"/>
        <v>418.88446896172866</v>
      </c>
    </row>
    <row r="85" spans="1:5" x14ac:dyDescent="0.4">
      <c r="A85">
        <v>69.221000000000004</v>
      </c>
      <c r="B85">
        <v>29</v>
      </c>
      <c r="C85">
        <v>218.5171</v>
      </c>
      <c r="D85" s="1">
        <v>1</v>
      </c>
      <c r="E85">
        <f t="shared" si="0"/>
        <v>639.12439529904077</v>
      </c>
    </row>
    <row r="86" spans="1:5" x14ac:dyDescent="0.4">
      <c r="A86">
        <v>69.230999999999995</v>
      </c>
      <c r="B86">
        <v>23</v>
      </c>
      <c r="C86">
        <v>218.4494</v>
      </c>
      <c r="D86" s="1">
        <v>1</v>
      </c>
      <c r="E86">
        <f t="shared" ref="E86:E149" si="1">$A$1*B86/C86</f>
        <v>507.04885341868646</v>
      </c>
    </row>
    <row r="87" spans="1:5" x14ac:dyDescent="0.4">
      <c r="A87">
        <v>69.241</v>
      </c>
      <c r="B87">
        <v>31</v>
      </c>
      <c r="C87">
        <v>218.61099999999999</v>
      </c>
      <c r="D87" s="1">
        <v>1</v>
      </c>
      <c r="E87">
        <f t="shared" si="1"/>
        <v>682.90848401955998</v>
      </c>
    </row>
    <row r="88" spans="1:5" x14ac:dyDescent="0.4">
      <c r="A88">
        <v>69.251000000000005</v>
      </c>
      <c r="B88">
        <v>21</v>
      </c>
      <c r="C88">
        <v>218.44649999999999</v>
      </c>
      <c r="D88" s="1">
        <v>1</v>
      </c>
      <c r="E88">
        <f t="shared" si="1"/>
        <v>462.96379479643764</v>
      </c>
    </row>
    <row r="89" spans="1:5" x14ac:dyDescent="0.4">
      <c r="A89">
        <v>69.260999999999996</v>
      </c>
      <c r="B89">
        <v>20</v>
      </c>
      <c r="C89">
        <v>218.86150000000001</v>
      </c>
      <c r="D89" s="1">
        <v>1</v>
      </c>
      <c r="E89">
        <f t="shared" si="1"/>
        <v>440.08184171268135</v>
      </c>
    </row>
    <row r="90" spans="1:5" x14ac:dyDescent="0.4">
      <c r="A90">
        <v>69.271000000000001</v>
      </c>
      <c r="B90">
        <v>35</v>
      </c>
      <c r="C90">
        <v>218.6447</v>
      </c>
      <c r="D90" s="1">
        <v>1</v>
      </c>
      <c r="E90">
        <f t="shared" si="1"/>
        <v>770.90686854060493</v>
      </c>
    </row>
    <row r="91" spans="1:5" x14ac:dyDescent="0.4">
      <c r="A91">
        <v>69.281000000000006</v>
      </c>
      <c r="B91">
        <v>39</v>
      </c>
      <c r="C91">
        <v>218.57140000000001</v>
      </c>
      <c r="D91" s="1">
        <v>1</v>
      </c>
      <c r="E91">
        <f t="shared" si="1"/>
        <v>859.29858801288742</v>
      </c>
    </row>
    <row r="92" spans="1:5" x14ac:dyDescent="0.4">
      <c r="A92">
        <v>69.290999999999997</v>
      </c>
      <c r="B92">
        <v>44</v>
      </c>
      <c r="C92">
        <v>218.5334</v>
      </c>
      <c r="D92" s="1">
        <v>1</v>
      </c>
      <c r="E92">
        <f t="shared" si="1"/>
        <v>969.63365050834341</v>
      </c>
    </row>
    <row r="93" spans="1:5" x14ac:dyDescent="0.4">
      <c r="A93">
        <v>69.301000000000002</v>
      </c>
      <c r="B93">
        <v>32</v>
      </c>
      <c r="C93">
        <v>218.6848</v>
      </c>
      <c r="D93" s="1">
        <v>1</v>
      </c>
      <c r="E93">
        <f t="shared" si="1"/>
        <v>704.69989317959005</v>
      </c>
    </row>
    <row r="94" spans="1:5" x14ac:dyDescent="0.4">
      <c r="A94">
        <v>69.311000000000007</v>
      </c>
      <c r="B94">
        <v>42</v>
      </c>
      <c r="C94">
        <v>218.82820000000001</v>
      </c>
      <c r="D94" s="1">
        <v>1</v>
      </c>
      <c r="E94">
        <f t="shared" si="1"/>
        <v>924.31250268475458</v>
      </c>
    </row>
    <row r="95" spans="1:5" x14ac:dyDescent="0.4">
      <c r="A95">
        <v>69.320999999999998</v>
      </c>
      <c r="B95">
        <v>42</v>
      </c>
      <c r="C95">
        <v>219.0027</v>
      </c>
      <c r="D95" s="1">
        <v>1</v>
      </c>
      <c r="E95">
        <f t="shared" si="1"/>
        <v>923.57601618610181</v>
      </c>
    </row>
    <row r="96" spans="1:5" x14ac:dyDescent="0.4">
      <c r="A96">
        <v>69.331000000000003</v>
      </c>
      <c r="B96">
        <v>61</v>
      </c>
      <c r="C96">
        <v>219.0581</v>
      </c>
      <c r="D96" s="1">
        <v>1</v>
      </c>
      <c r="E96">
        <f t="shared" si="1"/>
        <v>1341.0449766523127</v>
      </c>
    </row>
    <row r="97" spans="1:5" x14ac:dyDescent="0.4">
      <c r="A97">
        <v>69.340999999999994</v>
      </c>
      <c r="B97">
        <v>49</v>
      </c>
      <c r="C97">
        <v>219.12459999999999</v>
      </c>
      <c r="D97" s="1">
        <v>1</v>
      </c>
      <c r="E97">
        <f t="shared" si="1"/>
        <v>1076.9059311460239</v>
      </c>
    </row>
    <row r="98" spans="1:5" x14ac:dyDescent="0.4">
      <c r="A98">
        <v>69.350999999999999</v>
      </c>
      <c r="B98">
        <v>74</v>
      </c>
      <c r="C98">
        <v>218.97489999999999</v>
      </c>
      <c r="D98" s="1">
        <v>1</v>
      </c>
      <c r="E98">
        <f t="shared" si="1"/>
        <v>1627.4595691104323</v>
      </c>
    </row>
    <row r="99" spans="1:5" x14ac:dyDescent="0.4">
      <c r="A99">
        <v>69.361000000000004</v>
      </c>
      <c r="B99">
        <v>67</v>
      </c>
      <c r="C99">
        <v>218.95259999999999</v>
      </c>
      <c r="D99" s="1">
        <v>1</v>
      </c>
      <c r="E99">
        <f t="shared" si="1"/>
        <v>1473.6607658461239</v>
      </c>
    </row>
    <row r="100" spans="1:5" x14ac:dyDescent="0.4">
      <c r="A100">
        <v>69.370999999999995</v>
      </c>
      <c r="B100">
        <v>62</v>
      </c>
      <c r="C100">
        <v>218.92679999999999</v>
      </c>
      <c r="D100" s="1">
        <v>1</v>
      </c>
      <c r="E100">
        <f t="shared" si="1"/>
        <v>1363.8467889723872</v>
      </c>
    </row>
    <row r="101" spans="1:5" x14ac:dyDescent="0.4">
      <c r="A101">
        <v>69.381</v>
      </c>
      <c r="B101">
        <v>74</v>
      </c>
      <c r="C101">
        <v>218.6962</v>
      </c>
      <c r="D101" s="1">
        <v>1</v>
      </c>
      <c r="E101">
        <f t="shared" si="1"/>
        <v>1629.5335556813516</v>
      </c>
    </row>
    <row r="102" spans="1:5" x14ac:dyDescent="0.4">
      <c r="A102">
        <v>69.391000000000005</v>
      </c>
      <c r="B102">
        <v>87</v>
      </c>
      <c r="C102">
        <v>218.88740000000001</v>
      </c>
      <c r="D102" s="1">
        <v>1</v>
      </c>
      <c r="E102">
        <f t="shared" si="1"/>
        <v>1914.1294939772688</v>
      </c>
    </row>
    <row r="103" spans="1:5" x14ac:dyDescent="0.4">
      <c r="A103">
        <v>69.400999999999996</v>
      </c>
      <c r="B103">
        <v>83</v>
      </c>
      <c r="C103">
        <v>218.5915</v>
      </c>
      <c r="D103" s="1">
        <v>1</v>
      </c>
      <c r="E103">
        <f t="shared" si="1"/>
        <v>1828.595502569862</v>
      </c>
    </row>
    <row r="104" spans="1:5" x14ac:dyDescent="0.4">
      <c r="A104">
        <v>69.411000000000001</v>
      </c>
      <c r="B104">
        <v>112</v>
      </c>
      <c r="C104">
        <v>218.41220000000001</v>
      </c>
      <c r="D104" s="1">
        <v>1</v>
      </c>
      <c r="E104">
        <f t="shared" si="1"/>
        <v>2469.527998893835</v>
      </c>
    </row>
    <row r="105" spans="1:5" x14ac:dyDescent="0.4">
      <c r="A105">
        <v>69.421000000000006</v>
      </c>
      <c r="B105">
        <v>125</v>
      </c>
      <c r="C105">
        <v>218.6567</v>
      </c>
      <c r="D105" s="1">
        <v>1</v>
      </c>
      <c r="E105">
        <f t="shared" si="1"/>
        <v>2753.0877169553919</v>
      </c>
    </row>
    <row r="106" spans="1:5" x14ac:dyDescent="0.4">
      <c r="A106">
        <v>69.430999999999997</v>
      </c>
      <c r="B106">
        <v>144</v>
      </c>
      <c r="C106">
        <v>218.45609999999999</v>
      </c>
      <c r="D106" s="1">
        <v>1</v>
      </c>
      <c r="E106">
        <f t="shared" si="1"/>
        <v>3174.4693711917407</v>
      </c>
    </row>
    <row r="107" spans="1:5" x14ac:dyDescent="0.4">
      <c r="A107">
        <v>69.441000000000003</v>
      </c>
      <c r="B107">
        <v>168</v>
      </c>
      <c r="C107">
        <v>218.2423</v>
      </c>
      <c r="D107" s="1">
        <v>1</v>
      </c>
      <c r="E107">
        <f t="shared" si="1"/>
        <v>3707.1757619856467</v>
      </c>
    </row>
    <row r="108" spans="1:5" x14ac:dyDescent="0.4">
      <c r="A108">
        <v>69.450999999999993</v>
      </c>
      <c r="B108">
        <v>164</v>
      </c>
      <c r="C108">
        <v>218.05430000000001</v>
      </c>
      <c r="D108" s="1">
        <v>1</v>
      </c>
      <c r="E108">
        <f t="shared" si="1"/>
        <v>3622.0297898275799</v>
      </c>
    </row>
    <row r="109" spans="1:5" x14ac:dyDescent="0.4">
      <c r="A109">
        <v>69.460999999999999</v>
      </c>
      <c r="B109">
        <v>198</v>
      </c>
      <c r="C109">
        <v>218.12100000000001</v>
      </c>
      <c r="D109" s="1">
        <v>1</v>
      </c>
      <c r="E109">
        <f t="shared" si="1"/>
        <v>4371.6011883312476</v>
      </c>
    </row>
    <row r="110" spans="1:5" x14ac:dyDescent="0.4">
      <c r="A110">
        <v>69.471000000000004</v>
      </c>
      <c r="B110">
        <v>276</v>
      </c>
      <c r="C110">
        <v>218.08410000000001</v>
      </c>
      <c r="D110" s="1">
        <v>1</v>
      </c>
      <c r="E110">
        <f t="shared" si="1"/>
        <v>6094.7781777763721</v>
      </c>
    </row>
    <row r="111" spans="1:5" x14ac:dyDescent="0.4">
      <c r="A111">
        <v>69.480999999999995</v>
      </c>
      <c r="B111">
        <v>302</v>
      </c>
      <c r="C111">
        <v>217.7963</v>
      </c>
      <c r="D111" s="1">
        <v>1</v>
      </c>
      <c r="E111">
        <f t="shared" si="1"/>
        <v>6677.7363857880055</v>
      </c>
    </row>
    <row r="112" spans="1:5" x14ac:dyDescent="0.4">
      <c r="A112">
        <v>69.491</v>
      </c>
      <c r="B112">
        <v>406</v>
      </c>
      <c r="C112">
        <v>217.88829999999999</v>
      </c>
      <c r="D112" s="1">
        <v>1</v>
      </c>
      <c r="E112">
        <f t="shared" si="1"/>
        <v>8973.563663583589</v>
      </c>
    </row>
    <row r="113" spans="1:5" x14ac:dyDescent="0.4">
      <c r="A113">
        <v>69.501000000000005</v>
      </c>
      <c r="B113">
        <v>414</v>
      </c>
      <c r="C113">
        <v>217.69290000000001</v>
      </c>
      <c r="D113" s="1">
        <v>1</v>
      </c>
      <c r="E113">
        <f t="shared" si="1"/>
        <v>9158.5959872830026</v>
      </c>
    </row>
    <row r="114" spans="1:5" x14ac:dyDescent="0.4">
      <c r="A114">
        <v>69.510999999999996</v>
      </c>
      <c r="B114">
        <v>563</v>
      </c>
      <c r="C114">
        <v>217.6891</v>
      </c>
      <c r="D114" s="1">
        <v>1</v>
      </c>
      <c r="E114">
        <f t="shared" si="1"/>
        <v>12455.023066382286</v>
      </c>
    </row>
    <row r="115" spans="1:5" x14ac:dyDescent="0.4">
      <c r="A115">
        <v>69.521000000000001</v>
      </c>
      <c r="B115">
        <v>733</v>
      </c>
      <c r="C115">
        <v>217.5564</v>
      </c>
      <c r="D115" s="1">
        <v>1</v>
      </c>
      <c r="E115">
        <f t="shared" si="1"/>
        <v>16225.755821478937</v>
      </c>
    </row>
    <row r="116" spans="1:5" x14ac:dyDescent="0.4">
      <c r="A116">
        <v>69.531000000000006</v>
      </c>
      <c r="B116">
        <v>1013</v>
      </c>
      <c r="C116">
        <v>217.7174</v>
      </c>
      <c r="D116" s="1">
        <v>1</v>
      </c>
      <c r="E116">
        <f t="shared" si="1"/>
        <v>22407.279490752695</v>
      </c>
    </row>
    <row r="117" spans="1:5" x14ac:dyDescent="0.4">
      <c r="A117">
        <v>69.540999999999997</v>
      </c>
      <c r="B117">
        <v>1591</v>
      </c>
      <c r="C117">
        <v>217.89869999999999</v>
      </c>
      <c r="D117" s="1">
        <v>1</v>
      </c>
      <c r="E117">
        <f t="shared" si="1"/>
        <v>35163.197956665186</v>
      </c>
    </row>
    <row r="118" spans="1:5" x14ac:dyDescent="0.4">
      <c r="A118">
        <v>69.551000000000002</v>
      </c>
      <c r="B118">
        <v>2619</v>
      </c>
      <c r="C118">
        <v>218.12389999999999</v>
      </c>
      <c r="D118" s="1">
        <v>1</v>
      </c>
      <c r="E118">
        <f t="shared" si="1"/>
        <v>57823.592386712327</v>
      </c>
    </row>
    <row r="119" spans="1:5" x14ac:dyDescent="0.4">
      <c r="A119">
        <v>69.561000000000007</v>
      </c>
      <c r="B119">
        <v>5217</v>
      </c>
      <c r="C119">
        <v>218.0188</v>
      </c>
      <c r="D119" s="1">
        <v>1</v>
      </c>
      <c r="E119">
        <f t="shared" si="1"/>
        <v>115239.06262303985</v>
      </c>
    </row>
    <row r="120" spans="1:5" x14ac:dyDescent="0.4">
      <c r="A120">
        <v>69.570999999999998</v>
      </c>
      <c r="B120">
        <v>17933</v>
      </c>
      <c r="C120">
        <v>218.01230000000001</v>
      </c>
      <c r="D120" s="1">
        <v>1</v>
      </c>
      <c r="E120">
        <f t="shared" si="1"/>
        <v>396136.42415496742</v>
      </c>
    </row>
    <row r="121" spans="1:5" x14ac:dyDescent="0.4">
      <c r="A121">
        <v>69.581000000000003</v>
      </c>
      <c r="B121">
        <v>1050450</v>
      </c>
      <c r="C121">
        <v>217.9545</v>
      </c>
      <c r="D121" s="1">
        <v>1</v>
      </c>
      <c r="E121">
        <f t="shared" si="1"/>
        <v>23210386.39656442</v>
      </c>
    </row>
    <row r="122" spans="1:5" x14ac:dyDescent="0.4">
      <c r="A122">
        <v>69.590999999999994</v>
      </c>
      <c r="B122">
        <v>2199939</v>
      </c>
      <c r="C122">
        <v>218.51650000000001</v>
      </c>
      <c r="D122" s="1">
        <v>1</v>
      </c>
      <c r="E122">
        <f t="shared" si="1"/>
        <v>48484087.715277337</v>
      </c>
    </row>
    <row r="123" spans="1:5" x14ac:dyDescent="0.4">
      <c r="A123">
        <v>69.600999999999999</v>
      </c>
      <c r="B123">
        <v>33746</v>
      </c>
      <c r="C123">
        <v>218.59</v>
      </c>
      <c r="D123" s="1">
        <v>1</v>
      </c>
      <c r="E123">
        <f t="shared" si="1"/>
        <v>743472.37684981013</v>
      </c>
    </row>
    <row r="124" spans="1:5" x14ac:dyDescent="0.4">
      <c r="A124">
        <v>69.611000000000004</v>
      </c>
      <c r="B124">
        <v>5776</v>
      </c>
      <c r="C124">
        <v>218.4572</v>
      </c>
      <c r="D124" s="1">
        <v>1</v>
      </c>
      <c r="E124">
        <f t="shared" si="1"/>
        <v>127330.85251298654</v>
      </c>
    </row>
    <row r="125" spans="1:5" x14ac:dyDescent="0.4">
      <c r="A125">
        <v>69.620999999999995</v>
      </c>
      <c r="B125">
        <v>2539</v>
      </c>
      <c r="C125">
        <v>218.81450000000001</v>
      </c>
      <c r="D125" s="1">
        <v>1</v>
      </c>
      <c r="E125">
        <f t="shared" si="1"/>
        <v>55880.389989694464</v>
      </c>
    </row>
    <row r="126" spans="1:5" x14ac:dyDescent="0.4">
      <c r="A126">
        <v>69.631</v>
      </c>
      <c r="B126">
        <v>1484</v>
      </c>
      <c r="C126">
        <v>219.15629999999999</v>
      </c>
      <c r="D126" s="1">
        <v>1</v>
      </c>
      <c r="E126">
        <f t="shared" si="1"/>
        <v>32610.147745695653</v>
      </c>
    </row>
    <row r="127" spans="1:5" x14ac:dyDescent="0.4">
      <c r="A127">
        <v>69.641000000000005</v>
      </c>
      <c r="B127">
        <v>921</v>
      </c>
      <c r="C127">
        <v>219.17779999999999</v>
      </c>
      <c r="D127" s="1">
        <v>1</v>
      </c>
      <c r="E127">
        <f t="shared" si="1"/>
        <v>20236.522862260688</v>
      </c>
    </row>
    <row r="128" spans="1:5" x14ac:dyDescent="0.4">
      <c r="A128">
        <v>69.650999999999996</v>
      </c>
      <c r="B128">
        <v>698</v>
      </c>
      <c r="C128">
        <v>219.20670000000001</v>
      </c>
      <c r="D128" s="1">
        <v>1</v>
      </c>
      <c r="E128">
        <f t="shared" si="1"/>
        <v>15334.669619131168</v>
      </c>
    </row>
    <row r="129" spans="1:5" x14ac:dyDescent="0.4">
      <c r="A129">
        <v>69.661000000000001</v>
      </c>
      <c r="B129">
        <v>485</v>
      </c>
      <c r="C129">
        <v>219.2998</v>
      </c>
      <c r="D129" s="1">
        <v>1</v>
      </c>
      <c r="E129">
        <f t="shared" si="1"/>
        <v>10650.655271915432</v>
      </c>
    </row>
    <row r="130" spans="1:5" x14ac:dyDescent="0.4">
      <c r="A130">
        <v>69.671000000000006</v>
      </c>
      <c r="B130">
        <v>314</v>
      </c>
      <c r="C130">
        <v>219.16139999999999</v>
      </c>
      <c r="D130" s="1">
        <v>1</v>
      </c>
      <c r="E130">
        <f t="shared" si="1"/>
        <v>6899.8302639059621</v>
      </c>
    </row>
    <row r="131" spans="1:5" x14ac:dyDescent="0.4">
      <c r="A131">
        <v>69.680999999999997</v>
      </c>
      <c r="B131">
        <v>255</v>
      </c>
      <c r="C131">
        <v>219.1472</v>
      </c>
      <c r="D131" s="1">
        <v>1</v>
      </c>
      <c r="E131">
        <f t="shared" si="1"/>
        <v>5603.728420897005</v>
      </c>
    </row>
    <row r="132" spans="1:5" x14ac:dyDescent="0.4">
      <c r="A132">
        <v>69.691000000000003</v>
      </c>
      <c r="B132">
        <v>220</v>
      </c>
      <c r="C132">
        <v>218.917</v>
      </c>
      <c r="D132" s="1">
        <v>1</v>
      </c>
      <c r="E132">
        <f t="shared" si="1"/>
        <v>4839.6729902200377</v>
      </c>
    </row>
    <row r="133" spans="1:5" x14ac:dyDescent="0.4">
      <c r="A133">
        <v>69.700999999999993</v>
      </c>
      <c r="B133">
        <v>195</v>
      </c>
      <c r="C133">
        <v>218.7671</v>
      </c>
      <c r="D133" s="1">
        <v>1</v>
      </c>
      <c r="E133">
        <f t="shared" si="1"/>
        <v>4292.6494751724558</v>
      </c>
    </row>
    <row r="134" spans="1:5" x14ac:dyDescent="0.4">
      <c r="A134">
        <v>69.710999999999999</v>
      </c>
      <c r="B134">
        <v>148</v>
      </c>
      <c r="C134">
        <v>218.85640000000001</v>
      </c>
      <c r="D134" s="1">
        <v>1</v>
      </c>
      <c r="E134">
        <f t="shared" si="1"/>
        <v>3256.6815171957501</v>
      </c>
    </row>
    <row r="135" spans="1:5" x14ac:dyDescent="0.4">
      <c r="A135">
        <v>69.721000000000004</v>
      </c>
      <c r="B135">
        <v>140</v>
      </c>
      <c r="C135">
        <v>218.6514</v>
      </c>
      <c r="D135" s="1">
        <v>1</v>
      </c>
      <c r="E135">
        <f t="shared" si="1"/>
        <v>3083.5329844675134</v>
      </c>
    </row>
    <row r="136" spans="1:5" x14ac:dyDescent="0.4">
      <c r="A136">
        <v>69.730999999999995</v>
      </c>
      <c r="B136">
        <v>114</v>
      </c>
      <c r="C136">
        <v>217.9598</v>
      </c>
      <c r="D136" s="1">
        <v>1</v>
      </c>
      <c r="E136">
        <f t="shared" si="1"/>
        <v>2518.8440272013463</v>
      </c>
    </row>
    <row r="137" spans="1:5" x14ac:dyDescent="0.4">
      <c r="A137">
        <v>69.741</v>
      </c>
      <c r="B137">
        <v>103</v>
      </c>
      <c r="C137">
        <v>217.80869999999999</v>
      </c>
      <c r="D137" s="1">
        <v>1</v>
      </c>
      <c r="E137">
        <f t="shared" si="1"/>
        <v>2277.3764583324728</v>
      </c>
    </row>
    <row r="138" spans="1:5" x14ac:dyDescent="0.4">
      <c r="A138">
        <v>69.751000000000005</v>
      </c>
      <c r="B138">
        <v>74</v>
      </c>
      <c r="C138">
        <v>217.95330000000001</v>
      </c>
      <c r="D138" s="1">
        <v>1</v>
      </c>
      <c r="E138">
        <f t="shared" si="1"/>
        <v>1635.0878669880199</v>
      </c>
    </row>
    <row r="139" spans="1:5" x14ac:dyDescent="0.4">
      <c r="A139">
        <v>69.760999999999996</v>
      </c>
      <c r="B139">
        <v>58</v>
      </c>
      <c r="C139">
        <v>218.20310000000001</v>
      </c>
      <c r="D139" s="1">
        <v>1</v>
      </c>
      <c r="E139">
        <f t="shared" si="1"/>
        <v>1280.0882242277953</v>
      </c>
    </row>
    <row r="140" spans="1:5" x14ac:dyDescent="0.4">
      <c r="A140">
        <v>69.771000000000001</v>
      </c>
      <c r="B140">
        <v>65</v>
      </c>
      <c r="C140">
        <v>217.64590000000001</v>
      </c>
      <c r="D140" s="1">
        <v>1</v>
      </c>
      <c r="E140">
        <f t="shared" si="1"/>
        <v>1438.2543342190229</v>
      </c>
    </row>
    <row r="141" spans="1:5" x14ac:dyDescent="0.4">
      <c r="A141">
        <v>69.781000000000006</v>
      </c>
      <c r="B141">
        <v>64</v>
      </c>
      <c r="C141">
        <v>217.7808</v>
      </c>
      <c r="D141" s="1">
        <v>1</v>
      </c>
      <c r="E141">
        <f t="shared" si="1"/>
        <v>1415.2501524468641</v>
      </c>
    </row>
    <row r="142" spans="1:5" x14ac:dyDescent="0.4">
      <c r="A142">
        <v>69.790999999999997</v>
      </c>
      <c r="B142">
        <v>49</v>
      </c>
      <c r="C142">
        <v>218.1283</v>
      </c>
      <c r="D142" s="1">
        <v>1</v>
      </c>
      <c r="E142">
        <f t="shared" si="1"/>
        <v>1081.824693998899</v>
      </c>
    </row>
    <row r="143" spans="1:5" x14ac:dyDescent="0.4">
      <c r="A143">
        <v>69.801000000000002</v>
      </c>
      <c r="B143">
        <v>60</v>
      </c>
      <c r="C143">
        <v>217.87</v>
      </c>
      <c r="D143" s="1">
        <v>1</v>
      </c>
      <c r="E143">
        <f t="shared" si="1"/>
        <v>1326.2538027263965</v>
      </c>
    </row>
    <row r="144" spans="1:5" x14ac:dyDescent="0.4">
      <c r="A144">
        <v>69.811000000000007</v>
      </c>
      <c r="B144">
        <v>47</v>
      </c>
      <c r="C144">
        <v>217.83179999999999</v>
      </c>
      <c r="D144" s="1">
        <v>1</v>
      </c>
      <c r="E144">
        <f t="shared" si="1"/>
        <v>1039.0809982748158</v>
      </c>
    </row>
    <row r="145" spans="1:5" x14ac:dyDescent="0.4">
      <c r="A145">
        <v>69.820999999999998</v>
      </c>
      <c r="B145">
        <v>47</v>
      </c>
      <c r="C145">
        <v>218.12880000000001</v>
      </c>
      <c r="D145" s="1">
        <v>1</v>
      </c>
      <c r="E145">
        <f t="shared" si="1"/>
        <v>1037.6662054712629</v>
      </c>
    </row>
    <row r="146" spans="1:5" x14ac:dyDescent="0.4">
      <c r="A146">
        <v>69.831000000000003</v>
      </c>
      <c r="B146">
        <v>33</v>
      </c>
      <c r="C146">
        <v>217.9145</v>
      </c>
      <c r="D146" s="1">
        <v>1</v>
      </c>
      <c r="E146">
        <f t="shared" si="1"/>
        <v>729.29063371184577</v>
      </c>
    </row>
    <row r="147" spans="1:5" x14ac:dyDescent="0.4">
      <c r="A147">
        <v>69.840999999999994</v>
      </c>
      <c r="B147">
        <v>37</v>
      </c>
      <c r="C147">
        <v>218.04920000000001</v>
      </c>
      <c r="D147" s="1">
        <v>1</v>
      </c>
      <c r="E147">
        <f t="shared" si="1"/>
        <v>817.18437031642395</v>
      </c>
    </row>
    <row r="148" spans="1:5" x14ac:dyDescent="0.4">
      <c r="A148">
        <v>69.850999999999999</v>
      </c>
      <c r="B148">
        <v>30</v>
      </c>
      <c r="C148">
        <v>217.7484</v>
      </c>
      <c r="D148" s="1">
        <v>1</v>
      </c>
      <c r="E148">
        <f t="shared" si="1"/>
        <v>663.49721972698774</v>
      </c>
    </row>
    <row r="149" spans="1:5" x14ac:dyDescent="0.4">
      <c r="A149">
        <v>69.861000000000004</v>
      </c>
      <c r="B149">
        <v>29</v>
      </c>
      <c r="C149">
        <v>217.7799</v>
      </c>
      <c r="D149" s="1">
        <v>1</v>
      </c>
      <c r="E149">
        <f t="shared" si="1"/>
        <v>641.28787551100913</v>
      </c>
    </row>
    <row r="150" spans="1:5" x14ac:dyDescent="0.4">
      <c r="A150">
        <v>69.870999999999995</v>
      </c>
      <c r="B150">
        <v>16</v>
      </c>
      <c r="C150">
        <v>217.63570000000001</v>
      </c>
      <c r="D150" s="1">
        <v>1</v>
      </c>
      <c r="E150">
        <f t="shared" ref="E150:E213" si="2">$A$1*B150/C150</f>
        <v>354.04842863555933</v>
      </c>
    </row>
    <row r="151" spans="1:5" x14ac:dyDescent="0.4">
      <c r="A151">
        <v>69.881</v>
      </c>
      <c r="B151">
        <v>16</v>
      </c>
      <c r="C151">
        <v>217.6403</v>
      </c>
      <c r="D151" s="1">
        <v>1</v>
      </c>
      <c r="E151">
        <f t="shared" si="2"/>
        <v>354.04094554179534</v>
      </c>
    </row>
    <row r="152" spans="1:5" x14ac:dyDescent="0.4">
      <c r="A152">
        <v>69.891000000000005</v>
      </c>
      <c r="B152">
        <v>23</v>
      </c>
      <c r="C152">
        <v>217.69630000000001</v>
      </c>
      <c r="D152" s="1">
        <v>1</v>
      </c>
      <c r="E152">
        <f t="shared" si="2"/>
        <v>508.80294152909352</v>
      </c>
    </row>
    <row r="153" spans="1:5" x14ac:dyDescent="0.4">
      <c r="A153">
        <v>69.900999999999996</v>
      </c>
      <c r="B153">
        <v>21</v>
      </c>
      <c r="C153">
        <v>217.58320000000001</v>
      </c>
      <c r="D153" s="1">
        <v>1</v>
      </c>
      <c r="E153">
        <f t="shared" si="2"/>
        <v>464.80068589854363</v>
      </c>
    </row>
    <row r="154" spans="1:5" x14ac:dyDescent="0.4">
      <c r="A154">
        <v>69.911000000000001</v>
      </c>
      <c r="B154">
        <v>17</v>
      </c>
      <c r="C154">
        <v>217.97739999999999</v>
      </c>
      <c r="D154" s="1">
        <v>1</v>
      </c>
      <c r="E154">
        <f t="shared" si="2"/>
        <v>375.58676358191263</v>
      </c>
    </row>
    <row r="155" spans="1:5" x14ac:dyDescent="0.4">
      <c r="A155">
        <v>69.921000000000006</v>
      </c>
      <c r="B155">
        <v>24</v>
      </c>
      <c r="C155">
        <v>218.01779999999999</v>
      </c>
      <c r="D155" s="1">
        <v>1</v>
      </c>
      <c r="E155">
        <f t="shared" si="2"/>
        <v>530.14188015840909</v>
      </c>
    </row>
    <row r="156" spans="1:5" x14ac:dyDescent="0.4">
      <c r="A156">
        <v>69.930999999999997</v>
      </c>
      <c r="B156">
        <v>9</v>
      </c>
      <c r="C156">
        <v>217.89869999999999</v>
      </c>
      <c r="D156" s="1">
        <v>1</v>
      </c>
      <c r="E156">
        <f t="shared" si="2"/>
        <v>198.91186776240519</v>
      </c>
    </row>
    <row r="157" spans="1:5" x14ac:dyDescent="0.4">
      <c r="A157">
        <v>69.941000000000003</v>
      </c>
      <c r="B157">
        <v>17</v>
      </c>
      <c r="C157">
        <v>217.79079999999999</v>
      </c>
      <c r="D157" s="1">
        <v>1</v>
      </c>
      <c r="E157">
        <f t="shared" si="2"/>
        <v>375.90856087584967</v>
      </c>
    </row>
    <row r="158" spans="1:5" x14ac:dyDescent="0.4">
      <c r="A158">
        <v>69.950999999999993</v>
      </c>
      <c r="B158">
        <v>13</v>
      </c>
      <c r="C158">
        <v>217.86660000000001</v>
      </c>
      <c r="D158" s="1">
        <v>1</v>
      </c>
      <c r="E158">
        <f t="shared" si="2"/>
        <v>287.35947501819925</v>
      </c>
    </row>
    <row r="159" spans="1:5" x14ac:dyDescent="0.4">
      <c r="A159">
        <v>69.960999999999999</v>
      </c>
      <c r="B159">
        <v>5</v>
      </c>
      <c r="C159">
        <v>218.2099</v>
      </c>
      <c r="D159" s="1">
        <v>1</v>
      </c>
      <c r="E159">
        <f t="shared" si="2"/>
        <v>110.34899424819865</v>
      </c>
    </row>
    <row r="160" spans="1:5" x14ac:dyDescent="0.4">
      <c r="A160">
        <v>69.971000000000004</v>
      </c>
      <c r="B160">
        <v>10</v>
      </c>
      <c r="C160">
        <v>218.11070000000001</v>
      </c>
      <c r="D160" s="1">
        <v>1</v>
      </c>
      <c r="E160">
        <f t="shared" si="2"/>
        <v>220.79836523380101</v>
      </c>
    </row>
    <row r="161" spans="1:5" x14ac:dyDescent="0.4">
      <c r="A161">
        <v>69.980999999999995</v>
      </c>
      <c r="B161">
        <v>7</v>
      </c>
      <c r="C161">
        <v>218.29949999999999</v>
      </c>
      <c r="D161" s="1">
        <v>1</v>
      </c>
      <c r="E161">
        <f t="shared" si="2"/>
        <v>154.42518283367579</v>
      </c>
    </row>
    <row r="162" spans="1:5" x14ac:dyDescent="0.4">
      <c r="A162">
        <v>69.991</v>
      </c>
      <c r="B162">
        <v>10</v>
      </c>
      <c r="C162">
        <v>218.30070000000001</v>
      </c>
      <c r="D162" s="1">
        <v>1</v>
      </c>
      <c r="E162">
        <f t="shared" si="2"/>
        <v>220.60619136814498</v>
      </c>
    </row>
    <row r="163" spans="1:5" x14ac:dyDescent="0.4">
      <c r="A163">
        <v>70.001000000000005</v>
      </c>
      <c r="B163">
        <v>4</v>
      </c>
      <c r="C163">
        <v>218.76769999999999</v>
      </c>
      <c r="D163" s="1">
        <v>1</v>
      </c>
      <c r="E163">
        <f t="shared" si="2"/>
        <v>88.054106707708684</v>
      </c>
    </row>
    <row r="164" spans="1:5" x14ac:dyDescent="0.4">
      <c r="A164">
        <v>70.010999999999996</v>
      </c>
      <c r="B164">
        <v>8</v>
      </c>
      <c r="C164">
        <v>218.65430000000001</v>
      </c>
      <c r="D164" s="1">
        <v>1</v>
      </c>
      <c r="E164">
        <f t="shared" si="2"/>
        <v>176.19954787077134</v>
      </c>
    </row>
    <row r="165" spans="1:5" x14ac:dyDescent="0.4">
      <c r="A165">
        <v>70.021000000000001</v>
      </c>
      <c r="B165">
        <v>8</v>
      </c>
      <c r="C165">
        <v>218.6534</v>
      </c>
      <c r="D165" s="1">
        <v>1</v>
      </c>
      <c r="E165">
        <f t="shared" si="2"/>
        <v>176.20027312632689</v>
      </c>
    </row>
    <row r="166" spans="1:5" x14ac:dyDescent="0.4">
      <c r="A166">
        <v>70.031000000000006</v>
      </c>
      <c r="B166">
        <v>14</v>
      </c>
      <c r="C166">
        <v>218.90129999999999</v>
      </c>
      <c r="D166" s="1">
        <v>1</v>
      </c>
      <c r="E166">
        <f t="shared" si="2"/>
        <v>308.0012791152908</v>
      </c>
    </row>
    <row r="167" spans="1:5" x14ac:dyDescent="0.4">
      <c r="A167">
        <v>70.040999999999997</v>
      </c>
      <c r="B167">
        <v>9</v>
      </c>
      <c r="C167">
        <v>218.65940000000001</v>
      </c>
      <c r="D167" s="1">
        <v>1</v>
      </c>
      <c r="E167">
        <f t="shared" si="2"/>
        <v>198.21986797731998</v>
      </c>
    </row>
    <row r="168" spans="1:5" x14ac:dyDescent="0.4">
      <c r="A168">
        <v>70.051000000000002</v>
      </c>
      <c r="B168">
        <v>4</v>
      </c>
      <c r="C168">
        <v>218.66630000000001</v>
      </c>
      <c r="D168" s="1">
        <v>1</v>
      </c>
      <c r="E168">
        <f t="shared" si="2"/>
        <v>88.094939183587044</v>
      </c>
    </row>
    <row r="169" spans="1:5" x14ac:dyDescent="0.4">
      <c r="A169">
        <v>70.061000000000007</v>
      </c>
      <c r="B169">
        <v>2</v>
      </c>
      <c r="C169">
        <v>218.63820000000001</v>
      </c>
      <c r="D169" s="1">
        <v>1</v>
      </c>
      <c r="E169">
        <f t="shared" si="2"/>
        <v>44.053130697197467</v>
      </c>
    </row>
    <row r="170" spans="1:5" x14ac:dyDescent="0.4">
      <c r="A170">
        <v>70.070999999999998</v>
      </c>
      <c r="B170">
        <v>5</v>
      </c>
      <c r="C170">
        <v>218.65090000000001</v>
      </c>
      <c r="D170" s="1">
        <v>1</v>
      </c>
      <c r="E170">
        <f t="shared" si="2"/>
        <v>110.1264298477619</v>
      </c>
    </row>
    <row r="171" spans="1:5" x14ac:dyDescent="0.4">
      <c r="A171">
        <v>70.081000000000003</v>
      </c>
      <c r="B171">
        <v>8</v>
      </c>
      <c r="C171">
        <v>218.40100000000001</v>
      </c>
      <c r="D171" s="1">
        <v>1</v>
      </c>
      <c r="E171">
        <f t="shared" si="2"/>
        <v>176.40390291253246</v>
      </c>
    </row>
    <row r="172" spans="1:5" x14ac:dyDescent="0.4">
      <c r="A172">
        <v>70.090999999999994</v>
      </c>
      <c r="B172">
        <v>2</v>
      </c>
      <c r="C172">
        <v>218.7199</v>
      </c>
      <c r="D172" s="1">
        <v>1</v>
      </c>
      <c r="E172">
        <f t="shared" si="2"/>
        <v>44.036675217938566</v>
      </c>
    </row>
    <row r="173" spans="1:5" x14ac:dyDescent="0.4">
      <c r="A173">
        <v>70.100999999999999</v>
      </c>
      <c r="B173">
        <v>7</v>
      </c>
      <c r="C173">
        <v>218.27420000000001</v>
      </c>
      <c r="D173" s="1">
        <v>1</v>
      </c>
      <c r="E173">
        <f t="shared" si="2"/>
        <v>154.44308214163655</v>
      </c>
    </row>
    <row r="174" spans="1:5" x14ac:dyDescent="0.4">
      <c r="A174">
        <v>70.111000000000004</v>
      </c>
      <c r="B174">
        <v>6</v>
      </c>
      <c r="C174">
        <v>218.36709999999999</v>
      </c>
      <c r="D174" s="1">
        <v>1</v>
      </c>
      <c r="E174">
        <f t="shared" si="2"/>
        <v>132.32346630971423</v>
      </c>
    </row>
    <row r="175" spans="1:5" x14ac:dyDescent="0.4">
      <c r="A175">
        <v>70.120999999999995</v>
      </c>
      <c r="B175">
        <v>1</v>
      </c>
      <c r="C175">
        <v>218.30770000000001</v>
      </c>
      <c r="D175" s="1">
        <v>1</v>
      </c>
      <c r="E175">
        <f t="shared" si="2"/>
        <v>22.05991176674025</v>
      </c>
    </row>
    <row r="176" spans="1:5" x14ac:dyDescent="0.4">
      <c r="A176">
        <v>70.131</v>
      </c>
      <c r="B176">
        <v>2</v>
      </c>
      <c r="C176">
        <v>218.09979999999999</v>
      </c>
      <c r="D176" s="1">
        <v>1</v>
      </c>
      <c r="E176">
        <f t="shared" si="2"/>
        <v>44.161880020064217</v>
      </c>
    </row>
    <row r="177" spans="1:5" x14ac:dyDescent="0.4">
      <c r="A177">
        <v>70.141000000000005</v>
      </c>
      <c r="B177">
        <v>2</v>
      </c>
      <c r="C177">
        <v>218.1627</v>
      </c>
      <c r="D177" s="1">
        <v>1</v>
      </c>
      <c r="E177">
        <f t="shared" si="2"/>
        <v>44.149147402374467</v>
      </c>
    </row>
    <row r="178" spans="1:5" x14ac:dyDescent="0.4">
      <c r="A178">
        <v>70.150999999999996</v>
      </c>
      <c r="B178">
        <v>2</v>
      </c>
      <c r="C178">
        <v>217.8288</v>
      </c>
      <c r="D178" s="1">
        <v>1</v>
      </c>
      <c r="E178">
        <f t="shared" si="2"/>
        <v>44.216821650764274</v>
      </c>
    </row>
    <row r="179" spans="1:5" x14ac:dyDescent="0.4">
      <c r="A179">
        <v>70.161000000000001</v>
      </c>
      <c r="B179">
        <v>2</v>
      </c>
      <c r="C179">
        <v>217.82069999999999</v>
      </c>
      <c r="D179" s="1">
        <v>1</v>
      </c>
      <c r="E179">
        <f t="shared" si="2"/>
        <v>44.218465921742059</v>
      </c>
    </row>
    <row r="180" spans="1:5" x14ac:dyDescent="0.4">
      <c r="A180">
        <v>70.171000000000006</v>
      </c>
      <c r="B180">
        <v>3</v>
      </c>
      <c r="C180">
        <v>217.97300000000001</v>
      </c>
      <c r="D180" s="1">
        <v>1</v>
      </c>
      <c r="E180">
        <f t="shared" si="2"/>
        <v>66.281355030210165</v>
      </c>
    </row>
    <row r="181" spans="1:5" x14ac:dyDescent="0.4">
      <c r="A181">
        <v>70.180999999999997</v>
      </c>
      <c r="B181">
        <v>2</v>
      </c>
      <c r="C181">
        <v>217.6541</v>
      </c>
      <c r="D181" s="1">
        <v>1</v>
      </c>
      <c r="E181">
        <f t="shared" si="2"/>
        <v>44.252312269789542</v>
      </c>
    </row>
    <row r="182" spans="1:5" x14ac:dyDescent="0.4">
      <c r="A182">
        <v>70.191000000000003</v>
      </c>
      <c r="B182">
        <v>0</v>
      </c>
      <c r="C182">
        <v>217.78270000000001</v>
      </c>
      <c r="D182" s="1">
        <v>1</v>
      </c>
      <c r="E182">
        <f t="shared" si="2"/>
        <v>0</v>
      </c>
    </row>
    <row r="183" spans="1:5" x14ac:dyDescent="0.4">
      <c r="A183">
        <v>70.200999999999993</v>
      </c>
      <c r="B183">
        <v>2</v>
      </c>
      <c r="C183">
        <v>217.3665</v>
      </c>
      <c r="D183" s="1">
        <v>1</v>
      </c>
      <c r="E183">
        <f t="shared" si="2"/>
        <v>44.310862989467097</v>
      </c>
    </row>
    <row r="184" spans="1:5" x14ac:dyDescent="0.4">
      <c r="A184">
        <v>70.210999999999999</v>
      </c>
      <c r="B184">
        <v>4</v>
      </c>
      <c r="C184">
        <v>217.41909999999999</v>
      </c>
      <c r="D184" s="1">
        <v>1</v>
      </c>
      <c r="E184">
        <f t="shared" si="2"/>
        <v>88.600285807456672</v>
      </c>
    </row>
    <row r="185" spans="1:5" x14ac:dyDescent="0.4">
      <c r="A185">
        <v>70.221000000000004</v>
      </c>
      <c r="B185">
        <v>1</v>
      </c>
      <c r="C185">
        <v>217.45429999999999</v>
      </c>
      <c r="D185" s="1">
        <v>1</v>
      </c>
      <c r="E185">
        <f t="shared" si="2"/>
        <v>22.146485951301035</v>
      </c>
    </row>
    <row r="186" spans="1:5" x14ac:dyDescent="0.4">
      <c r="A186">
        <v>70.230999999999995</v>
      </c>
      <c r="B186">
        <v>1</v>
      </c>
      <c r="C186">
        <v>217.1242</v>
      </c>
      <c r="D186" s="1">
        <v>1</v>
      </c>
      <c r="E186">
        <f t="shared" si="2"/>
        <v>22.180155873919169</v>
      </c>
    </row>
    <row r="187" spans="1:5" x14ac:dyDescent="0.4">
      <c r="A187">
        <v>70.241</v>
      </c>
      <c r="B187">
        <v>3</v>
      </c>
      <c r="C187">
        <v>217.24420000000001</v>
      </c>
      <c r="D187" s="1">
        <v>1</v>
      </c>
      <c r="E187">
        <f t="shared" si="2"/>
        <v>66.503712412115021</v>
      </c>
    </row>
    <row r="188" spans="1:5" x14ac:dyDescent="0.4">
      <c r="A188">
        <v>70.251000000000005</v>
      </c>
      <c r="B188">
        <v>4</v>
      </c>
      <c r="C188">
        <v>217.1053</v>
      </c>
      <c r="D188" s="1">
        <v>1</v>
      </c>
      <c r="E188">
        <f t="shared" si="2"/>
        <v>88.728347027916868</v>
      </c>
    </row>
    <row r="189" spans="1:5" x14ac:dyDescent="0.4">
      <c r="A189">
        <v>70.260999999999996</v>
      </c>
      <c r="B189">
        <v>2</v>
      </c>
      <c r="C189">
        <v>217.34129999999999</v>
      </c>
      <c r="D189" s="1">
        <v>1</v>
      </c>
      <c r="E189">
        <f t="shared" si="2"/>
        <v>44.316000686477906</v>
      </c>
    </row>
    <row r="190" spans="1:5" x14ac:dyDescent="0.4">
      <c r="A190">
        <v>70.271000000000001</v>
      </c>
      <c r="B190">
        <v>0</v>
      </c>
      <c r="C190">
        <v>217.06209999999999</v>
      </c>
      <c r="D190" s="1">
        <v>1</v>
      </c>
      <c r="E190">
        <f t="shared" si="2"/>
        <v>0</v>
      </c>
    </row>
    <row r="191" spans="1:5" x14ac:dyDescent="0.4">
      <c r="A191">
        <v>70.281000000000006</v>
      </c>
      <c r="B191">
        <v>1</v>
      </c>
      <c r="C191">
        <v>217.29910000000001</v>
      </c>
      <c r="D191" s="1">
        <v>1</v>
      </c>
      <c r="E191">
        <f t="shared" si="2"/>
        <v>22.162303479397753</v>
      </c>
    </row>
    <row r="192" spans="1:5" x14ac:dyDescent="0.4">
      <c r="A192">
        <v>70.290999999999997</v>
      </c>
      <c r="B192">
        <v>1</v>
      </c>
      <c r="C192">
        <v>217.18360000000001</v>
      </c>
      <c r="D192" s="1">
        <v>1</v>
      </c>
      <c r="E192">
        <f t="shared" si="2"/>
        <v>22.174089572140804</v>
      </c>
    </row>
    <row r="193" spans="1:5" x14ac:dyDescent="0.4">
      <c r="A193">
        <v>70.301000000000002</v>
      </c>
      <c r="B193">
        <v>6</v>
      </c>
      <c r="C193">
        <v>217.33019999999999</v>
      </c>
      <c r="D193" s="1">
        <v>1</v>
      </c>
      <c r="E193">
        <f t="shared" si="2"/>
        <v>132.95479229301773</v>
      </c>
    </row>
    <row r="194" spans="1:5" x14ac:dyDescent="0.4">
      <c r="A194">
        <v>70.311000000000007</v>
      </c>
      <c r="B194">
        <v>1</v>
      </c>
      <c r="C194">
        <v>217.369</v>
      </c>
      <c r="D194" s="1">
        <v>1</v>
      </c>
      <c r="E194">
        <f t="shared" si="2"/>
        <v>22.155176681127486</v>
      </c>
    </row>
    <row r="195" spans="1:5" x14ac:dyDescent="0.4">
      <c r="A195">
        <v>70.320999999999998</v>
      </c>
      <c r="B195">
        <v>3</v>
      </c>
      <c r="C195">
        <v>217.55879999999999</v>
      </c>
      <c r="D195" s="1">
        <v>1</v>
      </c>
      <c r="E195">
        <f t="shared" si="2"/>
        <v>66.407544994732461</v>
      </c>
    </row>
    <row r="196" spans="1:5" x14ac:dyDescent="0.4">
      <c r="A196">
        <v>70.331000000000003</v>
      </c>
      <c r="B196">
        <v>2</v>
      </c>
      <c r="C196">
        <v>217.7379</v>
      </c>
      <c r="D196" s="1">
        <v>1</v>
      </c>
      <c r="E196">
        <f t="shared" si="2"/>
        <v>44.235281042023466</v>
      </c>
    </row>
    <row r="197" spans="1:5" x14ac:dyDescent="0.4">
      <c r="A197">
        <v>70.340999999999994</v>
      </c>
      <c r="B197">
        <v>0</v>
      </c>
      <c r="C197">
        <v>218.00399999999999</v>
      </c>
      <c r="D197" s="1">
        <v>1</v>
      </c>
      <c r="E197">
        <f t="shared" si="2"/>
        <v>0</v>
      </c>
    </row>
    <row r="198" spans="1:5" x14ac:dyDescent="0.4">
      <c r="A198">
        <v>70.350999999999999</v>
      </c>
      <c r="B198">
        <v>2</v>
      </c>
      <c r="C198">
        <v>218.05099999999999</v>
      </c>
      <c r="D198" s="1">
        <v>1</v>
      </c>
      <c r="E198">
        <f t="shared" si="2"/>
        <v>44.171763486523801</v>
      </c>
    </row>
    <row r="199" spans="1:5" x14ac:dyDescent="0.4">
      <c r="A199">
        <v>70.361000000000004</v>
      </c>
      <c r="B199">
        <v>1</v>
      </c>
      <c r="C199">
        <v>217.97489999999999</v>
      </c>
      <c r="D199" s="1">
        <v>1</v>
      </c>
      <c r="E199">
        <f t="shared" si="2"/>
        <v>22.093592427384991</v>
      </c>
    </row>
    <row r="200" spans="1:5" x14ac:dyDescent="0.4">
      <c r="A200">
        <v>70.370999999999995</v>
      </c>
      <c r="B200">
        <v>1</v>
      </c>
      <c r="C200">
        <v>217.8664</v>
      </c>
      <c r="D200" s="1">
        <v>1</v>
      </c>
      <c r="E200">
        <f t="shared" si="2"/>
        <v>22.104595293262292</v>
      </c>
    </row>
    <row r="201" spans="1:5" x14ac:dyDescent="0.4">
      <c r="A201">
        <v>70.381</v>
      </c>
      <c r="B201">
        <v>0</v>
      </c>
      <c r="C201">
        <v>218.23</v>
      </c>
      <c r="D201" s="1">
        <v>1</v>
      </c>
      <c r="E201">
        <f t="shared" si="2"/>
        <v>0</v>
      </c>
    </row>
    <row r="202" spans="1:5" x14ac:dyDescent="0.4">
      <c r="A202">
        <v>70.391000000000005</v>
      </c>
      <c r="B202">
        <v>1</v>
      </c>
      <c r="C202">
        <v>217.9153</v>
      </c>
      <c r="D202" s="1">
        <v>1</v>
      </c>
      <c r="E202">
        <f t="shared" si="2"/>
        <v>22.099635041688217</v>
      </c>
    </row>
    <row r="203" spans="1:5" x14ac:dyDescent="0.4">
      <c r="A203">
        <v>70.400999999999996</v>
      </c>
      <c r="B203">
        <v>0</v>
      </c>
      <c r="C203">
        <v>217.95349999999999</v>
      </c>
      <c r="D203" s="1">
        <v>1</v>
      </c>
      <c r="E203">
        <f t="shared" si="2"/>
        <v>0</v>
      </c>
    </row>
    <row r="204" spans="1:5" x14ac:dyDescent="0.4">
      <c r="A204">
        <v>70.411000000000001</v>
      </c>
      <c r="B204">
        <v>0</v>
      </c>
      <c r="C204">
        <v>217.85339999999999</v>
      </c>
      <c r="D204" s="1">
        <v>1</v>
      </c>
      <c r="E204">
        <f t="shared" si="2"/>
        <v>0</v>
      </c>
    </row>
    <row r="205" spans="1:5" x14ac:dyDescent="0.4">
      <c r="A205">
        <v>70.421000000000006</v>
      </c>
      <c r="B205">
        <v>0</v>
      </c>
      <c r="C205">
        <v>217.6036</v>
      </c>
      <c r="D205" s="1">
        <v>1</v>
      </c>
      <c r="E205">
        <f t="shared" si="2"/>
        <v>0</v>
      </c>
    </row>
    <row r="206" spans="1:5" x14ac:dyDescent="0.4">
      <c r="A206">
        <v>70.430999999999997</v>
      </c>
      <c r="B206">
        <v>0</v>
      </c>
      <c r="C206">
        <v>217.4744</v>
      </c>
      <c r="D206" s="1">
        <v>1</v>
      </c>
      <c r="E206">
        <f t="shared" si="2"/>
        <v>0</v>
      </c>
    </row>
    <row r="207" spans="1:5" x14ac:dyDescent="0.4">
      <c r="A207">
        <v>70.441000000000003</v>
      </c>
      <c r="B207">
        <v>0</v>
      </c>
      <c r="C207">
        <v>217.61670000000001</v>
      </c>
      <c r="D207" s="1">
        <v>1</v>
      </c>
      <c r="E207">
        <f t="shared" si="2"/>
        <v>0</v>
      </c>
    </row>
    <row r="208" spans="1:5" x14ac:dyDescent="0.4">
      <c r="A208">
        <v>70.450999999999993</v>
      </c>
      <c r="B208">
        <v>1</v>
      </c>
      <c r="C208">
        <v>217.37530000000001</v>
      </c>
      <c r="D208" s="1">
        <v>1</v>
      </c>
      <c r="E208">
        <f t="shared" si="2"/>
        <v>22.154534576835548</v>
      </c>
    </row>
    <row r="209" spans="1:5" x14ac:dyDescent="0.4">
      <c r="A209">
        <v>70.460999999999999</v>
      </c>
      <c r="B209">
        <v>1</v>
      </c>
      <c r="C209">
        <v>217.60470000000001</v>
      </c>
      <c r="D209" s="1">
        <v>1</v>
      </c>
      <c r="E209">
        <f t="shared" si="2"/>
        <v>22.131179151920893</v>
      </c>
    </row>
    <row r="210" spans="1:5" x14ac:dyDescent="0.4">
      <c r="A210">
        <v>70.471000000000004</v>
      </c>
      <c r="B210">
        <v>0</v>
      </c>
      <c r="C210">
        <v>217.47579999999999</v>
      </c>
      <c r="D210" s="1">
        <v>1</v>
      </c>
      <c r="E210">
        <f t="shared" si="2"/>
        <v>0</v>
      </c>
    </row>
    <row r="211" spans="1:5" x14ac:dyDescent="0.4">
      <c r="A211">
        <v>70.480999999999995</v>
      </c>
      <c r="B211">
        <v>0</v>
      </c>
      <c r="C211">
        <v>217.34280000000001</v>
      </c>
      <c r="D211" s="1">
        <v>1</v>
      </c>
      <c r="E211">
        <f t="shared" si="2"/>
        <v>0</v>
      </c>
    </row>
    <row r="212" spans="1:5" x14ac:dyDescent="0.4">
      <c r="A212">
        <v>70.491</v>
      </c>
      <c r="B212">
        <v>0</v>
      </c>
      <c r="C212">
        <v>217.57980000000001</v>
      </c>
      <c r="D212" s="1">
        <v>1</v>
      </c>
      <c r="E212">
        <f t="shared" si="2"/>
        <v>0</v>
      </c>
    </row>
    <row r="213" spans="1:5" x14ac:dyDescent="0.4">
      <c r="A213">
        <v>70.501000000000005</v>
      </c>
      <c r="B213">
        <v>2</v>
      </c>
      <c r="C213">
        <v>217.3092</v>
      </c>
      <c r="D213" s="1">
        <v>1</v>
      </c>
      <c r="E213">
        <f t="shared" si="2"/>
        <v>44.322546859497898</v>
      </c>
    </row>
    <row r="214" spans="1:5" x14ac:dyDescent="0.4">
      <c r="A214">
        <v>70.510999999999996</v>
      </c>
      <c r="B214">
        <v>0</v>
      </c>
      <c r="C214">
        <v>217.2842</v>
      </c>
      <c r="D214" s="1">
        <v>1</v>
      </c>
      <c r="E214">
        <f t="shared" ref="E214:E222" si="3">$A$1*B214/C214</f>
        <v>0</v>
      </c>
    </row>
    <row r="215" spans="1:5" x14ac:dyDescent="0.4">
      <c r="A215">
        <v>70.521000000000001</v>
      </c>
      <c r="B215">
        <v>0</v>
      </c>
      <c r="C215">
        <v>217.49870000000001</v>
      </c>
      <c r="D215" s="1">
        <v>1</v>
      </c>
      <c r="E215">
        <f t="shared" si="3"/>
        <v>0</v>
      </c>
    </row>
    <row r="216" spans="1:5" x14ac:dyDescent="0.4">
      <c r="A216">
        <v>70.531000000000006</v>
      </c>
      <c r="B216">
        <v>3</v>
      </c>
      <c r="C216">
        <v>217.255</v>
      </c>
      <c r="D216" s="1">
        <v>1</v>
      </c>
      <c r="E216">
        <f t="shared" si="3"/>
        <v>66.500406434834645</v>
      </c>
    </row>
    <row r="217" spans="1:5" x14ac:dyDescent="0.4">
      <c r="A217">
        <v>70.540999999999997</v>
      </c>
      <c r="B217">
        <v>2</v>
      </c>
      <c r="C217">
        <v>217.25649999999999</v>
      </c>
      <c r="D217" s="1">
        <v>1</v>
      </c>
      <c r="E217">
        <f t="shared" si="3"/>
        <v>44.333298198212717</v>
      </c>
    </row>
    <row r="218" spans="1:5" x14ac:dyDescent="0.4">
      <c r="A218">
        <v>70.551000000000002</v>
      </c>
      <c r="B218">
        <v>0</v>
      </c>
      <c r="C218">
        <v>217.3664</v>
      </c>
      <c r="D218" s="1">
        <v>1</v>
      </c>
      <c r="E218">
        <f t="shared" si="3"/>
        <v>0</v>
      </c>
    </row>
    <row r="219" spans="1:5" x14ac:dyDescent="0.4">
      <c r="A219">
        <v>70.561000000000007</v>
      </c>
      <c r="B219">
        <v>1</v>
      </c>
      <c r="C219">
        <v>217.1773</v>
      </c>
      <c r="D219" s="1">
        <v>1</v>
      </c>
      <c r="E219">
        <f t="shared" si="3"/>
        <v>22.174732810473287</v>
      </c>
    </row>
    <row r="220" spans="1:5" x14ac:dyDescent="0.4">
      <c r="A220">
        <v>70.570999999999998</v>
      </c>
      <c r="B220">
        <v>0</v>
      </c>
      <c r="C220">
        <v>217.39349999999999</v>
      </c>
      <c r="D220" s="1">
        <v>1</v>
      </c>
      <c r="E220">
        <f t="shared" si="3"/>
        <v>0</v>
      </c>
    </row>
    <row r="221" spans="1:5" x14ac:dyDescent="0.4">
      <c r="A221">
        <v>70.581000000000003</v>
      </c>
      <c r="B221">
        <v>0</v>
      </c>
      <c r="C221">
        <v>217.4436</v>
      </c>
      <c r="D221" s="1">
        <v>1</v>
      </c>
      <c r="E221">
        <f t="shared" si="3"/>
        <v>0</v>
      </c>
    </row>
    <row r="222" spans="1:5" x14ac:dyDescent="0.4">
      <c r="A222">
        <v>70.590999999999994</v>
      </c>
      <c r="B222">
        <v>1</v>
      </c>
      <c r="C222">
        <v>217.34989999999999</v>
      </c>
      <c r="D222" s="1">
        <v>1</v>
      </c>
      <c r="E222">
        <f t="shared" si="3"/>
        <v>22.157123605761956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A7B5-C198-45E1-8076-3C8A5161C3F0}">
  <dimension ref="A1"/>
  <sheetViews>
    <sheetView workbookViewId="0">
      <selection activeCell="C32" sqref="C32"/>
    </sheetView>
  </sheetViews>
  <sheetFormatPr defaultRowHeight="13.9" x14ac:dyDescent="0.4"/>
  <sheetData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FA7AC-6E7F-44DA-BE6C-49DC96895550}">
  <dimension ref="A1:E222"/>
  <sheetViews>
    <sheetView tabSelected="1" topLeftCell="A211" workbookViewId="0">
      <selection activeCell="E23" sqref="E23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0</v>
      </c>
    </row>
    <row r="4" spans="1:1" x14ac:dyDescent="0.4">
      <c r="A4" t="s">
        <v>1</v>
      </c>
    </row>
    <row r="5" spans="1:1" x14ac:dyDescent="0.4">
      <c r="A5" t="s">
        <v>2</v>
      </c>
    </row>
    <row r="6" spans="1:1" x14ac:dyDescent="0.4">
      <c r="A6" t="s">
        <v>3</v>
      </c>
    </row>
    <row r="7" spans="1:1" x14ac:dyDescent="0.4">
      <c r="A7" t="s">
        <v>4</v>
      </c>
    </row>
    <row r="8" spans="1:1" x14ac:dyDescent="0.4">
      <c r="A8" t="s">
        <v>5</v>
      </c>
    </row>
    <row r="9" spans="1:1" x14ac:dyDescent="0.4">
      <c r="A9" t="s">
        <v>6</v>
      </c>
    </row>
    <row r="10" spans="1:1" x14ac:dyDescent="0.4">
      <c r="A10" t="s">
        <v>7</v>
      </c>
    </row>
    <row r="11" spans="1:1" x14ac:dyDescent="0.4">
      <c r="A11" t="s">
        <v>8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15</v>
      </c>
    </row>
    <row r="19" spans="1:5" x14ac:dyDescent="0.4">
      <c r="A19" t="s">
        <v>16</v>
      </c>
      <c r="B19" t="s">
        <v>17</v>
      </c>
    </row>
    <row r="20" spans="1:5" x14ac:dyDescent="0.4">
      <c r="A20" t="s">
        <v>18</v>
      </c>
      <c r="B20" t="s">
        <v>19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68.5929</v>
      </c>
      <c r="B22">
        <v>17</v>
      </c>
      <c r="C22">
        <v>4815.8486000000003</v>
      </c>
      <c r="D22" s="1">
        <v>1</v>
      </c>
      <c r="E22">
        <f t="shared" ref="E22:E85" si="0">$A$1*B22/C22</f>
        <v>17</v>
      </c>
    </row>
    <row r="23" spans="1:5" x14ac:dyDescent="0.4">
      <c r="A23">
        <v>68.602900000000005</v>
      </c>
      <c r="B23">
        <v>9</v>
      </c>
      <c r="C23">
        <v>4820.0911999999998</v>
      </c>
      <c r="D23" s="1">
        <v>1</v>
      </c>
      <c r="E23">
        <f t="shared" si="0"/>
        <v>8.992078282668178</v>
      </c>
    </row>
    <row r="24" spans="1:5" x14ac:dyDescent="0.4">
      <c r="A24">
        <v>68.612899999999996</v>
      </c>
      <c r="B24">
        <v>9</v>
      </c>
      <c r="C24">
        <v>4823.7959000000001</v>
      </c>
      <c r="D24" s="1">
        <v>1</v>
      </c>
      <c r="E24">
        <f t="shared" si="0"/>
        <v>8.9851723204126444</v>
      </c>
    </row>
    <row r="25" spans="1:5" x14ac:dyDescent="0.4">
      <c r="A25">
        <v>68.622900000000001</v>
      </c>
      <c r="B25">
        <v>27</v>
      </c>
      <c r="C25">
        <v>4814.1086999999998</v>
      </c>
      <c r="D25" s="1">
        <v>1</v>
      </c>
      <c r="E25">
        <f t="shared" si="0"/>
        <v>27.009758254939282</v>
      </c>
    </row>
    <row r="26" spans="1:5" x14ac:dyDescent="0.4">
      <c r="A26">
        <v>68.632900000000006</v>
      </c>
      <c r="B26">
        <v>19</v>
      </c>
      <c r="C26">
        <v>4810.9444000000003</v>
      </c>
      <c r="D26" s="1">
        <v>1</v>
      </c>
      <c r="E26">
        <f t="shared" si="0"/>
        <v>19.019368297002146</v>
      </c>
    </row>
    <row r="27" spans="1:5" x14ac:dyDescent="0.4">
      <c r="A27">
        <v>68.642899999999997</v>
      </c>
      <c r="B27">
        <v>7</v>
      </c>
      <c r="C27">
        <v>4797.8720000000003</v>
      </c>
      <c r="D27" s="1">
        <v>1</v>
      </c>
      <c r="E27">
        <f t="shared" si="0"/>
        <v>7.0262275025261207</v>
      </c>
    </row>
    <row r="28" spans="1:5" x14ac:dyDescent="0.4">
      <c r="A28">
        <v>68.652900000000002</v>
      </c>
      <c r="B28">
        <v>10</v>
      </c>
      <c r="C28">
        <v>4794.9987000000001</v>
      </c>
      <c r="D28" s="1">
        <v>1</v>
      </c>
      <c r="E28">
        <f t="shared" si="0"/>
        <v>10.043482597815929</v>
      </c>
    </row>
    <row r="29" spans="1:5" x14ac:dyDescent="0.4">
      <c r="A29">
        <v>68.662899999999993</v>
      </c>
      <c r="B29">
        <v>14</v>
      </c>
      <c r="C29">
        <v>4789.5208000000002</v>
      </c>
      <c r="D29" s="1">
        <v>1</v>
      </c>
      <c r="E29">
        <f t="shared" si="0"/>
        <v>14.076957427557263</v>
      </c>
    </row>
    <row r="30" spans="1:5" x14ac:dyDescent="0.4">
      <c r="A30">
        <v>68.672899999999998</v>
      </c>
      <c r="B30">
        <v>11</v>
      </c>
      <c r="C30">
        <v>4791.6450999999997</v>
      </c>
      <c r="D30" s="1">
        <v>1</v>
      </c>
      <c r="E30">
        <f t="shared" si="0"/>
        <v>11.055563067473425</v>
      </c>
    </row>
    <row r="31" spans="1:5" x14ac:dyDescent="0.4">
      <c r="A31">
        <v>68.682900000000004</v>
      </c>
      <c r="B31">
        <v>15</v>
      </c>
      <c r="C31">
        <v>4792.0735000000004</v>
      </c>
      <c r="D31" s="1">
        <v>1</v>
      </c>
      <c r="E31">
        <f t="shared" si="0"/>
        <v>15.074420081411523</v>
      </c>
    </row>
    <row r="32" spans="1:5" x14ac:dyDescent="0.4">
      <c r="A32">
        <v>68.692899999999995</v>
      </c>
      <c r="B32">
        <v>12</v>
      </c>
      <c r="C32">
        <v>4794.8015999999998</v>
      </c>
      <c r="D32" s="1">
        <v>1</v>
      </c>
      <c r="E32">
        <f t="shared" si="0"/>
        <v>12.052674546533897</v>
      </c>
    </row>
    <row r="33" spans="1:5" x14ac:dyDescent="0.4">
      <c r="A33">
        <v>68.7029</v>
      </c>
      <c r="B33">
        <v>17</v>
      </c>
      <c r="C33">
        <v>4794.6000000000004</v>
      </c>
      <c r="D33" s="1">
        <v>1</v>
      </c>
      <c r="E33">
        <f t="shared" si="0"/>
        <v>17.07534021607642</v>
      </c>
    </row>
    <row r="34" spans="1:5" x14ac:dyDescent="0.4">
      <c r="A34">
        <v>68.712900000000005</v>
      </c>
      <c r="B34">
        <v>17</v>
      </c>
      <c r="C34">
        <v>4789.2300999999998</v>
      </c>
      <c r="D34" s="1">
        <v>1</v>
      </c>
      <c r="E34">
        <f t="shared" si="0"/>
        <v>17.094485854835</v>
      </c>
    </row>
    <row r="35" spans="1:5" x14ac:dyDescent="0.4">
      <c r="A35">
        <v>68.722899999999996</v>
      </c>
      <c r="B35">
        <v>14</v>
      </c>
      <c r="C35">
        <v>4781.2245999999996</v>
      </c>
      <c r="D35" s="1">
        <v>1</v>
      </c>
      <c r="E35">
        <f t="shared" si="0"/>
        <v>14.101383231400595</v>
      </c>
    </row>
    <row r="36" spans="1:5" x14ac:dyDescent="0.4">
      <c r="A36">
        <v>68.732900000000001</v>
      </c>
      <c r="B36">
        <v>10</v>
      </c>
      <c r="C36">
        <v>4774.9129999999996</v>
      </c>
      <c r="D36" s="1">
        <v>1</v>
      </c>
      <c r="E36">
        <f t="shared" si="0"/>
        <v>10.085730567237562</v>
      </c>
    </row>
    <row r="37" spans="1:5" x14ac:dyDescent="0.4">
      <c r="A37">
        <v>68.742900000000006</v>
      </c>
      <c r="B37">
        <v>19</v>
      </c>
      <c r="C37">
        <v>4772.7745000000004</v>
      </c>
      <c r="D37" s="1">
        <v>1</v>
      </c>
      <c r="E37">
        <f t="shared" si="0"/>
        <v>19.171474244173908</v>
      </c>
    </row>
    <row r="38" spans="1:5" x14ac:dyDescent="0.4">
      <c r="A38">
        <v>68.752899999999997</v>
      </c>
      <c r="B38">
        <v>22</v>
      </c>
      <c r="C38">
        <v>4777.6394</v>
      </c>
      <c r="D38" s="1">
        <v>1</v>
      </c>
      <c r="E38">
        <f t="shared" si="0"/>
        <v>22.175945133071366</v>
      </c>
    </row>
    <row r="39" spans="1:5" x14ac:dyDescent="0.4">
      <c r="A39">
        <v>68.762900000000002</v>
      </c>
      <c r="B39">
        <v>16</v>
      </c>
      <c r="C39">
        <v>4782.9336999999996</v>
      </c>
      <c r="D39" s="1">
        <v>1</v>
      </c>
      <c r="E39">
        <f t="shared" si="0"/>
        <v>16.110107819391267</v>
      </c>
    </row>
    <row r="40" spans="1:5" x14ac:dyDescent="0.4">
      <c r="A40">
        <v>68.772900000000007</v>
      </c>
      <c r="B40">
        <v>16</v>
      </c>
      <c r="C40">
        <v>4772.5833000000002</v>
      </c>
      <c r="D40" s="1">
        <v>1</v>
      </c>
      <c r="E40">
        <f t="shared" si="0"/>
        <v>16.145046143039558</v>
      </c>
    </row>
    <row r="41" spans="1:5" x14ac:dyDescent="0.4">
      <c r="A41">
        <v>68.782899999999998</v>
      </c>
      <c r="B41">
        <v>13</v>
      </c>
      <c r="C41">
        <v>4763.9170000000004</v>
      </c>
      <c r="D41" s="1">
        <v>1</v>
      </c>
      <c r="E41">
        <f t="shared" si="0"/>
        <v>13.141713384175249</v>
      </c>
    </row>
    <row r="42" spans="1:5" x14ac:dyDescent="0.4">
      <c r="A42">
        <v>68.792900000000003</v>
      </c>
      <c r="B42">
        <v>22</v>
      </c>
      <c r="C42">
        <v>4758.2208000000001</v>
      </c>
      <c r="D42" s="1">
        <v>1</v>
      </c>
      <c r="E42">
        <f t="shared" si="0"/>
        <v>22.266446567590979</v>
      </c>
    </row>
    <row r="43" spans="1:5" x14ac:dyDescent="0.4">
      <c r="A43">
        <v>68.802899999999994</v>
      </c>
      <c r="B43">
        <v>11</v>
      </c>
      <c r="C43">
        <v>4754.9971999999998</v>
      </c>
      <c r="D43" s="1">
        <v>1</v>
      </c>
      <c r="E43">
        <f t="shared" si="0"/>
        <v>11.140770934628522</v>
      </c>
    </row>
    <row r="44" spans="1:5" x14ac:dyDescent="0.4">
      <c r="A44">
        <v>68.812899999999999</v>
      </c>
      <c r="B44">
        <v>17</v>
      </c>
      <c r="C44">
        <v>4754.2120999999997</v>
      </c>
      <c r="D44" s="1">
        <v>1</v>
      </c>
      <c r="E44">
        <f t="shared" si="0"/>
        <v>17.22039834949728</v>
      </c>
    </row>
    <row r="45" spans="1:5" x14ac:dyDescent="0.4">
      <c r="A45">
        <v>68.822900000000004</v>
      </c>
      <c r="B45">
        <v>21</v>
      </c>
      <c r="C45">
        <v>4753.6472999999996</v>
      </c>
      <c r="D45" s="1">
        <v>1</v>
      </c>
      <c r="E45">
        <f t="shared" si="0"/>
        <v>21.274784227260618</v>
      </c>
    </row>
    <row r="46" spans="1:5" x14ac:dyDescent="0.4">
      <c r="A46">
        <v>68.832899999999995</v>
      </c>
      <c r="B46">
        <v>25</v>
      </c>
      <c r="C46">
        <v>4754.9426999999996</v>
      </c>
      <c r="D46" s="1">
        <v>1</v>
      </c>
      <c r="E46">
        <f t="shared" si="0"/>
        <v>25.320224153279497</v>
      </c>
    </row>
    <row r="47" spans="1:5" x14ac:dyDescent="0.4">
      <c r="A47">
        <v>68.8429</v>
      </c>
      <c r="B47">
        <v>12</v>
      </c>
      <c r="C47">
        <v>4752.6463999999996</v>
      </c>
      <c r="D47" s="1">
        <v>1</v>
      </c>
      <c r="E47">
        <f t="shared" si="0"/>
        <v>12.159579807999181</v>
      </c>
    </row>
    <row r="48" spans="1:5" x14ac:dyDescent="0.4">
      <c r="A48">
        <v>68.852900000000005</v>
      </c>
      <c r="B48">
        <v>17</v>
      </c>
      <c r="C48">
        <v>4746.5307000000003</v>
      </c>
      <c r="D48" s="1">
        <v>1</v>
      </c>
      <c r="E48">
        <f t="shared" si="0"/>
        <v>17.248266444373783</v>
      </c>
    </row>
    <row r="49" spans="1:5" x14ac:dyDescent="0.4">
      <c r="A49">
        <v>68.862899999999996</v>
      </c>
      <c r="B49">
        <v>15</v>
      </c>
      <c r="C49">
        <v>4743.8846999999996</v>
      </c>
      <c r="D49" s="1">
        <v>1</v>
      </c>
      <c r="E49">
        <f t="shared" si="0"/>
        <v>15.227547372725988</v>
      </c>
    </row>
    <row r="50" spans="1:5" x14ac:dyDescent="0.4">
      <c r="A50">
        <v>68.872900000000001</v>
      </c>
      <c r="B50">
        <v>17</v>
      </c>
      <c r="C50">
        <v>4753.1373999999996</v>
      </c>
      <c r="D50" s="1">
        <v>1</v>
      </c>
      <c r="E50">
        <f t="shared" si="0"/>
        <v>17.22429193820486</v>
      </c>
    </row>
    <row r="51" spans="1:5" x14ac:dyDescent="0.4">
      <c r="A51">
        <v>68.882900000000006</v>
      </c>
      <c r="B51">
        <v>16</v>
      </c>
      <c r="C51">
        <v>4753.7763000000004</v>
      </c>
      <c r="D51" s="1">
        <v>1</v>
      </c>
      <c r="E51">
        <f t="shared" si="0"/>
        <v>16.208919548864763</v>
      </c>
    </row>
    <row r="52" spans="1:5" x14ac:dyDescent="0.4">
      <c r="A52">
        <v>68.892899999999997</v>
      </c>
      <c r="B52">
        <v>9</v>
      </c>
      <c r="C52">
        <v>4747.2317000000003</v>
      </c>
      <c r="D52" s="1">
        <v>1</v>
      </c>
      <c r="E52">
        <f t="shared" si="0"/>
        <v>9.130086782998184</v>
      </c>
    </row>
    <row r="53" spans="1:5" x14ac:dyDescent="0.4">
      <c r="A53">
        <v>68.902900000000002</v>
      </c>
      <c r="B53">
        <v>17</v>
      </c>
      <c r="C53">
        <v>4735.3847999999998</v>
      </c>
      <c r="D53" s="1">
        <v>1</v>
      </c>
      <c r="E53">
        <f t="shared" si="0"/>
        <v>17.288864507906517</v>
      </c>
    </row>
    <row r="54" spans="1:5" x14ac:dyDescent="0.4">
      <c r="A54">
        <v>68.912899999999993</v>
      </c>
      <c r="B54">
        <v>13</v>
      </c>
      <c r="C54">
        <v>4731.7168000000001</v>
      </c>
      <c r="D54" s="1">
        <v>1</v>
      </c>
      <c r="E54">
        <f t="shared" si="0"/>
        <v>13.231145152220437</v>
      </c>
    </row>
    <row r="55" spans="1:5" x14ac:dyDescent="0.4">
      <c r="A55">
        <v>68.922899999999998</v>
      </c>
      <c r="B55">
        <v>18</v>
      </c>
      <c r="C55">
        <v>4729.2407999999996</v>
      </c>
      <c r="D55" s="1">
        <v>1</v>
      </c>
      <c r="E55">
        <f t="shared" si="0"/>
        <v>18.329638617682569</v>
      </c>
    </row>
    <row r="56" spans="1:5" x14ac:dyDescent="0.4">
      <c r="A56">
        <v>68.932900000000004</v>
      </c>
      <c r="B56">
        <v>16</v>
      </c>
      <c r="C56">
        <v>4726.3643000000002</v>
      </c>
      <c r="D56" s="1">
        <v>1</v>
      </c>
      <c r="E56">
        <f t="shared" si="0"/>
        <v>16.302928151348809</v>
      </c>
    </row>
    <row r="57" spans="1:5" x14ac:dyDescent="0.4">
      <c r="A57">
        <v>68.942899999999995</v>
      </c>
      <c r="B57">
        <v>15</v>
      </c>
      <c r="C57">
        <v>4727.8238000000001</v>
      </c>
      <c r="D57" s="1">
        <v>1</v>
      </c>
      <c r="E57">
        <f t="shared" si="0"/>
        <v>15.27927690537029</v>
      </c>
    </row>
    <row r="58" spans="1:5" x14ac:dyDescent="0.4">
      <c r="A58">
        <v>68.9529</v>
      </c>
      <c r="B58">
        <v>17</v>
      </c>
      <c r="C58">
        <v>4724.5254000000004</v>
      </c>
      <c r="D58" s="1">
        <v>1</v>
      </c>
      <c r="E58">
        <f t="shared" si="0"/>
        <v>17.328603249757105</v>
      </c>
    </row>
    <row r="59" spans="1:5" x14ac:dyDescent="0.4">
      <c r="A59">
        <v>68.962900000000005</v>
      </c>
      <c r="B59">
        <v>23</v>
      </c>
      <c r="C59">
        <v>4721.1031999999996</v>
      </c>
      <c r="D59" s="1">
        <v>1</v>
      </c>
      <c r="E59">
        <f t="shared" si="0"/>
        <v>23.461575209794187</v>
      </c>
    </row>
    <row r="60" spans="1:5" x14ac:dyDescent="0.4">
      <c r="A60">
        <v>68.972899999999996</v>
      </c>
      <c r="B60">
        <v>22</v>
      </c>
      <c r="C60">
        <v>4718.1805999999997</v>
      </c>
      <c r="D60" s="1">
        <v>1</v>
      </c>
      <c r="E60">
        <f t="shared" si="0"/>
        <v>22.455407747638997</v>
      </c>
    </row>
    <row r="61" spans="1:5" x14ac:dyDescent="0.4">
      <c r="A61">
        <v>68.982900000000001</v>
      </c>
      <c r="B61">
        <v>24</v>
      </c>
      <c r="C61">
        <v>4715.4570999999996</v>
      </c>
      <c r="D61" s="1">
        <v>1</v>
      </c>
      <c r="E61">
        <f t="shared" si="0"/>
        <v>24.510957039562509</v>
      </c>
    </row>
    <row r="62" spans="1:5" x14ac:dyDescent="0.4">
      <c r="A62">
        <v>68.992900000000006</v>
      </c>
      <c r="B62">
        <v>27</v>
      </c>
      <c r="C62">
        <v>4719.0614999999998</v>
      </c>
      <c r="D62" s="1">
        <v>1</v>
      </c>
      <c r="E62">
        <f t="shared" si="0"/>
        <v>27.553765128935066</v>
      </c>
    </row>
    <row r="63" spans="1:5" x14ac:dyDescent="0.4">
      <c r="A63">
        <v>69.002899999999997</v>
      </c>
      <c r="B63">
        <v>19</v>
      </c>
      <c r="C63">
        <v>4718.0303000000004</v>
      </c>
      <c r="D63" s="1">
        <v>1</v>
      </c>
      <c r="E63">
        <f t="shared" si="0"/>
        <v>19.393924494295852</v>
      </c>
    </row>
    <row r="64" spans="1:5" x14ac:dyDescent="0.4">
      <c r="A64">
        <v>69.012900000000002</v>
      </c>
      <c r="B64">
        <v>24</v>
      </c>
      <c r="C64">
        <v>4713.5309999999999</v>
      </c>
      <c r="D64" s="1">
        <v>1</v>
      </c>
      <c r="E64">
        <f t="shared" si="0"/>
        <v>24.520973003041668</v>
      </c>
    </row>
    <row r="65" spans="1:5" x14ac:dyDescent="0.4">
      <c r="A65">
        <v>69.022900000000007</v>
      </c>
      <c r="B65">
        <v>35</v>
      </c>
      <c r="C65">
        <v>4711.8486999999996</v>
      </c>
      <c r="D65" s="1">
        <v>1</v>
      </c>
      <c r="E65">
        <f t="shared" si="0"/>
        <v>35.772519817964444</v>
      </c>
    </row>
    <row r="66" spans="1:5" x14ac:dyDescent="0.4">
      <c r="A66">
        <v>69.032899999999998</v>
      </c>
      <c r="B66">
        <v>34</v>
      </c>
      <c r="C66">
        <v>4714.4432999999999</v>
      </c>
      <c r="D66" s="1">
        <v>1</v>
      </c>
      <c r="E66">
        <f t="shared" si="0"/>
        <v>34.73132286902252</v>
      </c>
    </row>
    <row r="67" spans="1:5" x14ac:dyDescent="0.4">
      <c r="A67">
        <v>69.042900000000003</v>
      </c>
      <c r="B67">
        <v>37</v>
      </c>
      <c r="C67">
        <v>4716.1998999999996</v>
      </c>
      <c r="D67" s="1">
        <v>1</v>
      </c>
      <c r="E67">
        <f t="shared" si="0"/>
        <v>37.781773881128323</v>
      </c>
    </row>
    <row r="68" spans="1:5" x14ac:dyDescent="0.4">
      <c r="A68">
        <v>69.052899999999994</v>
      </c>
      <c r="B68">
        <v>31</v>
      </c>
      <c r="C68">
        <v>4706.6216000000004</v>
      </c>
      <c r="D68" s="1">
        <v>1</v>
      </c>
      <c r="E68">
        <f t="shared" si="0"/>
        <v>31.719419848835948</v>
      </c>
    </row>
    <row r="69" spans="1:5" x14ac:dyDescent="0.4">
      <c r="A69">
        <v>69.062899999999999</v>
      </c>
      <c r="B69">
        <v>36</v>
      </c>
      <c r="C69">
        <v>4693.9921999999997</v>
      </c>
      <c r="D69" s="1">
        <v>1</v>
      </c>
      <c r="E69">
        <f t="shared" si="0"/>
        <v>36.934562780057455</v>
      </c>
    </row>
    <row r="70" spans="1:5" x14ac:dyDescent="0.4">
      <c r="A70">
        <v>69.072900000000004</v>
      </c>
      <c r="B70">
        <v>54</v>
      </c>
      <c r="C70">
        <v>4692.5535</v>
      </c>
      <c r="D70" s="1">
        <v>1</v>
      </c>
      <c r="E70">
        <f t="shared" si="0"/>
        <v>55.418829939818487</v>
      </c>
    </row>
    <row r="71" spans="1:5" x14ac:dyDescent="0.4">
      <c r="A71">
        <v>69.082899999999995</v>
      </c>
      <c r="B71">
        <v>39</v>
      </c>
      <c r="C71">
        <v>4692.3671999999997</v>
      </c>
      <c r="D71" s="1">
        <v>1</v>
      </c>
      <c r="E71">
        <f t="shared" si="0"/>
        <v>40.026299604174206</v>
      </c>
    </row>
    <row r="72" spans="1:5" x14ac:dyDescent="0.4">
      <c r="A72">
        <v>69.0929</v>
      </c>
      <c r="B72">
        <v>52</v>
      </c>
      <c r="C72">
        <v>4686.6971999999996</v>
      </c>
      <c r="D72" s="1">
        <v>1</v>
      </c>
      <c r="E72">
        <f t="shared" si="0"/>
        <v>53.432964945975179</v>
      </c>
    </row>
    <row r="73" spans="1:5" x14ac:dyDescent="0.4">
      <c r="A73">
        <v>69.102900000000005</v>
      </c>
      <c r="B73">
        <v>47</v>
      </c>
      <c r="C73">
        <v>4688.6938</v>
      </c>
      <c r="D73" s="1">
        <v>1</v>
      </c>
      <c r="E73">
        <f t="shared" si="0"/>
        <v>48.274614179326448</v>
      </c>
    </row>
    <row r="74" spans="1:5" x14ac:dyDescent="0.4">
      <c r="A74">
        <v>69.112899999999996</v>
      </c>
      <c r="B74">
        <v>56</v>
      </c>
      <c r="C74">
        <v>4685.1772000000001</v>
      </c>
      <c r="D74" s="1">
        <v>1</v>
      </c>
      <c r="E74">
        <f t="shared" si="0"/>
        <v>57.561861608991016</v>
      </c>
    </row>
    <row r="75" spans="1:5" x14ac:dyDescent="0.4">
      <c r="A75">
        <v>69.122900000000001</v>
      </c>
      <c r="B75">
        <v>65</v>
      </c>
      <c r="C75">
        <v>4684.9709999999995</v>
      </c>
      <c r="D75" s="1">
        <v>1</v>
      </c>
      <c r="E75">
        <f t="shared" si="0"/>
        <v>66.815815722231804</v>
      </c>
    </row>
    <row r="76" spans="1:5" x14ac:dyDescent="0.4">
      <c r="A76">
        <v>69.132900000000006</v>
      </c>
      <c r="B76">
        <v>84</v>
      </c>
      <c r="C76">
        <v>4684.6152000000002</v>
      </c>
      <c r="D76" s="1">
        <v>1</v>
      </c>
      <c r="E76">
        <f t="shared" si="0"/>
        <v>86.353150713424654</v>
      </c>
    </row>
    <row r="77" spans="1:5" x14ac:dyDescent="0.4">
      <c r="A77">
        <v>69.142899999999997</v>
      </c>
      <c r="B77">
        <v>79</v>
      </c>
      <c r="C77">
        <v>4684.8550999999998</v>
      </c>
      <c r="D77" s="1">
        <v>1</v>
      </c>
      <c r="E77">
        <f t="shared" si="0"/>
        <v>81.208923494773629</v>
      </c>
    </row>
    <row r="78" spans="1:5" x14ac:dyDescent="0.4">
      <c r="A78">
        <v>69.152900000000002</v>
      </c>
      <c r="B78">
        <v>75</v>
      </c>
      <c r="C78">
        <v>4688.5886</v>
      </c>
      <c r="D78" s="1">
        <v>1</v>
      </c>
      <c r="E78">
        <f t="shared" si="0"/>
        <v>77.035687242851722</v>
      </c>
    </row>
    <row r="79" spans="1:5" x14ac:dyDescent="0.4">
      <c r="A79">
        <v>69.162899999999993</v>
      </c>
      <c r="B79">
        <v>84</v>
      </c>
      <c r="C79">
        <v>4685.3015999999998</v>
      </c>
      <c r="D79" s="1">
        <v>1</v>
      </c>
      <c r="E79">
        <f t="shared" si="0"/>
        <v>86.340499915736487</v>
      </c>
    </row>
    <row r="80" spans="1:5" x14ac:dyDescent="0.4">
      <c r="A80">
        <v>69.172899999999998</v>
      </c>
      <c r="B80">
        <v>98</v>
      </c>
      <c r="C80">
        <v>4675.5955999999996</v>
      </c>
      <c r="D80" s="1">
        <v>1</v>
      </c>
      <c r="E80">
        <f t="shared" si="0"/>
        <v>100.93968836825839</v>
      </c>
    </row>
    <row r="81" spans="1:5" x14ac:dyDescent="0.4">
      <c r="A81">
        <v>69.182900000000004</v>
      </c>
      <c r="B81">
        <v>108</v>
      </c>
      <c r="C81">
        <v>4666.8540000000003</v>
      </c>
      <c r="D81" s="1">
        <v>1</v>
      </c>
      <c r="E81">
        <f t="shared" si="0"/>
        <v>111.44802232938935</v>
      </c>
    </row>
    <row r="82" spans="1:5" x14ac:dyDescent="0.4">
      <c r="A82">
        <v>69.192899999999995</v>
      </c>
      <c r="B82">
        <v>124</v>
      </c>
      <c r="C82">
        <v>4661.2642999999998</v>
      </c>
      <c r="D82" s="1">
        <v>1</v>
      </c>
      <c r="E82">
        <f t="shared" si="0"/>
        <v>128.1122862739193</v>
      </c>
    </row>
    <row r="83" spans="1:5" x14ac:dyDescent="0.4">
      <c r="A83">
        <v>69.2029</v>
      </c>
      <c r="B83">
        <v>144</v>
      </c>
      <c r="C83">
        <v>4665.7484000000004</v>
      </c>
      <c r="D83" s="1">
        <v>1</v>
      </c>
      <c r="E83">
        <f t="shared" si="0"/>
        <v>148.63257487266137</v>
      </c>
    </row>
    <row r="84" spans="1:5" x14ac:dyDescent="0.4">
      <c r="A84">
        <v>69.212900000000005</v>
      </c>
      <c r="B84">
        <v>146</v>
      </c>
      <c r="C84">
        <v>4672.0610999999999</v>
      </c>
      <c r="D84" s="1">
        <v>1</v>
      </c>
      <c r="E84">
        <f t="shared" si="0"/>
        <v>150.49330061201471</v>
      </c>
    </row>
    <row r="85" spans="1:5" x14ac:dyDescent="0.4">
      <c r="A85">
        <v>69.222899999999996</v>
      </c>
      <c r="B85">
        <v>171</v>
      </c>
      <c r="C85">
        <v>4666.4557000000004</v>
      </c>
      <c r="D85" s="1">
        <v>1</v>
      </c>
      <c r="E85">
        <f t="shared" si="0"/>
        <v>176.47443017620418</v>
      </c>
    </row>
    <row r="86" spans="1:5" x14ac:dyDescent="0.4">
      <c r="A86">
        <v>69.232900000000001</v>
      </c>
      <c r="B86">
        <v>182</v>
      </c>
      <c r="C86">
        <v>4660.8604999999998</v>
      </c>
      <c r="D86" s="1">
        <v>1</v>
      </c>
      <c r="E86">
        <f t="shared" ref="E86:E149" si="1">$A$1*B86/C86</f>
        <v>188.05206575051969</v>
      </c>
    </row>
    <row r="87" spans="1:5" x14ac:dyDescent="0.4">
      <c r="A87">
        <v>69.242900000000006</v>
      </c>
      <c r="B87">
        <v>198</v>
      </c>
      <c r="C87">
        <v>4661.7201999999997</v>
      </c>
      <c r="D87" s="1">
        <v>1</v>
      </c>
      <c r="E87">
        <f t="shared" si="1"/>
        <v>204.54638671793302</v>
      </c>
    </row>
    <row r="88" spans="1:5" x14ac:dyDescent="0.4">
      <c r="A88">
        <v>69.252899999999997</v>
      </c>
      <c r="B88">
        <v>179</v>
      </c>
      <c r="C88">
        <v>4658.6796000000004</v>
      </c>
      <c r="D88" s="1">
        <v>1</v>
      </c>
      <c r="E88">
        <f t="shared" si="1"/>
        <v>185.03888943124571</v>
      </c>
    </row>
    <row r="89" spans="1:5" x14ac:dyDescent="0.4">
      <c r="A89">
        <v>69.262900000000002</v>
      </c>
      <c r="B89">
        <v>212</v>
      </c>
      <c r="C89">
        <v>4652.3382000000001</v>
      </c>
      <c r="D89" s="1">
        <v>1</v>
      </c>
      <c r="E89">
        <f t="shared" si="1"/>
        <v>219.45092108737924</v>
      </c>
    </row>
    <row r="90" spans="1:5" x14ac:dyDescent="0.4">
      <c r="A90">
        <v>69.272900000000007</v>
      </c>
      <c r="B90">
        <v>227</v>
      </c>
      <c r="C90">
        <v>4649.5472</v>
      </c>
      <c r="D90" s="1">
        <v>1</v>
      </c>
      <c r="E90">
        <f t="shared" si="1"/>
        <v>235.11916003347596</v>
      </c>
    </row>
    <row r="91" spans="1:5" x14ac:dyDescent="0.4">
      <c r="A91">
        <v>69.282899999999998</v>
      </c>
      <c r="B91">
        <v>256</v>
      </c>
      <c r="C91">
        <v>4650.1938</v>
      </c>
      <c r="D91" s="1">
        <v>1</v>
      </c>
      <c r="E91">
        <f t="shared" si="1"/>
        <v>265.11954009314621</v>
      </c>
    </row>
    <row r="92" spans="1:5" x14ac:dyDescent="0.4">
      <c r="A92">
        <v>69.292900000000003</v>
      </c>
      <c r="B92">
        <v>279</v>
      </c>
      <c r="C92">
        <v>4648.0010000000002</v>
      </c>
      <c r="D92" s="1">
        <v>1</v>
      </c>
      <c r="E92">
        <f t="shared" si="1"/>
        <v>289.07518724716283</v>
      </c>
    </row>
    <row r="93" spans="1:5" x14ac:dyDescent="0.4">
      <c r="A93">
        <v>69.302899999999994</v>
      </c>
      <c r="B93">
        <v>332</v>
      </c>
      <c r="C93">
        <v>4641.1458000000002</v>
      </c>
      <c r="D93" s="1">
        <v>1</v>
      </c>
      <c r="E93">
        <f t="shared" si="1"/>
        <v>344.4972004973427</v>
      </c>
    </row>
    <row r="94" spans="1:5" x14ac:dyDescent="0.4">
      <c r="A94">
        <v>69.312899999999999</v>
      </c>
      <c r="B94">
        <v>336</v>
      </c>
      <c r="C94">
        <v>4643.0932000000003</v>
      </c>
      <c r="D94" s="1">
        <v>1</v>
      </c>
      <c r="E94">
        <f t="shared" si="1"/>
        <v>348.50153979248142</v>
      </c>
    </row>
    <row r="95" spans="1:5" x14ac:dyDescent="0.4">
      <c r="A95">
        <v>69.322900000000004</v>
      </c>
      <c r="B95">
        <v>411</v>
      </c>
      <c r="C95">
        <v>4645.3597</v>
      </c>
      <c r="D95" s="1">
        <v>1</v>
      </c>
      <c r="E95">
        <f t="shared" si="1"/>
        <v>426.0840715090373</v>
      </c>
    </row>
    <row r="96" spans="1:5" x14ac:dyDescent="0.4">
      <c r="A96">
        <v>69.332899999999995</v>
      </c>
      <c r="B96">
        <v>437</v>
      </c>
      <c r="C96">
        <v>4644.9759000000004</v>
      </c>
      <c r="D96" s="1">
        <v>1</v>
      </c>
      <c r="E96">
        <f t="shared" si="1"/>
        <v>453.07572816470372</v>
      </c>
    </row>
    <row r="97" spans="1:5" x14ac:dyDescent="0.4">
      <c r="A97">
        <v>69.3429</v>
      </c>
      <c r="B97">
        <v>434</v>
      </c>
      <c r="C97">
        <v>4640.6704</v>
      </c>
      <c r="D97" s="1">
        <v>1</v>
      </c>
      <c r="E97">
        <f t="shared" si="1"/>
        <v>450.38283529034948</v>
      </c>
    </row>
    <row r="98" spans="1:5" x14ac:dyDescent="0.4">
      <c r="A98">
        <v>69.352900000000005</v>
      </c>
      <c r="B98">
        <v>473</v>
      </c>
      <c r="C98">
        <v>4639.5208000000002</v>
      </c>
      <c r="D98" s="1">
        <v>1</v>
      </c>
      <c r="E98">
        <f t="shared" si="1"/>
        <v>490.97665168351006</v>
      </c>
    </row>
    <row r="99" spans="1:5" x14ac:dyDescent="0.4">
      <c r="A99">
        <v>69.362899999999996</v>
      </c>
      <c r="B99">
        <v>566</v>
      </c>
      <c r="C99">
        <v>4632.3584000000001</v>
      </c>
      <c r="D99" s="1">
        <v>1</v>
      </c>
      <c r="E99">
        <f t="shared" si="1"/>
        <v>588.41956347764449</v>
      </c>
    </row>
    <row r="100" spans="1:5" x14ac:dyDescent="0.4">
      <c r="A100">
        <v>69.372900000000001</v>
      </c>
      <c r="B100">
        <v>618</v>
      </c>
      <c r="C100">
        <v>4626.8651</v>
      </c>
      <c r="D100" s="1">
        <v>1</v>
      </c>
      <c r="E100">
        <f t="shared" si="1"/>
        <v>643.24210247668555</v>
      </c>
    </row>
    <row r="101" spans="1:5" x14ac:dyDescent="0.4">
      <c r="A101">
        <v>69.382900000000006</v>
      </c>
      <c r="B101">
        <v>725</v>
      </c>
      <c r="C101">
        <v>4622.1511</v>
      </c>
      <c r="D101" s="1">
        <v>1</v>
      </c>
      <c r="E101">
        <f t="shared" si="1"/>
        <v>755.38210661265498</v>
      </c>
    </row>
    <row r="102" spans="1:5" x14ac:dyDescent="0.4">
      <c r="A102">
        <v>69.392899999999997</v>
      </c>
      <c r="B102">
        <v>816</v>
      </c>
      <c r="C102">
        <v>4615.7003999999997</v>
      </c>
      <c r="D102" s="1">
        <v>1</v>
      </c>
      <c r="E102">
        <f t="shared" si="1"/>
        <v>851.38378080171765</v>
      </c>
    </row>
    <row r="103" spans="1:5" x14ac:dyDescent="0.4">
      <c r="A103">
        <v>69.402900000000002</v>
      </c>
      <c r="B103">
        <v>880</v>
      </c>
      <c r="C103">
        <v>4620.0383000000002</v>
      </c>
      <c r="D103" s="1">
        <v>1</v>
      </c>
      <c r="E103">
        <f t="shared" si="1"/>
        <v>917.29689080716059</v>
      </c>
    </row>
    <row r="104" spans="1:5" x14ac:dyDescent="0.4">
      <c r="A104">
        <v>69.412899999999993</v>
      </c>
      <c r="B104">
        <v>986</v>
      </c>
      <c r="C104">
        <v>4618.8567000000003</v>
      </c>
      <c r="D104" s="1">
        <v>1</v>
      </c>
      <c r="E104">
        <f t="shared" si="1"/>
        <v>1028.052400846296</v>
      </c>
    </row>
    <row r="105" spans="1:5" x14ac:dyDescent="0.4">
      <c r="A105">
        <v>69.422899999999998</v>
      </c>
      <c r="B105">
        <v>1225</v>
      </c>
      <c r="C105">
        <v>4618.0617000000002</v>
      </c>
      <c r="D105" s="1">
        <v>1</v>
      </c>
      <c r="E105">
        <f t="shared" si="1"/>
        <v>1277.4655078774715</v>
      </c>
    </row>
    <row r="106" spans="1:5" x14ac:dyDescent="0.4">
      <c r="A106">
        <v>69.432900000000004</v>
      </c>
      <c r="B106">
        <v>1395</v>
      </c>
      <c r="C106">
        <v>4617.5385999999999</v>
      </c>
      <c r="D106" s="1">
        <v>1</v>
      </c>
      <c r="E106">
        <f t="shared" si="1"/>
        <v>1454.9112371253377</v>
      </c>
    </row>
    <row r="107" spans="1:5" x14ac:dyDescent="0.4">
      <c r="A107">
        <v>69.442899999999995</v>
      </c>
      <c r="B107">
        <v>1576</v>
      </c>
      <c r="C107">
        <v>4618.9838</v>
      </c>
      <c r="D107" s="1">
        <v>1</v>
      </c>
      <c r="E107">
        <f t="shared" si="1"/>
        <v>1643.1703860056839</v>
      </c>
    </row>
    <row r="108" spans="1:5" x14ac:dyDescent="0.4">
      <c r="A108">
        <v>69.4529</v>
      </c>
      <c r="B108">
        <v>1654</v>
      </c>
      <c r="C108">
        <v>4611.0182999999997</v>
      </c>
      <c r="D108" s="1">
        <v>1</v>
      </c>
      <c r="E108">
        <f t="shared" si="1"/>
        <v>1727.4738606871285</v>
      </c>
    </row>
    <row r="109" spans="1:5" x14ac:dyDescent="0.4">
      <c r="A109">
        <v>69.462900000000005</v>
      </c>
      <c r="B109">
        <v>2060</v>
      </c>
      <c r="C109">
        <v>4605.1027999999997</v>
      </c>
      <c r="D109" s="1">
        <v>1</v>
      </c>
      <c r="E109">
        <f t="shared" si="1"/>
        <v>2154.2728896301733</v>
      </c>
    </row>
    <row r="110" spans="1:5" x14ac:dyDescent="0.4">
      <c r="A110">
        <v>69.472899999999996</v>
      </c>
      <c r="B110">
        <v>2455</v>
      </c>
      <c r="C110">
        <v>4601.174</v>
      </c>
      <c r="D110" s="1">
        <v>1</v>
      </c>
      <c r="E110">
        <f t="shared" si="1"/>
        <v>2569.5416676265668</v>
      </c>
    </row>
    <row r="111" spans="1:5" x14ac:dyDescent="0.4">
      <c r="A111">
        <v>69.482900000000001</v>
      </c>
      <c r="B111">
        <v>3139</v>
      </c>
      <c r="C111">
        <v>4599.0684000000001</v>
      </c>
      <c r="D111" s="1">
        <v>1</v>
      </c>
      <c r="E111">
        <f t="shared" si="1"/>
        <v>3286.9588883261663</v>
      </c>
    </row>
    <row r="112" spans="1:5" x14ac:dyDescent="0.4">
      <c r="A112">
        <v>69.492900000000006</v>
      </c>
      <c r="B112">
        <v>3893</v>
      </c>
      <c r="C112">
        <v>4601.1387999999997</v>
      </c>
      <c r="D112" s="1">
        <v>1</v>
      </c>
      <c r="E112">
        <f t="shared" si="1"/>
        <v>4074.6648633594805</v>
      </c>
    </row>
    <row r="113" spans="1:5" x14ac:dyDescent="0.4">
      <c r="A113">
        <v>69.502899999999997</v>
      </c>
      <c r="B113">
        <v>4831</v>
      </c>
      <c r="C113">
        <v>4598.6517999999996</v>
      </c>
      <c r="D113" s="1">
        <v>1</v>
      </c>
      <c r="E113">
        <f t="shared" si="1"/>
        <v>5059.1707305606405</v>
      </c>
    </row>
    <row r="114" spans="1:5" x14ac:dyDescent="0.4">
      <c r="A114">
        <v>69.512900000000002</v>
      </c>
      <c r="B114">
        <v>6525</v>
      </c>
      <c r="C114">
        <v>4597.3395</v>
      </c>
      <c r="D114" s="1">
        <v>1</v>
      </c>
      <c r="E114">
        <f t="shared" si="1"/>
        <v>6835.1297777769078</v>
      </c>
    </row>
    <row r="115" spans="1:5" x14ac:dyDescent="0.4">
      <c r="A115">
        <v>69.522900000000007</v>
      </c>
      <c r="B115">
        <v>8735</v>
      </c>
      <c r="C115">
        <v>4596.0486000000001</v>
      </c>
      <c r="D115" s="1">
        <v>1</v>
      </c>
      <c r="E115">
        <f t="shared" si="1"/>
        <v>9152.7399255525725</v>
      </c>
    </row>
    <row r="116" spans="1:5" x14ac:dyDescent="0.4">
      <c r="A116">
        <v>69.532899999999998</v>
      </c>
      <c r="B116">
        <v>12006</v>
      </c>
      <c r="C116">
        <v>4596.2578999999996</v>
      </c>
      <c r="D116" s="1">
        <v>1</v>
      </c>
      <c r="E116">
        <f t="shared" si="1"/>
        <v>12579.598349257123</v>
      </c>
    </row>
    <row r="117" spans="1:5" x14ac:dyDescent="0.4">
      <c r="A117">
        <v>69.542900000000003</v>
      </c>
      <c r="B117">
        <v>17553</v>
      </c>
      <c r="C117">
        <v>4596.9268000000002</v>
      </c>
      <c r="D117" s="1">
        <v>1</v>
      </c>
      <c r="E117">
        <f t="shared" si="1"/>
        <v>18388.935511394266</v>
      </c>
    </row>
    <row r="118" spans="1:5" x14ac:dyDescent="0.4">
      <c r="A118">
        <v>69.552899999999994</v>
      </c>
      <c r="B118">
        <v>28492</v>
      </c>
      <c r="C118">
        <v>4589.6932999999999</v>
      </c>
      <c r="D118" s="1">
        <v>1</v>
      </c>
      <c r="E118">
        <f t="shared" si="1"/>
        <v>29895.931894011304</v>
      </c>
    </row>
    <row r="119" spans="1:5" x14ac:dyDescent="0.4">
      <c r="A119">
        <v>69.562899999999999</v>
      </c>
      <c r="B119">
        <v>54883</v>
      </c>
      <c r="C119">
        <v>4583.9002</v>
      </c>
      <c r="D119" s="1">
        <v>1</v>
      </c>
      <c r="E119">
        <f t="shared" si="1"/>
        <v>57660.116316188563</v>
      </c>
    </row>
    <row r="120" spans="1:5" x14ac:dyDescent="0.4">
      <c r="A120">
        <v>69.572900000000004</v>
      </c>
      <c r="B120">
        <v>163896</v>
      </c>
      <c r="C120">
        <v>4577.2021999999997</v>
      </c>
      <c r="D120" s="1">
        <v>1</v>
      </c>
      <c r="E120">
        <f t="shared" si="1"/>
        <v>172441.21794435914</v>
      </c>
    </row>
    <row r="121" spans="1:5" x14ac:dyDescent="0.4">
      <c r="A121">
        <v>69.582899999999995</v>
      </c>
      <c r="B121">
        <v>3265801</v>
      </c>
      <c r="C121">
        <v>4575.8635999999997</v>
      </c>
      <c r="D121" s="1">
        <v>1</v>
      </c>
      <c r="E121">
        <f t="shared" si="1"/>
        <v>3437078.6694185119</v>
      </c>
    </row>
    <row r="122" spans="1:5" x14ac:dyDescent="0.4">
      <c r="A122">
        <v>69.5929</v>
      </c>
      <c r="B122">
        <v>10193202</v>
      </c>
      <c r="C122">
        <v>4573.8726999999999</v>
      </c>
      <c r="D122" s="1">
        <v>1</v>
      </c>
      <c r="E122">
        <f t="shared" si="1"/>
        <v>10732462.576235933</v>
      </c>
    </row>
    <row r="123" spans="1:5" x14ac:dyDescent="0.4">
      <c r="A123">
        <v>69.602900000000005</v>
      </c>
      <c r="B123">
        <v>3200508</v>
      </c>
      <c r="C123">
        <v>4574.6256999999996</v>
      </c>
      <c r="D123" s="1">
        <v>1</v>
      </c>
      <c r="E123">
        <f t="shared" si="1"/>
        <v>3369272.8065355821</v>
      </c>
    </row>
    <row r="124" spans="1:5" x14ac:dyDescent="0.4">
      <c r="A124">
        <v>69.612899999999996</v>
      </c>
      <c r="B124">
        <v>148269</v>
      </c>
      <c r="C124">
        <v>4574.0033000000003</v>
      </c>
      <c r="D124" s="1">
        <v>1</v>
      </c>
      <c r="E124">
        <f t="shared" si="1"/>
        <v>156108.55726173174</v>
      </c>
    </row>
    <row r="125" spans="1:5" x14ac:dyDescent="0.4">
      <c r="A125">
        <v>69.622900000000001</v>
      </c>
      <c r="B125">
        <v>56015</v>
      </c>
      <c r="C125">
        <v>4572.0793999999996</v>
      </c>
      <c r="D125" s="1">
        <v>1</v>
      </c>
      <c r="E125">
        <f t="shared" si="1"/>
        <v>59001.547376670671</v>
      </c>
    </row>
    <row r="126" spans="1:5" x14ac:dyDescent="0.4">
      <c r="A126">
        <v>69.632900000000006</v>
      </c>
      <c r="B126">
        <v>30006</v>
      </c>
      <c r="C126">
        <v>4571.1509999999998</v>
      </c>
      <c r="D126" s="1">
        <v>1</v>
      </c>
      <c r="E126">
        <f t="shared" si="1"/>
        <v>31612.246694891506</v>
      </c>
    </row>
    <row r="127" spans="1:5" x14ac:dyDescent="0.4">
      <c r="A127">
        <v>69.642899999999997</v>
      </c>
      <c r="B127">
        <v>18619</v>
      </c>
      <c r="C127">
        <v>4566.7516999999998</v>
      </c>
      <c r="D127" s="1">
        <v>1</v>
      </c>
      <c r="E127">
        <f t="shared" si="1"/>
        <v>19634.587333355568</v>
      </c>
    </row>
    <row r="128" spans="1:5" x14ac:dyDescent="0.4">
      <c r="A128">
        <v>69.652900000000002</v>
      </c>
      <c r="B128">
        <v>12708</v>
      </c>
      <c r="C128">
        <v>4561.9633999999996</v>
      </c>
      <c r="D128" s="1">
        <v>1</v>
      </c>
      <c r="E128">
        <f t="shared" si="1"/>
        <v>13415.233451631813</v>
      </c>
    </row>
    <row r="129" spans="1:5" x14ac:dyDescent="0.4">
      <c r="A129">
        <v>69.662899999999993</v>
      </c>
      <c r="B129">
        <v>9375</v>
      </c>
      <c r="C129">
        <v>4559.1904999999997</v>
      </c>
      <c r="D129" s="1">
        <v>1</v>
      </c>
      <c r="E129">
        <f t="shared" si="1"/>
        <v>9902.762480532454</v>
      </c>
    </row>
    <row r="130" spans="1:5" x14ac:dyDescent="0.4">
      <c r="A130">
        <v>69.672899999999998</v>
      </c>
      <c r="B130">
        <v>7292</v>
      </c>
      <c r="C130">
        <v>4560.5284000000001</v>
      </c>
      <c r="D130" s="1">
        <v>1</v>
      </c>
      <c r="E130">
        <f t="shared" si="1"/>
        <v>7700.2410490854518</v>
      </c>
    </row>
    <row r="131" spans="1:5" x14ac:dyDescent="0.4">
      <c r="A131">
        <v>69.682900000000004</v>
      </c>
      <c r="B131">
        <v>5774</v>
      </c>
      <c r="C131">
        <v>4555.9822999999997</v>
      </c>
      <c r="D131" s="1">
        <v>1</v>
      </c>
      <c r="E131">
        <f t="shared" si="1"/>
        <v>6103.3401768044632</v>
      </c>
    </row>
    <row r="132" spans="1:5" x14ac:dyDescent="0.4">
      <c r="A132">
        <v>69.692899999999995</v>
      </c>
      <c r="B132">
        <v>4775</v>
      </c>
      <c r="C132">
        <v>4549.6217999999999</v>
      </c>
      <c r="D132" s="1">
        <v>1</v>
      </c>
      <c r="E132">
        <f t="shared" si="1"/>
        <v>5054.4150867661137</v>
      </c>
    </row>
    <row r="133" spans="1:5" x14ac:dyDescent="0.4">
      <c r="A133">
        <v>69.7029</v>
      </c>
      <c r="B133">
        <v>3978</v>
      </c>
      <c r="C133">
        <v>4549.4335000000001</v>
      </c>
      <c r="D133" s="1">
        <v>1</v>
      </c>
      <c r="E133">
        <f t="shared" si="1"/>
        <v>4210.9519197939708</v>
      </c>
    </row>
    <row r="134" spans="1:5" x14ac:dyDescent="0.4">
      <c r="A134">
        <v>69.712900000000005</v>
      </c>
      <c r="B134">
        <v>3276</v>
      </c>
      <c r="C134">
        <v>4549.9566000000004</v>
      </c>
      <c r="D134" s="1">
        <v>1</v>
      </c>
      <c r="E134">
        <f t="shared" si="1"/>
        <v>3467.4440660818609</v>
      </c>
    </row>
    <row r="135" spans="1:5" x14ac:dyDescent="0.4">
      <c r="A135">
        <v>69.722899999999996</v>
      </c>
      <c r="B135">
        <v>2666</v>
      </c>
      <c r="C135">
        <v>4549.3753999999999</v>
      </c>
      <c r="D135" s="1">
        <v>1</v>
      </c>
      <c r="E135">
        <f t="shared" si="1"/>
        <v>2822.1571619699712</v>
      </c>
    </row>
    <row r="136" spans="1:5" x14ac:dyDescent="0.4">
      <c r="A136">
        <v>69.732900000000001</v>
      </c>
      <c r="B136">
        <v>2457</v>
      </c>
      <c r="C136">
        <v>4549.8059999999996</v>
      </c>
      <c r="D136" s="1">
        <v>1</v>
      </c>
      <c r="E136">
        <f t="shared" si="1"/>
        <v>2600.6691296727822</v>
      </c>
    </row>
    <row r="137" spans="1:5" x14ac:dyDescent="0.4">
      <c r="A137">
        <v>69.742900000000006</v>
      </c>
      <c r="B137">
        <v>2062</v>
      </c>
      <c r="C137">
        <v>4544.7776999999996</v>
      </c>
      <c r="D137" s="1">
        <v>1</v>
      </c>
      <c r="E137">
        <f t="shared" si="1"/>
        <v>2184.9869165657983</v>
      </c>
    </row>
    <row r="138" spans="1:5" x14ac:dyDescent="0.4">
      <c r="A138">
        <v>69.752899999999997</v>
      </c>
      <c r="B138">
        <v>1857</v>
      </c>
      <c r="C138">
        <v>4534.7977000000001</v>
      </c>
      <c r="D138" s="1">
        <v>1</v>
      </c>
      <c r="E138">
        <f t="shared" si="1"/>
        <v>1972.0903647366674</v>
      </c>
    </row>
    <row r="139" spans="1:5" x14ac:dyDescent="0.4">
      <c r="A139">
        <v>69.762900000000002</v>
      </c>
      <c r="B139">
        <v>1656</v>
      </c>
      <c r="C139">
        <v>4526.91</v>
      </c>
      <c r="D139" s="1">
        <v>1</v>
      </c>
      <c r="E139">
        <f t="shared" si="1"/>
        <v>1761.6973347382652</v>
      </c>
    </row>
    <row r="140" spans="1:5" x14ac:dyDescent="0.4">
      <c r="A140">
        <v>69.772900000000007</v>
      </c>
      <c r="B140">
        <v>1438</v>
      </c>
      <c r="C140">
        <v>4529.9892</v>
      </c>
      <c r="D140" s="1">
        <v>1</v>
      </c>
      <c r="E140">
        <f t="shared" si="1"/>
        <v>1528.7432223458725</v>
      </c>
    </row>
    <row r="141" spans="1:5" x14ac:dyDescent="0.4">
      <c r="A141">
        <v>69.782899999999998</v>
      </c>
      <c r="B141">
        <v>1283</v>
      </c>
      <c r="C141">
        <v>4540.9587000000001</v>
      </c>
      <c r="D141" s="1">
        <v>1</v>
      </c>
      <c r="E141">
        <f t="shared" si="1"/>
        <v>1360.667242756469</v>
      </c>
    </row>
    <row r="142" spans="1:5" x14ac:dyDescent="0.4">
      <c r="A142">
        <v>69.792900000000003</v>
      </c>
      <c r="B142">
        <v>1155</v>
      </c>
      <c r="C142">
        <v>4548.7281000000003</v>
      </c>
      <c r="D142" s="1">
        <v>1</v>
      </c>
      <c r="E142">
        <f t="shared" si="1"/>
        <v>1222.8264716459971</v>
      </c>
    </row>
    <row r="143" spans="1:5" x14ac:dyDescent="0.4">
      <c r="A143">
        <v>69.802899999999994</v>
      </c>
      <c r="B143">
        <v>1066</v>
      </c>
      <c r="C143">
        <v>4541.7120000000004</v>
      </c>
      <c r="D143" s="1">
        <v>1</v>
      </c>
      <c r="E143">
        <f t="shared" si="1"/>
        <v>1130.3434932906357</v>
      </c>
    </row>
    <row r="144" spans="1:5" x14ac:dyDescent="0.4">
      <c r="A144">
        <v>69.812899999999999</v>
      </c>
      <c r="B144">
        <v>975</v>
      </c>
      <c r="C144">
        <v>4528.3087999999998</v>
      </c>
      <c r="D144" s="1">
        <v>1</v>
      </c>
      <c r="E144">
        <f t="shared" si="1"/>
        <v>1036.910818670317</v>
      </c>
    </row>
    <row r="145" spans="1:5" x14ac:dyDescent="0.4">
      <c r="A145">
        <v>69.822900000000004</v>
      </c>
      <c r="B145">
        <v>863</v>
      </c>
      <c r="C145">
        <v>4516.1889000000001</v>
      </c>
      <c r="D145" s="1">
        <v>1</v>
      </c>
      <c r="E145">
        <f t="shared" si="1"/>
        <v>920.26206915304181</v>
      </c>
    </row>
    <row r="146" spans="1:5" x14ac:dyDescent="0.4">
      <c r="A146">
        <v>69.832899999999995</v>
      </c>
      <c r="B146">
        <v>839</v>
      </c>
      <c r="C146">
        <v>4519.4915000000001</v>
      </c>
      <c r="D146" s="1">
        <v>1</v>
      </c>
      <c r="E146">
        <f t="shared" si="1"/>
        <v>894.0158368258908</v>
      </c>
    </row>
    <row r="147" spans="1:5" x14ac:dyDescent="0.4">
      <c r="A147">
        <v>69.8429</v>
      </c>
      <c r="B147">
        <v>786</v>
      </c>
      <c r="C147">
        <v>4516.6476000000002</v>
      </c>
      <c r="D147" s="1">
        <v>1</v>
      </c>
      <c r="E147">
        <f t="shared" si="1"/>
        <v>838.06781817558669</v>
      </c>
    </row>
    <row r="148" spans="1:5" x14ac:dyDescent="0.4">
      <c r="A148">
        <v>69.852900000000005</v>
      </c>
      <c r="B148">
        <v>656</v>
      </c>
      <c r="C148">
        <v>4520.3966</v>
      </c>
      <c r="D148" s="1">
        <v>1</v>
      </c>
      <c r="E148">
        <f t="shared" si="1"/>
        <v>698.87599720785568</v>
      </c>
    </row>
    <row r="149" spans="1:5" x14ac:dyDescent="0.4">
      <c r="A149">
        <v>69.862899999999996</v>
      </c>
      <c r="B149">
        <v>630</v>
      </c>
      <c r="C149">
        <v>4518.3959999999997</v>
      </c>
      <c r="D149" s="1">
        <v>1</v>
      </c>
      <c r="E149">
        <f t="shared" si="1"/>
        <v>671.47381902781444</v>
      </c>
    </row>
    <row r="150" spans="1:5" x14ac:dyDescent="0.4">
      <c r="A150">
        <v>69.872900000000001</v>
      </c>
      <c r="B150">
        <v>645</v>
      </c>
      <c r="C150">
        <v>4510.4489999999996</v>
      </c>
      <c r="D150" s="1">
        <v>1</v>
      </c>
      <c r="E150">
        <f t="shared" ref="E150:E213" si="2">$A$1*B150/C150</f>
        <v>688.67253504030316</v>
      </c>
    </row>
    <row r="151" spans="1:5" x14ac:dyDescent="0.4">
      <c r="A151">
        <v>69.882900000000006</v>
      </c>
      <c r="B151">
        <v>607</v>
      </c>
      <c r="C151">
        <v>4506.6203999999998</v>
      </c>
      <c r="D151" s="1">
        <v>1</v>
      </c>
      <c r="E151">
        <f t="shared" si="2"/>
        <v>648.65017257721559</v>
      </c>
    </row>
    <row r="152" spans="1:5" x14ac:dyDescent="0.4">
      <c r="A152">
        <v>69.892899999999997</v>
      </c>
      <c r="B152">
        <v>524</v>
      </c>
      <c r="C152">
        <v>4502.7285000000002</v>
      </c>
      <c r="D152" s="1">
        <v>1</v>
      </c>
      <c r="E152">
        <f t="shared" si="2"/>
        <v>560.43900190739896</v>
      </c>
    </row>
    <row r="153" spans="1:5" x14ac:dyDescent="0.4">
      <c r="A153">
        <v>69.902900000000002</v>
      </c>
      <c r="B153">
        <v>483</v>
      </c>
      <c r="C153">
        <v>4504.2965000000004</v>
      </c>
      <c r="D153" s="1">
        <v>1</v>
      </c>
      <c r="E153">
        <f t="shared" si="2"/>
        <v>516.40802815711618</v>
      </c>
    </row>
    <row r="154" spans="1:5" x14ac:dyDescent="0.4">
      <c r="A154">
        <v>69.912899999999993</v>
      </c>
      <c r="B154">
        <v>476</v>
      </c>
      <c r="C154">
        <v>4507.7097999999996</v>
      </c>
      <c r="D154" s="1">
        <v>1</v>
      </c>
      <c r="E154">
        <f t="shared" si="2"/>
        <v>508.53848967828412</v>
      </c>
    </row>
    <row r="155" spans="1:5" x14ac:dyDescent="0.4">
      <c r="A155">
        <v>69.922899999999998</v>
      </c>
      <c r="B155">
        <v>436</v>
      </c>
      <c r="C155">
        <v>4498.8077000000003</v>
      </c>
      <c r="D155" s="1">
        <v>1</v>
      </c>
      <c r="E155">
        <f t="shared" si="2"/>
        <v>466.72588152634302</v>
      </c>
    </row>
    <row r="156" spans="1:5" x14ac:dyDescent="0.4">
      <c r="A156">
        <v>69.932900000000004</v>
      </c>
      <c r="B156">
        <v>425</v>
      </c>
      <c r="C156">
        <v>4490.9875000000002</v>
      </c>
      <c r="D156" s="1">
        <v>1</v>
      </c>
      <c r="E156">
        <f t="shared" si="2"/>
        <v>455.74289730265338</v>
      </c>
    </row>
    <row r="157" spans="1:5" x14ac:dyDescent="0.4">
      <c r="A157">
        <v>69.942899999999995</v>
      </c>
      <c r="B157">
        <v>372</v>
      </c>
      <c r="C157">
        <v>4490.9865</v>
      </c>
      <c r="D157" s="1">
        <v>1</v>
      </c>
      <c r="E157">
        <f t="shared" si="2"/>
        <v>398.90916599281695</v>
      </c>
    </row>
    <row r="158" spans="1:5" x14ac:dyDescent="0.4">
      <c r="A158">
        <v>69.9529</v>
      </c>
      <c r="B158">
        <v>349</v>
      </c>
      <c r="C158">
        <v>4490.6720999999998</v>
      </c>
      <c r="D158" s="1">
        <v>1</v>
      </c>
      <c r="E158">
        <f t="shared" si="2"/>
        <v>374.27162882812132</v>
      </c>
    </row>
    <row r="159" spans="1:5" x14ac:dyDescent="0.4">
      <c r="A159">
        <v>69.962900000000005</v>
      </c>
      <c r="B159">
        <v>350</v>
      </c>
      <c r="C159">
        <v>4498.7147999999997</v>
      </c>
      <c r="D159" s="1">
        <v>1</v>
      </c>
      <c r="E159">
        <f t="shared" si="2"/>
        <v>374.67300883354511</v>
      </c>
    </row>
    <row r="160" spans="1:5" x14ac:dyDescent="0.4">
      <c r="A160">
        <v>69.972899999999996</v>
      </c>
      <c r="B160">
        <v>360</v>
      </c>
      <c r="C160">
        <v>4492.6812</v>
      </c>
      <c r="D160" s="1">
        <v>1</v>
      </c>
      <c r="E160">
        <f t="shared" si="2"/>
        <v>385.89550845495114</v>
      </c>
    </row>
    <row r="161" spans="1:5" x14ac:dyDescent="0.4">
      <c r="A161">
        <v>69.982900000000001</v>
      </c>
      <c r="B161">
        <v>325</v>
      </c>
      <c r="C161">
        <v>4490.0217000000002</v>
      </c>
      <c r="D161" s="1">
        <v>1</v>
      </c>
      <c r="E161">
        <f t="shared" si="2"/>
        <v>348.58423846815708</v>
      </c>
    </row>
    <row r="162" spans="1:5" x14ac:dyDescent="0.4">
      <c r="A162">
        <v>69.992900000000006</v>
      </c>
      <c r="B162">
        <v>305</v>
      </c>
      <c r="C162">
        <v>4492.0168999999996</v>
      </c>
      <c r="D162" s="1">
        <v>1</v>
      </c>
      <c r="E162">
        <f t="shared" si="2"/>
        <v>326.98759949010883</v>
      </c>
    </row>
    <row r="163" spans="1:5" x14ac:dyDescent="0.4">
      <c r="A163">
        <v>70.002899999999997</v>
      </c>
      <c r="B163">
        <v>290</v>
      </c>
      <c r="C163">
        <v>4491.4521999999997</v>
      </c>
      <c r="D163" s="1">
        <v>1</v>
      </c>
      <c r="E163">
        <f t="shared" si="2"/>
        <v>310.9453316680071</v>
      </c>
    </row>
    <row r="164" spans="1:5" x14ac:dyDescent="0.4">
      <c r="A164">
        <v>70.012900000000002</v>
      </c>
      <c r="B164">
        <v>292</v>
      </c>
      <c r="C164">
        <v>4480.7604000000001</v>
      </c>
      <c r="D164" s="1">
        <v>1</v>
      </c>
      <c r="E164">
        <f t="shared" si="2"/>
        <v>313.83686376089202</v>
      </c>
    </row>
    <row r="165" spans="1:5" x14ac:dyDescent="0.4">
      <c r="A165">
        <v>70.022900000000007</v>
      </c>
      <c r="B165">
        <v>245</v>
      </c>
      <c r="C165">
        <v>4471.6633000000002</v>
      </c>
      <c r="D165" s="1">
        <v>1</v>
      </c>
      <c r="E165">
        <f t="shared" si="2"/>
        <v>263.85772537927892</v>
      </c>
    </row>
    <row r="166" spans="1:5" x14ac:dyDescent="0.4">
      <c r="A166">
        <v>70.032899999999998</v>
      </c>
      <c r="B166">
        <v>239</v>
      </c>
      <c r="C166">
        <v>4461.8891999999996</v>
      </c>
      <c r="D166" s="1">
        <v>1</v>
      </c>
      <c r="E166">
        <f t="shared" si="2"/>
        <v>257.95974839536581</v>
      </c>
    </row>
    <row r="167" spans="1:5" x14ac:dyDescent="0.4">
      <c r="A167">
        <v>70.042900000000003</v>
      </c>
      <c r="B167">
        <v>231</v>
      </c>
      <c r="C167">
        <v>4464.0226000000002</v>
      </c>
      <c r="D167" s="1">
        <v>1</v>
      </c>
      <c r="E167">
        <f t="shared" si="2"/>
        <v>249.20595755944424</v>
      </c>
    </row>
    <row r="168" spans="1:5" x14ac:dyDescent="0.4">
      <c r="A168">
        <v>70.052899999999994</v>
      </c>
      <c r="B168">
        <v>214</v>
      </c>
      <c r="C168">
        <v>4470.0637999999999</v>
      </c>
      <c r="D168" s="1">
        <v>1</v>
      </c>
      <c r="E168">
        <f t="shared" si="2"/>
        <v>230.55411432830113</v>
      </c>
    </row>
    <row r="169" spans="1:5" x14ac:dyDescent="0.4">
      <c r="A169">
        <v>70.062899999999999</v>
      </c>
      <c r="B169">
        <v>218</v>
      </c>
      <c r="C169">
        <v>4474.2542999999996</v>
      </c>
      <c r="D169" s="1">
        <v>1</v>
      </c>
      <c r="E169">
        <f t="shared" si="2"/>
        <v>234.64356838188658</v>
      </c>
    </row>
    <row r="170" spans="1:5" x14ac:dyDescent="0.4">
      <c r="A170">
        <v>70.072900000000004</v>
      </c>
      <c r="B170">
        <v>216</v>
      </c>
      <c r="C170">
        <v>4478.6436000000003</v>
      </c>
      <c r="D170" s="1">
        <v>1</v>
      </c>
      <c r="E170">
        <f t="shared" si="2"/>
        <v>232.26302213464808</v>
      </c>
    </row>
    <row r="171" spans="1:5" x14ac:dyDescent="0.4">
      <c r="A171">
        <v>70.082899999999995</v>
      </c>
      <c r="B171">
        <v>187</v>
      </c>
      <c r="C171">
        <v>4471.5420000000004</v>
      </c>
      <c r="D171" s="1">
        <v>1</v>
      </c>
      <c r="E171">
        <f t="shared" si="2"/>
        <v>201.39891075606582</v>
      </c>
    </row>
    <row r="172" spans="1:5" x14ac:dyDescent="0.4">
      <c r="A172">
        <v>70.0929</v>
      </c>
      <c r="B172">
        <v>196</v>
      </c>
      <c r="C172">
        <v>4461.5222000000003</v>
      </c>
      <c r="D172" s="1">
        <v>1</v>
      </c>
      <c r="E172">
        <f t="shared" si="2"/>
        <v>211.56598203187244</v>
      </c>
    </row>
    <row r="173" spans="1:5" x14ac:dyDescent="0.4">
      <c r="A173">
        <v>70.102900000000005</v>
      </c>
      <c r="B173">
        <v>169</v>
      </c>
      <c r="C173">
        <v>4454.9506000000001</v>
      </c>
      <c r="D173" s="1">
        <v>1</v>
      </c>
      <c r="E173">
        <f t="shared" si="2"/>
        <v>182.69078301339638</v>
      </c>
    </row>
    <row r="174" spans="1:5" x14ac:dyDescent="0.4">
      <c r="A174">
        <v>70.112899999999996</v>
      </c>
      <c r="B174">
        <v>204</v>
      </c>
      <c r="C174">
        <v>4451.0848999999998</v>
      </c>
      <c r="D174" s="1">
        <v>1</v>
      </c>
      <c r="E174">
        <f t="shared" si="2"/>
        <v>220.71767590863075</v>
      </c>
    </row>
    <row r="175" spans="1:5" x14ac:dyDescent="0.4">
      <c r="A175">
        <v>70.122900000000001</v>
      </c>
      <c r="B175">
        <v>153</v>
      </c>
      <c r="C175">
        <v>4457.1945999999998</v>
      </c>
      <c r="D175" s="1">
        <v>1</v>
      </c>
      <c r="E175">
        <f t="shared" si="2"/>
        <v>165.31134534713831</v>
      </c>
    </row>
    <row r="176" spans="1:5" x14ac:dyDescent="0.4">
      <c r="A176">
        <v>70.132900000000006</v>
      </c>
      <c r="B176">
        <v>155</v>
      </c>
      <c r="C176">
        <v>4457.4022999999997</v>
      </c>
      <c r="D176" s="1">
        <v>1</v>
      </c>
      <c r="E176">
        <f t="shared" si="2"/>
        <v>167.46447431949323</v>
      </c>
    </row>
    <row r="177" spans="1:5" x14ac:dyDescent="0.4">
      <c r="A177">
        <v>70.142899999999997</v>
      </c>
      <c r="B177">
        <v>138</v>
      </c>
      <c r="C177">
        <v>4450.4776000000002</v>
      </c>
      <c r="D177" s="1">
        <v>1</v>
      </c>
      <c r="E177">
        <f t="shared" si="2"/>
        <v>149.32939035576766</v>
      </c>
    </row>
    <row r="178" spans="1:5" x14ac:dyDescent="0.4">
      <c r="A178">
        <v>70.152900000000002</v>
      </c>
      <c r="B178">
        <v>150</v>
      </c>
      <c r="C178">
        <v>4451.2709999999997</v>
      </c>
      <c r="D178" s="1">
        <v>1</v>
      </c>
      <c r="E178">
        <f t="shared" si="2"/>
        <v>162.28562358930742</v>
      </c>
    </row>
    <row r="179" spans="1:5" x14ac:dyDescent="0.4">
      <c r="A179">
        <v>70.162899999999993</v>
      </c>
      <c r="B179">
        <v>132</v>
      </c>
      <c r="C179">
        <v>4449.5424999999996</v>
      </c>
      <c r="D179" s="1">
        <v>1</v>
      </c>
      <c r="E179">
        <f t="shared" si="2"/>
        <v>142.86682624112481</v>
      </c>
    </row>
    <row r="180" spans="1:5" x14ac:dyDescent="0.4">
      <c r="A180">
        <v>70.172899999999998</v>
      </c>
      <c r="B180">
        <v>142</v>
      </c>
      <c r="C180">
        <v>4444.2673999999997</v>
      </c>
      <c r="D180" s="1">
        <v>1</v>
      </c>
      <c r="E180">
        <f t="shared" si="2"/>
        <v>153.87249228073003</v>
      </c>
    </row>
    <row r="181" spans="1:5" x14ac:dyDescent="0.4">
      <c r="A181">
        <v>70.182900000000004</v>
      </c>
      <c r="B181">
        <v>137</v>
      </c>
      <c r="C181">
        <v>4445.1985000000004</v>
      </c>
      <c r="D181" s="1">
        <v>1</v>
      </c>
      <c r="E181">
        <f t="shared" si="2"/>
        <v>148.42335121817393</v>
      </c>
    </row>
    <row r="182" spans="1:5" x14ac:dyDescent="0.4">
      <c r="A182">
        <v>70.192899999999995</v>
      </c>
      <c r="B182">
        <v>114</v>
      </c>
      <c r="C182">
        <v>4445.3546999999999</v>
      </c>
      <c r="D182" s="1">
        <v>1</v>
      </c>
      <c r="E182">
        <f t="shared" si="2"/>
        <v>123.50122261334963</v>
      </c>
    </row>
    <row r="183" spans="1:5" x14ac:dyDescent="0.4">
      <c r="A183">
        <v>70.2029</v>
      </c>
      <c r="B183">
        <v>131</v>
      </c>
      <c r="C183">
        <v>4445.8942999999999</v>
      </c>
      <c r="D183" s="1">
        <v>1</v>
      </c>
      <c r="E183">
        <f t="shared" si="2"/>
        <v>141.90084694546158</v>
      </c>
    </row>
    <row r="184" spans="1:5" x14ac:dyDescent="0.4">
      <c r="A184">
        <v>70.212900000000005</v>
      </c>
      <c r="B184">
        <v>112</v>
      </c>
      <c r="C184">
        <v>4434.7821000000004</v>
      </c>
      <c r="D184" s="1">
        <v>1</v>
      </c>
      <c r="E184">
        <f t="shared" si="2"/>
        <v>121.62379820194549</v>
      </c>
    </row>
    <row r="185" spans="1:5" x14ac:dyDescent="0.4">
      <c r="A185">
        <v>70.222899999999996</v>
      </c>
      <c r="B185">
        <v>106</v>
      </c>
      <c r="C185">
        <v>4428.6169</v>
      </c>
      <c r="D185" s="1">
        <v>1</v>
      </c>
      <c r="E185">
        <f t="shared" si="2"/>
        <v>115.26848294328643</v>
      </c>
    </row>
    <row r="186" spans="1:5" x14ac:dyDescent="0.4">
      <c r="A186">
        <v>70.232900000000001</v>
      </c>
      <c r="B186">
        <v>91</v>
      </c>
      <c r="C186">
        <v>4429.0322999999999</v>
      </c>
      <c r="D186" s="1">
        <v>1</v>
      </c>
      <c r="E186">
        <f t="shared" si="2"/>
        <v>98.94762397646096</v>
      </c>
    </row>
    <row r="187" spans="1:5" x14ac:dyDescent="0.4">
      <c r="A187">
        <v>70.242900000000006</v>
      </c>
      <c r="B187">
        <v>96</v>
      </c>
      <c r="C187">
        <v>4431.8089</v>
      </c>
      <c r="D187" s="1">
        <v>1</v>
      </c>
      <c r="E187">
        <f t="shared" si="2"/>
        <v>104.31890815508764</v>
      </c>
    </row>
    <row r="188" spans="1:5" x14ac:dyDescent="0.4">
      <c r="A188">
        <v>70.252899999999997</v>
      </c>
      <c r="B188">
        <v>96</v>
      </c>
      <c r="C188">
        <v>4435.6741000000002</v>
      </c>
      <c r="D188" s="1">
        <v>1</v>
      </c>
      <c r="E188">
        <f t="shared" si="2"/>
        <v>104.22800575001666</v>
      </c>
    </row>
    <row r="189" spans="1:5" x14ac:dyDescent="0.4">
      <c r="A189">
        <v>70.262900000000002</v>
      </c>
      <c r="B189">
        <v>98</v>
      </c>
      <c r="C189">
        <v>4435.9458000000004</v>
      </c>
      <c r="D189" s="1">
        <v>1</v>
      </c>
      <c r="E189">
        <f t="shared" si="2"/>
        <v>106.39290561214702</v>
      </c>
    </row>
    <row r="190" spans="1:5" x14ac:dyDescent="0.4">
      <c r="A190">
        <v>70.272900000000007</v>
      </c>
      <c r="B190">
        <v>115</v>
      </c>
      <c r="C190">
        <v>4427.9192000000003</v>
      </c>
      <c r="D190" s="1">
        <v>1</v>
      </c>
      <c r="E190">
        <f t="shared" si="2"/>
        <v>125.07513438817944</v>
      </c>
    </row>
    <row r="191" spans="1:5" x14ac:dyDescent="0.4">
      <c r="A191">
        <v>70.282899999999998</v>
      </c>
      <c r="B191">
        <v>90</v>
      </c>
      <c r="C191">
        <v>4423.7599</v>
      </c>
      <c r="D191" s="1">
        <v>1</v>
      </c>
      <c r="E191">
        <f t="shared" si="2"/>
        <v>97.976920944556696</v>
      </c>
    </row>
    <row r="192" spans="1:5" x14ac:dyDescent="0.4">
      <c r="A192">
        <v>70.292900000000003</v>
      </c>
      <c r="B192">
        <v>106</v>
      </c>
      <c r="C192">
        <v>4415.6805999999997</v>
      </c>
      <c r="D192" s="1">
        <v>1</v>
      </c>
      <c r="E192">
        <f t="shared" si="2"/>
        <v>115.60617667863026</v>
      </c>
    </row>
    <row r="193" spans="1:5" x14ac:dyDescent="0.4">
      <c r="A193">
        <v>70.302899999999994</v>
      </c>
      <c r="B193">
        <v>84</v>
      </c>
      <c r="C193">
        <v>4409.0931</v>
      </c>
      <c r="D193" s="1">
        <v>1</v>
      </c>
      <c r="E193">
        <f t="shared" si="2"/>
        <v>91.749317427658767</v>
      </c>
    </row>
    <row r="194" spans="1:5" x14ac:dyDescent="0.4">
      <c r="A194">
        <v>70.312899999999999</v>
      </c>
      <c r="B194">
        <v>78</v>
      </c>
      <c r="C194">
        <v>4410.6062000000002</v>
      </c>
      <c r="D194" s="1">
        <v>1</v>
      </c>
      <c r="E194">
        <f t="shared" si="2"/>
        <v>85.166567534412849</v>
      </c>
    </row>
    <row r="195" spans="1:5" x14ac:dyDescent="0.4">
      <c r="A195">
        <v>70.322900000000004</v>
      </c>
      <c r="B195">
        <v>75</v>
      </c>
      <c r="C195">
        <v>4413.6455999999998</v>
      </c>
      <c r="D195" s="1">
        <v>1</v>
      </c>
      <c r="E195">
        <f t="shared" si="2"/>
        <v>81.834537190752258</v>
      </c>
    </row>
    <row r="196" spans="1:5" x14ac:dyDescent="0.4">
      <c r="A196">
        <v>70.332899999999995</v>
      </c>
      <c r="B196">
        <v>64</v>
      </c>
      <c r="C196">
        <v>4411.5320000000002</v>
      </c>
      <c r="D196" s="1">
        <v>1</v>
      </c>
      <c r="E196">
        <f t="shared" si="2"/>
        <v>69.865595534612467</v>
      </c>
    </row>
    <row r="197" spans="1:5" x14ac:dyDescent="0.4">
      <c r="A197">
        <v>70.3429</v>
      </c>
      <c r="B197">
        <v>76</v>
      </c>
      <c r="C197">
        <v>4411.1121999999996</v>
      </c>
      <c r="D197" s="1">
        <v>1</v>
      </c>
      <c r="E197">
        <f t="shared" si="2"/>
        <v>82.973290409615984</v>
      </c>
    </row>
    <row r="198" spans="1:5" x14ac:dyDescent="0.4">
      <c r="A198">
        <v>70.352900000000005</v>
      </c>
      <c r="B198">
        <v>67</v>
      </c>
      <c r="C198">
        <v>4413.2084000000004</v>
      </c>
      <c r="D198" s="1">
        <v>1</v>
      </c>
      <c r="E198">
        <f t="shared" si="2"/>
        <v>73.112762180004921</v>
      </c>
    </row>
    <row r="199" spans="1:5" x14ac:dyDescent="0.4">
      <c r="A199">
        <v>70.362899999999996</v>
      </c>
      <c r="B199">
        <v>56</v>
      </c>
      <c r="C199">
        <v>4404.4161999999997</v>
      </c>
      <c r="D199" s="1">
        <v>1</v>
      </c>
      <c r="E199">
        <f t="shared" si="2"/>
        <v>61.231161941507722</v>
      </c>
    </row>
    <row r="200" spans="1:5" x14ac:dyDescent="0.4">
      <c r="A200">
        <v>70.372900000000001</v>
      </c>
      <c r="B200">
        <v>59</v>
      </c>
      <c r="C200">
        <v>4399.8717999999999</v>
      </c>
      <c r="D200" s="1">
        <v>1</v>
      </c>
      <c r="E200">
        <f t="shared" si="2"/>
        <v>64.578033250877908</v>
      </c>
    </row>
    <row r="201" spans="1:5" x14ac:dyDescent="0.4">
      <c r="A201">
        <v>70.382900000000006</v>
      </c>
      <c r="B201">
        <v>64</v>
      </c>
      <c r="C201">
        <v>4398.7089999999998</v>
      </c>
      <c r="D201" s="1">
        <v>1</v>
      </c>
      <c r="E201">
        <f t="shared" si="2"/>
        <v>70.06926586869011</v>
      </c>
    </row>
    <row r="202" spans="1:5" x14ac:dyDescent="0.4">
      <c r="A202">
        <v>70.392899999999997</v>
      </c>
      <c r="B202">
        <v>57</v>
      </c>
      <c r="C202">
        <v>4398.4425000000001</v>
      </c>
      <c r="D202" s="1">
        <v>1</v>
      </c>
      <c r="E202">
        <f t="shared" si="2"/>
        <v>62.40922103676472</v>
      </c>
    </row>
    <row r="203" spans="1:5" x14ac:dyDescent="0.4">
      <c r="A203">
        <v>70.402900000000002</v>
      </c>
      <c r="B203">
        <v>68</v>
      </c>
      <c r="C203">
        <v>4397.2709999999997</v>
      </c>
      <c r="D203" s="1">
        <v>1</v>
      </c>
      <c r="E203">
        <f t="shared" si="2"/>
        <v>74.472941240146454</v>
      </c>
    </row>
    <row r="204" spans="1:5" x14ac:dyDescent="0.4">
      <c r="A204">
        <v>70.412899999999993</v>
      </c>
      <c r="B204">
        <v>51</v>
      </c>
      <c r="C204">
        <v>4398.4520000000002</v>
      </c>
      <c r="D204" s="1">
        <v>1</v>
      </c>
      <c r="E204">
        <f t="shared" si="2"/>
        <v>55.839708742985032</v>
      </c>
    </row>
    <row r="205" spans="1:5" x14ac:dyDescent="0.4">
      <c r="A205">
        <v>70.422899999999998</v>
      </c>
      <c r="B205">
        <v>41</v>
      </c>
      <c r="C205">
        <v>4391.9762000000001</v>
      </c>
      <c r="D205" s="1">
        <v>1</v>
      </c>
      <c r="E205">
        <f t="shared" si="2"/>
        <v>44.956935923286657</v>
      </c>
    </row>
    <row r="206" spans="1:5" x14ac:dyDescent="0.4">
      <c r="A206">
        <v>70.432900000000004</v>
      </c>
      <c r="B206">
        <v>54</v>
      </c>
      <c r="C206">
        <v>4391.4205000000002</v>
      </c>
      <c r="D206" s="1">
        <v>1</v>
      </c>
      <c r="E206">
        <f t="shared" si="2"/>
        <v>59.2190669055719</v>
      </c>
    </row>
    <row r="207" spans="1:5" x14ac:dyDescent="0.4">
      <c r="A207">
        <v>70.442899999999995</v>
      </c>
      <c r="B207">
        <v>47</v>
      </c>
      <c r="C207">
        <v>4387.0173000000004</v>
      </c>
      <c r="D207" s="1">
        <v>1</v>
      </c>
      <c r="E207">
        <f t="shared" si="2"/>
        <v>51.594253845317631</v>
      </c>
    </row>
    <row r="208" spans="1:5" x14ac:dyDescent="0.4">
      <c r="A208">
        <v>70.4529</v>
      </c>
      <c r="B208">
        <v>44</v>
      </c>
      <c r="C208">
        <v>4384.71</v>
      </c>
      <c r="D208" s="1">
        <v>1</v>
      </c>
      <c r="E208">
        <f t="shared" si="2"/>
        <v>48.326420310579266</v>
      </c>
    </row>
    <row r="209" spans="1:5" x14ac:dyDescent="0.4">
      <c r="A209">
        <v>70.462900000000005</v>
      </c>
      <c r="B209">
        <v>50</v>
      </c>
      <c r="C209">
        <v>4382.8917000000001</v>
      </c>
      <c r="D209" s="1">
        <v>1</v>
      </c>
      <c r="E209">
        <f t="shared" si="2"/>
        <v>54.939169498529935</v>
      </c>
    </row>
    <row r="210" spans="1:5" x14ac:dyDescent="0.4">
      <c r="A210">
        <v>70.472899999999996</v>
      </c>
      <c r="B210">
        <v>41</v>
      </c>
      <c r="C210">
        <v>4382.2983000000004</v>
      </c>
      <c r="D210" s="1">
        <v>1</v>
      </c>
      <c r="E210">
        <f t="shared" si="2"/>
        <v>45.056219153315055</v>
      </c>
    </row>
    <row r="211" spans="1:5" x14ac:dyDescent="0.4">
      <c r="A211">
        <v>70.482900000000001</v>
      </c>
      <c r="B211">
        <v>27</v>
      </c>
      <c r="C211">
        <v>4382.8638000000001</v>
      </c>
      <c r="D211" s="1">
        <v>1</v>
      </c>
      <c r="E211">
        <f t="shared" si="2"/>
        <v>29.667340381419109</v>
      </c>
    </row>
    <row r="212" spans="1:5" x14ac:dyDescent="0.4">
      <c r="A212">
        <v>70.492900000000006</v>
      </c>
      <c r="B212">
        <v>38</v>
      </c>
      <c r="C212">
        <v>4378.2241999999997</v>
      </c>
      <c r="D212" s="1">
        <v>1</v>
      </c>
      <c r="E212">
        <f t="shared" si="2"/>
        <v>41.798281321454489</v>
      </c>
    </row>
    <row r="213" spans="1:5" x14ac:dyDescent="0.4">
      <c r="A213">
        <v>70.502899999999997</v>
      </c>
      <c r="B213">
        <v>32</v>
      </c>
      <c r="C213">
        <v>4378.5051000000003</v>
      </c>
      <c r="D213" s="1">
        <v>1</v>
      </c>
      <c r="E213">
        <f t="shared" si="2"/>
        <v>35.196294552677351</v>
      </c>
    </row>
    <row r="214" spans="1:5" x14ac:dyDescent="0.4">
      <c r="A214">
        <v>70.512900000000002</v>
      </c>
      <c r="B214">
        <v>38</v>
      </c>
      <c r="C214">
        <v>4371.3616000000002</v>
      </c>
      <c r="D214" s="1">
        <v>1</v>
      </c>
      <c r="E214">
        <f t="shared" ref="E214:E222" si="3">$A$1*B214/C214</f>
        <v>41.863900437794946</v>
      </c>
    </row>
    <row r="215" spans="1:5" x14ac:dyDescent="0.4">
      <c r="A215">
        <v>70.522900000000007</v>
      </c>
      <c r="B215">
        <v>37</v>
      </c>
      <c r="C215">
        <v>4370.3352999999997</v>
      </c>
      <c r="D215" s="1">
        <v>1</v>
      </c>
      <c r="E215">
        <f t="shared" si="3"/>
        <v>40.771791171263224</v>
      </c>
    </row>
    <row r="216" spans="1:5" x14ac:dyDescent="0.4">
      <c r="A216">
        <v>70.532899999999998</v>
      </c>
      <c r="B216">
        <v>35</v>
      </c>
      <c r="C216">
        <v>4369.8109999999997</v>
      </c>
      <c r="D216" s="1">
        <v>1</v>
      </c>
      <c r="E216">
        <f t="shared" si="3"/>
        <v>38.572538034253661</v>
      </c>
    </row>
    <row r="217" spans="1:5" x14ac:dyDescent="0.4">
      <c r="A217">
        <v>70.542900000000003</v>
      </c>
      <c r="B217">
        <v>27</v>
      </c>
      <c r="C217">
        <v>4368.9894000000004</v>
      </c>
      <c r="D217" s="1">
        <v>1</v>
      </c>
      <c r="E217">
        <f t="shared" si="3"/>
        <v>29.761553598642283</v>
      </c>
    </row>
    <row r="218" spans="1:5" x14ac:dyDescent="0.4">
      <c r="A218">
        <v>70.552899999999994</v>
      </c>
      <c r="B218">
        <v>32</v>
      </c>
      <c r="C218">
        <v>4363.2268000000004</v>
      </c>
      <c r="D218" s="1">
        <v>1</v>
      </c>
      <c r="E218">
        <f t="shared" si="3"/>
        <v>35.319538099646799</v>
      </c>
    </row>
    <row r="219" spans="1:5" x14ac:dyDescent="0.4">
      <c r="A219">
        <v>70.562899999999999</v>
      </c>
      <c r="B219">
        <v>29</v>
      </c>
      <c r="C219">
        <v>4354.6965</v>
      </c>
      <c r="D219" s="1">
        <v>1</v>
      </c>
      <c r="E219">
        <f t="shared" si="3"/>
        <v>32.071031678097434</v>
      </c>
    </row>
    <row r="220" spans="1:5" x14ac:dyDescent="0.4">
      <c r="A220">
        <v>70.572900000000004</v>
      </c>
      <c r="B220">
        <v>29</v>
      </c>
      <c r="C220">
        <v>4356.0397000000003</v>
      </c>
      <c r="D220" s="1">
        <v>1</v>
      </c>
      <c r="E220">
        <f t="shared" si="3"/>
        <v>32.061142463876074</v>
      </c>
    </row>
    <row r="221" spans="1:5" x14ac:dyDescent="0.4">
      <c r="A221">
        <v>70.582899999999995</v>
      </c>
      <c r="B221">
        <v>30</v>
      </c>
      <c r="C221">
        <v>4356.1687000000002</v>
      </c>
      <c r="D221" s="1">
        <v>1</v>
      </c>
      <c r="E221">
        <f t="shared" si="3"/>
        <v>33.165716929190552</v>
      </c>
    </row>
    <row r="222" spans="1:5" x14ac:dyDescent="0.4">
      <c r="A222">
        <v>70.5929</v>
      </c>
      <c r="B222">
        <v>32</v>
      </c>
      <c r="C222">
        <v>4358.6857</v>
      </c>
      <c r="D222" s="1">
        <v>1</v>
      </c>
      <c r="E222">
        <f t="shared" si="3"/>
        <v>35.356335787184655</v>
      </c>
    </row>
  </sheetData>
  <phoneticPr fontId="2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7AAA-7906-4CC6-A6F3-051F9B883117}">
  <dimension ref="A1:G102"/>
  <sheetViews>
    <sheetView workbookViewId="0">
      <selection activeCell="N21" sqref="N21:N22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2" x14ac:dyDescent="0.4">
      <c r="A1">
        <v>4815.8486000000003</v>
      </c>
      <c r="B1">
        <v>2.1999999999999999E-2</v>
      </c>
    </row>
    <row r="3" spans="1:2" x14ac:dyDescent="0.4">
      <c r="A3" t="s">
        <v>39</v>
      </c>
    </row>
    <row r="4" spans="1:2" x14ac:dyDescent="0.4">
      <c r="A4" t="s">
        <v>40</v>
      </c>
    </row>
    <row r="5" spans="1:2" x14ac:dyDescent="0.4">
      <c r="A5" t="s">
        <v>32</v>
      </c>
    </row>
    <row r="6" spans="1:2" x14ac:dyDescent="0.4">
      <c r="A6" t="s">
        <v>33</v>
      </c>
    </row>
    <row r="7" spans="1:2" x14ac:dyDescent="0.4">
      <c r="A7" t="s">
        <v>34</v>
      </c>
    </row>
    <row r="8" spans="1:2" x14ac:dyDescent="0.4">
      <c r="A8" t="s">
        <v>5</v>
      </c>
    </row>
    <row r="9" spans="1:2" x14ac:dyDescent="0.4">
      <c r="A9" t="s">
        <v>35</v>
      </c>
    </row>
    <row r="10" spans="1:2" x14ac:dyDescent="0.4">
      <c r="A10" t="s">
        <v>7</v>
      </c>
    </row>
    <row r="11" spans="1:2" x14ac:dyDescent="0.4">
      <c r="A11" t="s">
        <v>36</v>
      </c>
    </row>
    <row r="12" spans="1:2" x14ac:dyDescent="0.4">
      <c r="A12" t="s">
        <v>9</v>
      </c>
    </row>
    <row r="13" spans="1:2" x14ac:dyDescent="0.4">
      <c r="A13" t="s">
        <v>10</v>
      </c>
    </row>
    <row r="14" spans="1:2" x14ac:dyDescent="0.4">
      <c r="A14" t="s">
        <v>11</v>
      </c>
    </row>
    <row r="15" spans="1:2" x14ac:dyDescent="0.4">
      <c r="A15" t="s">
        <v>12</v>
      </c>
    </row>
    <row r="16" spans="1:2" x14ac:dyDescent="0.4">
      <c r="A16" t="s">
        <v>13</v>
      </c>
    </row>
    <row r="17" spans="1:7" x14ac:dyDescent="0.4">
      <c r="A17" t="s">
        <v>14</v>
      </c>
    </row>
    <row r="18" spans="1:7" x14ac:dyDescent="0.4">
      <c r="A18" t="s">
        <v>26</v>
      </c>
    </row>
    <row r="19" spans="1:7" x14ac:dyDescent="0.4">
      <c r="A19" t="s">
        <v>41</v>
      </c>
      <c r="B19" t="s">
        <v>42</v>
      </c>
    </row>
    <row r="20" spans="1:7" x14ac:dyDescent="0.4">
      <c r="A20" t="s">
        <v>29</v>
      </c>
      <c r="B20" t="s">
        <v>19</v>
      </c>
    </row>
    <row r="21" spans="1:7" x14ac:dyDescent="0.4">
      <c r="A21" t="s">
        <v>20</v>
      </c>
      <c r="B21" t="s">
        <v>21</v>
      </c>
      <c r="C21" t="s">
        <v>22</v>
      </c>
      <c r="D21" t="s">
        <v>23</v>
      </c>
    </row>
    <row r="22" spans="1:7" x14ac:dyDescent="0.4">
      <c r="A22">
        <f>G22+$B$1</f>
        <v>35.103699999999996</v>
      </c>
      <c r="B22">
        <v>465</v>
      </c>
      <c r="C22">
        <v>3973.9344999999998</v>
      </c>
      <c r="D22" s="1">
        <v>1</v>
      </c>
      <c r="E22">
        <f t="shared" ref="E22:E85" si="0">$A$1*B22/C22</f>
        <v>563.51447136333024</v>
      </c>
      <c r="G22">
        <v>35.081699999999998</v>
      </c>
    </row>
    <row r="23" spans="1:7" x14ac:dyDescent="0.4">
      <c r="A23">
        <f t="shared" ref="A23:A86" si="1">G23+$B$1</f>
        <v>35.104700000000001</v>
      </c>
      <c r="B23">
        <v>439</v>
      </c>
      <c r="C23">
        <v>3965.5668000000001</v>
      </c>
      <c r="D23" s="1">
        <v>1</v>
      </c>
      <c r="E23">
        <f t="shared" si="0"/>
        <v>533.12871577399733</v>
      </c>
      <c r="G23">
        <v>35.082700000000003</v>
      </c>
    </row>
    <row r="24" spans="1:7" x14ac:dyDescent="0.4">
      <c r="A24">
        <f t="shared" si="1"/>
        <v>35.105699999999999</v>
      </c>
      <c r="B24">
        <v>475</v>
      </c>
      <c r="C24">
        <v>3970.9703</v>
      </c>
      <c r="D24" s="1">
        <v>1</v>
      </c>
      <c r="E24">
        <f t="shared" si="0"/>
        <v>576.06275347866494</v>
      </c>
      <c r="G24">
        <v>35.0837</v>
      </c>
    </row>
    <row r="25" spans="1:7" x14ac:dyDescent="0.4">
      <c r="A25">
        <f t="shared" si="1"/>
        <v>35.106699999999996</v>
      </c>
      <c r="B25">
        <v>479</v>
      </c>
      <c r="C25">
        <v>3973.5747999999999</v>
      </c>
      <c r="D25" s="1">
        <v>1</v>
      </c>
      <c r="E25">
        <f>$A$1*B25/C25</f>
        <v>580.53304530721311</v>
      </c>
      <c r="G25">
        <v>35.084699999999998</v>
      </c>
    </row>
    <row r="26" spans="1:7" x14ac:dyDescent="0.4">
      <c r="A26">
        <f t="shared" si="1"/>
        <v>35.107700000000001</v>
      </c>
      <c r="B26">
        <v>535</v>
      </c>
      <c r="C26">
        <v>3976.7527</v>
      </c>
      <c r="D26" s="1">
        <v>1</v>
      </c>
      <c r="E26">
        <f t="shared" si="0"/>
        <v>647.88514533478542</v>
      </c>
      <c r="G26">
        <v>35.085700000000003</v>
      </c>
    </row>
    <row r="27" spans="1:7" x14ac:dyDescent="0.4">
      <c r="A27">
        <f t="shared" si="1"/>
        <v>35.108699999999999</v>
      </c>
      <c r="B27">
        <v>534</v>
      </c>
      <c r="C27">
        <v>3973.6570999999999</v>
      </c>
      <c r="D27" s="1">
        <v>1</v>
      </c>
      <c r="E27">
        <f t="shared" si="0"/>
        <v>647.17792393309435</v>
      </c>
      <c r="G27">
        <v>35.0867</v>
      </c>
    </row>
    <row r="28" spans="1:7" x14ac:dyDescent="0.4">
      <c r="A28">
        <f t="shared" si="1"/>
        <v>35.109699999999997</v>
      </c>
      <c r="B28">
        <v>542</v>
      </c>
      <c r="C28">
        <v>3973.5817000000002</v>
      </c>
      <c r="D28" s="1">
        <v>1</v>
      </c>
      <c r="E28">
        <f t="shared" si="0"/>
        <v>656.8859377422641</v>
      </c>
      <c r="G28">
        <v>35.087699999999998</v>
      </c>
    </row>
    <row r="29" spans="1:7" x14ac:dyDescent="0.4">
      <c r="A29">
        <f t="shared" si="1"/>
        <v>35.110700000000001</v>
      </c>
      <c r="B29">
        <v>537</v>
      </c>
      <c r="C29">
        <v>3970.6161999999999</v>
      </c>
      <c r="D29" s="1">
        <v>1</v>
      </c>
      <c r="E29">
        <f t="shared" si="0"/>
        <v>651.31218126798558</v>
      </c>
      <c r="G29">
        <v>35.088700000000003</v>
      </c>
    </row>
    <row r="30" spans="1:7" x14ac:dyDescent="0.4">
      <c r="A30">
        <f t="shared" si="1"/>
        <v>35.111699999999999</v>
      </c>
      <c r="B30">
        <v>557</v>
      </c>
      <c r="C30">
        <v>3964.4274999999998</v>
      </c>
      <c r="D30" s="1">
        <v>1</v>
      </c>
      <c r="E30">
        <f t="shared" si="0"/>
        <v>676.62422132830034</v>
      </c>
      <c r="G30">
        <v>35.089700000000001</v>
      </c>
    </row>
    <row r="31" spans="1:7" x14ac:dyDescent="0.4">
      <c r="A31">
        <f t="shared" si="1"/>
        <v>35.112699999999997</v>
      </c>
      <c r="B31">
        <v>595</v>
      </c>
      <c r="C31">
        <v>3963.5533999999998</v>
      </c>
      <c r="D31" s="1">
        <v>1</v>
      </c>
      <c r="E31">
        <f t="shared" si="0"/>
        <v>722.94469831035974</v>
      </c>
      <c r="G31">
        <v>35.090699999999998</v>
      </c>
    </row>
    <row r="32" spans="1:7" x14ac:dyDescent="0.4">
      <c r="A32">
        <f t="shared" si="1"/>
        <v>35.113700000000001</v>
      </c>
      <c r="B32">
        <v>668</v>
      </c>
      <c r="C32">
        <v>3970.3748999999998</v>
      </c>
      <c r="D32" s="1">
        <v>1</v>
      </c>
      <c r="E32">
        <f t="shared" si="0"/>
        <v>810.24763298800838</v>
      </c>
      <c r="G32">
        <v>35.091700000000003</v>
      </c>
    </row>
    <row r="33" spans="1:7" x14ac:dyDescent="0.4">
      <c r="A33">
        <f t="shared" si="1"/>
        <v>35.114699999999999</v>
      </c>
      <c r="B33">
        <v>646</v>
      </c>
      <c r="C33">
        <v>3978.5938999999998</v>
      </c>
      <c r="D33" s="1">
        <v>1</v>
      </c>
      <c r="E33">
        <f t="shared" si="0"/>
        <v>781.94414252733873</v>
      </c>
      <c r="G33">
        <v>35.092700000000001</v>
      </c>
    </row>
    <row r="34" spans="1:7" x14ac:dyDescent="0.4">
      <c r="A34">
        <f t="shared" si="1"/>
        <v>35.115699999999997</v>
      </c>
      <c r="B34">
        <v>682</v>
      </c>
      <c r="C34">
        <v>3974.2743999999998</v>
      </c>
      <c r="D34" s="1">
        <v>1</v>
      </c>
      <c r="E34">
        <f t="shared" si="0"/>
        <v>826.41720591814203</v>
      </c>
      <c r="G34">
        <v>35.093699999999998</v>
      </c>
    </row>
    <row r="35" spans="1:7" x14ac:dyDescent="0.4">
      <c r="A35">
        <f t="shared" si="1"/>
        <v>35.116700000000002</v>
      </c>
      <c r="B35">
        <v>710</v>
      </c>
      <c r="C35">
        <v>3962.7379000000001</v>
      </c>
      <c r="D35" s="1">
        <v>1</v>
      </c>
      <c r="E35">
        <f t="shared" si="0"/>
        <v>862.8510369055698</v>
      </c>
      <c r="G35">
        <v>35.094700000000003</v>
      </c>
    </row>
    <row r="36" spans="1:7" x14ac:dyDescent="0.4">
      <c r="A36">
        <f t="shared" si="1"/>
        <v>35.117699999999999</v>
      </c>
      <c r="B36">
        <v>776</v>
      </c>
      <c r="C36">
        <v>3959.337</v>
      </c>
      <c r="D36" s="1">
        <v>1</v>
      </c>
      <c r="E36">
        <f t="shared" si="0"/>
        <v>943.86977254020064</v>
      </c>
      <c r="G36">
        <v>35.095700000000001</v>
      </c>
    </row>
    <row r="37" spans="1:7" x14ac:dyDescent="0.4">
      <c r="A37">
        <f t="shared" si="1"/>
        <v>35.118699999999997</v>
      </c>
      <c r="B37">
        <v>792</v>
      </c>
      <c r="C37">
        <v>3962.5261</v>
      </c>
      <c r="D37" s="1">
        <v>1</v>
      </c>
      <c r="E37">
        <f t="shared" si="0"/>
        <v>962.55570182868951</v>
      </c>
      <c r="G37">
        <v>35.096699999999998</v>
      </c>
    </row>
    <row r="38" spans="1:7" x14ac:dyDescent="0.4">
      <c r="A38">
        <f t="shared" si="1"/>
        <v>35.119700000000002</v>
      </c>
      <c r="B38">
        <v>815</v>
      </c>
      <c r="C38">
        <v>3962.1493</v>
      </c>
      <c r="D38" s="1">
        <v>1</v>
      </c>
      <c r="E38">
        <f t="shared" si="0"/>
        <v>990.60290559974612</v>
      </c>
      <c r="G38">
        <v>35.097700000000003</v>
      </c>
    </row>
    <row r="39" spans="1:7" x14ac:dyDescent="0.4">
      <c r="A39">
        <f t="shared" si="1"/>
        <v>35.120699999999999</v>
      </c>
      <c r="B39">
        <v>908</v>
      </c>
      <c r="C39">
        <v>3957.5057000000002</v>
      </c>
      <c r="D39" s="1">
        <v>1</v>
      </c>
      <c r="E39">
        <f t="shared" si="0"/>
        <v>1104.9360026948289</v>
      </c>
      <c r="G39">
        <v>35.098700000000001</v>
      </c>
    </row>
    <row r="40" spans="1:7" x14ac:dyDescent="0.4">
      <c r="A40">
        <f t="shared" si="1"/>
        <v>35.121699999999997</v>
      </c>
      <c r="B40">
        <v>959</v>
      </c>
      <c r="C40">
        <v>3954.3786</v>
      </c>
      <c r="D40" s="1">
        <v>1</v>
      </c>
      <c r="E40">
        <f t="shared" si="0"/>
        <v>1167.9202409703512</v>
      </c>
      <c r="G40">
        <v>35.099699999999999</v>
      </c>
    </row>
    <row r="41" spans="1:7" x14ac:dyDescent="0.4">
      <c r="A41">
        <f t="shared" si="1"/>
        <v>35.122700000000002</v>
      </c>
      <c r="B41">
        <v>1076</v>
      </c>
      <c r="C41">
        <v>3951.8009000000002</v>
      </c>
      <c r="D41" s="1">
        <v>1</v>
      </c>
      <c r="E41">
        <f t="shared" si="0"/>
        <v>1311.2637060232462</v>
      </c>
      <c r="G41">
        <v>35.100700000000003</v>
      </c>
    </row>
    <row r="42" spans="1:7" x14ac:dyDescent="0.4">
      <c r="A42">
        <f t="shared" si="1"/>
        <v>35.123699999999999</v>
      </c>
      <c r="B42">
        <v>1082</v>
      </c>
      <c r="C42">
        <v>3941.4445000000001</v>
      </c>
      <c r="D42" s="1">
        <v>1</v>
      </c>
      <c r="E42">
        <f t="shared" si="0"/>
        <v>1322.0402279418117</v>
      </c>
      <c r="G42">
        <v>35.101700000000001</v>
      </c>
    </row>
    <row r="43" spans="1:7" x14ac:dyDescent="0.4">
      <c r="A43">
        <f t="shared" si="1"/>
        <v>35.124699999999997</v>
      </c>
      <c r="B43">
        <v>1372</v>
      </c>
      <c r="C43">
        <v>3933.9625999999998</v>
      </c>
      <c r="D43" s="1">
        <v>1</v>
      </c>
      <c r="E43">
        <f t="shared" si="0"/>
        <v>1679.5645894549177</v>
      </c>
      <c r="G43">
        <v>35.102699999999999</v>
      </c>
    </row>
    <row r="44" spans="1:7" x14ac:dyDescent="0.4">
      <c r="A44">
        <f t="shared" si="1"/>
        <v>35.125700000000002</v>
      </c>
      <c r="B44">
        <v>1683</v>
      </c>
      <c r="C44">
        <v>3929.4427999999998</v>
      </c>
      <c r="D44" s="1">
        <v>1</v>
      </c>
      <c r="E44">
        <f t="shared" si="0"/>
        <v>2062.6520365177475</v>
      </c>
      <c r="G44">
        <v>35.103700000000003</v>
      </c>
    </row>
    <row r="45" spans="1:7" x14ac:dyDescent="0.4">
      <c r="A45">
        <f t="shared" si="1"/>
        <v>35.1267</v>
      </c>
      <c r="B45">
        <v>2247</v>
      </c>
      <c r="C45">
        <v>3935.5436</v>
      </c>
      <c r="D45" s="1">
        <v>1</v>
      </c>
      <c r="E45">
        <f t="shared" si="0"/>
        <v>2749.6104487827301</v>
      </c>
      <c r="G45">
        <v>35.104700000000001</v>
      </c>
    </row>
    <row r="46" spans="1:7" x14ac:dyDescent="0.4">
      <c r="A46">
        <f t="shared" si="1"/>
        <v>35.127699999999997</v>
      </c>
      <c r="B46">
        <v>3656</v>
      </c>
      <c r="C46">
        <v>3935.6336999999999</v>
      </c>
      <c r="D46" s="1">
        <v>1</v>
      </c>
      <c r="E46">
        <f t="shared" si="0"/>
        <v>4473.6740824228646</v>
      </c>
      <c r="G46">
        <v>35.105699999999999</v>
      </c>
    </row>
    <row r="47" spans="1:7" x14ac:dyDescent="0.4">
      <c r="A47">
        <f t="shared" si="1"/>
        <v>35.128699999999995</v>
      </c>
      <c r="B47">
        <v>6559</v>
      </c>
      <c r="C47">
        <v>3931.7624000000001</v>
      </c>
      <c r="D47" s="1">
        <v>1</v>
      </c>
      <c r="E47">
        <f t="shared" si="0"/>
        <v>8033.8402359715337</v>
      </c>
      <c r="G47">
        <v>35.106699999999996</v>
      </c>
    </row>
    <row r="48" spans="1:7" x14ac:dyDescent="0.4">
      <c r="A48">
        <f t="shared" si="1"/>
        <v>35.1297</v>
      </c>
      <c r="B48">
        <v>14665</v>
      </c>
      <c r="C48">
        <v>3930.1437000000001</v>
      </c>
      <c r="D48" s="1">
        <v>1</v>
      </c>
      <c r="E48">
        <f t="shared" si="0"/>
        <v>17969.933190738037</v>
      </c>
      <c r="G48">
        <v>35.107700000000001</v>
      </c>
    </row>
    <row r="49" spans="1:7" x14ac:dyDescent="0.4">
      <c r="A49">
        <f t="shared" si="1"/>
        <v>35.130699999999997</v>
      </c>
      <c r="B49">
        <v>121030</v>
      </c>
      <c r="C49">
        <v>3927.3899000000001</v>
      </c>
      <c r="D49" s="1">
        <v>1</v>
      </c>
      <c r="E49">
        <f t="shared" si="0"/>
        <v>148409.547027149</v>
      </c>
      <c r="G49">
        <v>35.108699999999999</v>
      </c>
    </row>
    <row r="50" spans="1:7" x14ac:dyDescent="0.4">
      <c r="A50">
        <f t="shared" si="1"/>
        <v>35.131699999999995</v>
      </c>
      <c r="B50">
        <v>1230570</v>
      </c>
      <c r="C50">
        <v>3924.1824000000001</v>
      </c>
      <c r="D50" s="1">
        <v>1</v>
      </c>
      <c r="E50">
        <f t="shared" si="0"/>
        <v>1510184.3409985225</v>
      </c>
      <c r="G50">
        <v>35.109699999999997</v>
      </c>
    </row>
    <row r="51" spans="1:7" x14ac:dyDescent="0.4">
      <c r="A51">
        <f t="shared" si="1"/>
        <v>35.1327</v>
      </c>
      <c r="B51">
        <v>3073225</v>
      </c>
      <c r="C51">
        <v>3926.5686000000001</v>
      </c>
      <c r="D51" s="1">
        <v>1</v>
      </c>
      <c r="E51">
        <f t="shared" si="0"/>
        <v>3769241.7531518489</v>
      </c>
      <c r="G51">
        <v>35.110700000000001</v>
      </c>
    </row>
    <row r="52" spans="1:7" x14ac:dyDescent="0.4">
      <c r="A52">
        <f t="shared" si="1"/>
        <v>35.133699999999997</v>
      </c>
      <c r="B52">
        <v>3835678</v>
      </c>
      <c r="C52">
        <v>3925.2278999999999</v>
      </c>
      <c r="D52" s="1">
        <v>1</v>
      </c>
      <c r="E52">
        <f t="shared" si="0"/>
        <v>4705980.1359179169</v>
      </c>
      <c r="G52">
        <v>35.111699999999999</v>
      </c>
    </row>
    <row r="53" spans="1:7" x14ac:dyDescent="0.4">
      <c r="A53">
        <f t="shared" si="1"/>
        <v>35.134699999999995</v>
      </c>
      <c r="B53">
        <v>4720193</v>
      </c>
      <c r="C53">
        <v>3925.7766000000001</v>
      </c>
      <c r="D53" s="1">
        <v>1</v>
      </c>
      <c r="E53">
        <f t="shared" si="0"/>
        <v>5790379.119071574</v>
      </c>
      <c r="G53">
        <v>35.112699999999997</v>
      </c>
    </row>
    <row r="54" spans="1:7" x14ac:dyDescent="0.4">
      <c r="A54">
        <f t="shared" si="1"/>
        <v>35.1357</v>
      </c>
      <c r="B54">
        <v>6821654</v>
      </c>
      <c r="C54">
        <v>3929.2060999999999</v>
      </c>
      <c r="D54" s="1">
        <v>1</v>
      </c>
      <c r="E54">
        <f t="shared" si="0"/>
        <v>8360989.9886861118</v>
      </c>
      <c r="G54">
        <v>35.113700000000001</v>
      </c>
    </row>
    <row r="55" spans="1:7" x14ac:dyDescent="0.4">
      <c r="A55">
        <f t="shared" si="1"/>
        <v>35.136699999999998</v>
      </c>
      <c r="B55">
        <v>6865207</v>
      </c>
      <c r="C55">
        <v>3936.3085000000001</v>
      </c>
      <c r="D55" s="1">
        <v>1</v>
      </c>
      <c r="E55">
        <f t="shared" si="0"/>
        <v>8399188.6102576051</v>
      </c>
      <c r="G55">
        <v>35.114699999999999</v>
      </c>
    </row>
    <row r="56" spans="1:7" x14ac:dyDescent="0.4">
      <c r="A56">
        <f t="shared" si="1"/>
        <v>35.137699999999995</v>
      </c>
      <c r="B56">
        <v>6752344</v>
      </c>
      <c r="C56">
        <v>3936.9641999999999</v>
      </c>
      <c r="D56" s="1">
        <v>1</v>
      </c>
      <c r="E56">
        <f t="shared" si="0"/>
        <v>8259731.2922272449</v>
      </c>
      <c r="G56">
        <v>35.115699999999997</v>
      </c>
    </row>
    <row r="57" spans="1:7" x14ac:dyDescent="0.4">
      <c r="A57">
        <f t="shared" si="1"/>
        <v>35.1387</v>
      </c>
      <c r="B57">
        <v>7507274</v>
      </c>
      <c r="C57">
        <v>3931.0508</v>
      </c>
      <c r="D57" s="1">
        <v>1</v>
      </c>
      <c r="E57">
        <f t="shared" si="0"/>
        <v>9197005.2848760951</v>
      </c>
      <c r="G57">
        <v>35.116700000000002</v>
      </c>
    </row>
    <row r="58" spans="1:7" x14ac:dyDescent="0.4">
      <c r="A58">
        <f t="shared" si="1"/>
        <v>35.139699999999998</v>
      </c>
      <c r="B58">
        <v>6136118</v>
      </c>
      <c r="C58">
        <v>3920.1361000000002</v>
      </c>
      <c r="D58" s="1">
        <v>1</v>
      </c>
      <c r="E58">
        <f t="shared" si="0"/>
        <v>7538160.5449195504</v>
      </c>
      <c r="G58">
        <v>35.117699999999999</v>
      </c>
    </row>
    <row r="59" spans="1:7" x14ac:dyDescent="0.4">
      <c r="A59">
        <f t="shared" si="1"/>
        <v>35.140699999999995</v>
      </c>
      <c r="B59">
        <v>5821341</v>
      </c>
      <c r="C59">
        <v>3914.6075999999998</v>
      </c>
      <c r="D59" s="1">
        <v>1</v>
      </c>
      <c r="E59">
        <f t="shared" si="0"/>
        <v>7161559.9236492068</v>
      </c>
      <c r="G59">
        <v>35.118699999999997</v>
      </c>
    </row>
    <row r="60" spans="1:7" x14ac:dyDescent="0.4">
      <c r="A60">
        <f t="shared" si="1"/>
        <v>35.1417</v>
      </c>
      <c r="B60">
        <v>6159287</v>
      </c>
      <c r="C60">
        <v>3910.5448999999999</v>
      </c>
      <c r="D60" s="1">
        <v>1</v>
      </c>
      <c r="E60">
        <f t="shared" si="0"/>
        <v>7585181.7162227705</v>
      </c>
      <c r="G60">
        <v>35.119700000000002</v>
      </c>
    </row>
    <row r="61" spans="1:7" x14ac:dyDescent="0.4">
      <c r="A61">
        <f t="shared" si="1"/>
        <v>35.142699999999998</v>
      </c>
      <c r="B61">
        <v>7313005</v>
      </c>
      <c r="C61">
        <v>3905.8517999999999</v>
      </c>
      <c r="D61" s="1">
        <v>1</v>
      </c>
      <c r="E61">
        <f t="shared" si="0"/>
        <v>9016810.33853947</v>
      </c>
      <c r="G61">
        <v>35.120699999999999</v>
      </c>
    </row>
    <row r="62" spans="1:7" x14ac:dyDescent="0.4">
      <c r="A62">
        <f t="shared" si="1"/>
        <v>35.143699999999995</v>
      </c>
      <c r="B62">
        <v>8543725</v>
      </c>
      <c r="C62">
        <v>3904.8746000000001</v>
      </c>
      <c r="D62" s="1">
        <v>1</v>
      </c>
      <c r="E62">
        <f t="shared" si="0"/>
        <v>10536903.305431372</v>
      </c>
      <c r="G62">
        <v>35.121699999999997</v>
      </c>
    </row>
    <row r="63" spans="1:7" x14ac:dyDescent="0.4">
      <c r="A63">
        <f t="shared" si="1"/>
        <v>35.1447</v>
      </c>
      <c r="B63">
        <v>6754812</v>
      </c>
      <c r="C63">
        <v>3908.0601999999999</v>
      </c>
      <c r="D63" s="1">
        <v>1</v>
      </c>
      <c r="E63">
        <f t="shared" si="0"/>
        <v>8323861.5191913377</v>
      </c>
      <c r="G63">
        <v>35.122700000000002</v>
      </c>
    </row>
    <row r="64" spans="1:7" x14ac:dyDescent="0.4">
      <c r="A64">
        <f t="shared" si="1"/>
        <v>35.145699999999998</v>
      </c>
      <c r="B64">
        <v>4306439</v>
      </c>
      <c r="C64">
        <v>3911.1779000000001</v>
      </c>
      <c r="D64" s="1">
        <v>1</v>
      </c>
      <c r="E64">
        <f t="shared" si="0"/>
        <v>5302535.1337599354</v>
      </c>
      <c r="G64">
        <v>35.123699999999999</v>
      </c>
    </row>
    <row r="65" spans="1:7" x14ac:dyDescent="0.4">
      <c r="A65">
        <f t="shared" si="1"/>
        <v>35.146699999999996</v>
      </c>
      <c r="B65">
        <v>2452656</v>
      </c>
      <c r="C65">
        <v>3909.8924000000002</v>
      </c>
      <c r="D65" s="1">
        <v>1</v>
      </c>
      <c r="E65">
        <f t="shared" si="0"/>
        <v>3020957.8053558716</v>
      </c>
      <c r="G65">
        <v>35.124699999999997</v>
      </c>
    </row>
    <row r="66" spans="1:7" x14ac:dyDescent="0.4">
      <c r="A66">
        <f t="shared" si="1"/>
        <v>35.1477</v>
      </c>
      <c r="B66">
        <v>3134895</v>
      </c>
      <c r="C66">
        <v>3910.2595000000001</v>
      </c>
      <c r="D66" s="1">
        <v>1</v>
      </c>
      <c r="E66">
        <f t="shared" si="0"/>
        <v>3860915.0356637458</v>
      </c>
      <c r="G66">
        <v>35.125700000000002</v>
      </c>
    </row>
    <row r="67" spans="1:7" x14ac:dyDescent="0.4">
      <c r="A67">
        <f t="shared" si="1"/>
        <v>35.148699999999998</v>
      </c>
      <c r="B67">
        <v>766361</v>
      </c>
      <c r="C67">
        <v>3901.9819000000002</v>
      </c>
      <c r="D67" s="1">
        <v>1</v>
      </c>
      <c r="E67">
        <f t="shared" si="0"/>
        <v>945847.17293142749</v>
      </c>
      <c r="G67">
        <v>35.1267</v>
      </c>
    </row>
    <row r="68" spans="1:7" x14ac:dyDescent="0.4">
      <c r="A68">
        <f t="shared" si="1"/>
        <v>35.149699999999996</v>
      </c>
      <c r="B68">
        <v>129044</v>
      </c>
      <c r="C68">
        <v>3894.6983</v>
      </c>
      <c r="D68" s="1">
        <v>1</v>
      </c>
      <c r="E68">
        <f t="shared" si="0"/>
        <v>159564.70023323759</v>
      </c>
      <c r="G68">
        <v>35.127699999999997</v>
      </c>
    </row>
    <row r="69" spans="1:7" x14ac:dyDescent="0.4">
      <c r="A69">
        <f t="shared" si="1"/>
        <v>35.150700000000001</v>
      </c>
      <c r="B69">
        <v>69271</v>
      </c>
      <c r="C69">
        <v>3894.1453999999999</v>
      </c>
      <c r="D69" s="1">
        <v>1</v>
      </c>
      <c r="E69">
        <f t="shared" si="0"/>
        <v>85666.716083739462</v>
      </c>
      <c r="G69">
        <v>35.128700000000002</v>
      </c>
    </row>
    <row r="70" spans="1:7" x14ac:dyDescent="0.4">
      <c r="A70">
        <f t="shared" si="1"/>
        <v>35.151699999999998</v>
      </c>
      <c r="B70">
        <v>49132</v>
      </c>
      <c r="C70">
        <v>3890.2492000000002</v>
      </c>
      <c r="D70" s="1">
        <v>1</v>
      </c>
      <c r="E70">
        <f t="shared" si="0"/>
        <v>60821.880874675073</v>
      </c>
      <c r="G70">
        <v>35.1297</v>
      </c>
    </row>
    <row r="71" spans="1:7" x14ac:dyDescent="0.4">
      <c r="A71">
        <f t="shared" si="1"/>
        <v>35.152699999999996</v>
      </c>
      <c r="B71">
        <v>36750</v>
      </c>
      <c r="C71">
        <v>3885.8562999999999</v>
      </c>
      <c r="D71" s="1">
        <v>1</v>
      </c>
      <c r="E71">
        <f t="shared" si="0"/>
        <v>45545.285874312955</v>
      </c>
      <c r="G71">
        <v>35.130699999999997</v>
      </c>
    </row>
    <row r="72" spans="1:7" x14ac:dyDescent="0.4">
      <c r="A72">
        <f t="shared" si="1"/>
        <v>35.153700000000001</v>
      </c>
      <c r="B72">
        <v>28075</v>
      </c>
      <c r="C72">
        <v>3884.4386</v>
      </c>
      <c r="D72" s="1">
        <v>1</v>
      </c>
      <c r="E72">
        <f t="shared" si="0"/>
        <v>34806.818530996985</v>
      </c>
      <c r="G72">
        <v>35.131700000000002</v>
      </c>
    </row>
    <row r="73" spans="1:7" x14ac:dyDescent="0.4">
      <c r="A73">
        <f t="shared" si="1"/>
        <v>35.154699999999998</v>
      </c>
      <c r="B73">
        <v>21189</v>
      </c>
      <c r="C73">
        <v>3887.4268000000002</v>
      </c>
      <c r="D73" s="1">
        <v>1</v>
      </c>
      <c r="E73">
        <f t="shared" si="0"/>
        <v>26249.50159457665</v>
      </c>
      <c r="G73">
        <v>35.1327</v>
      </c>
    </row>
    <row r="74" spans="1:7" x14ac:dyDescent="0.4">
      <c r="A74">
        <f t="shared" si="1"/>
        <v>35.155699999999996</v>
      </c>
      <c r="B74">
        <v>16441</v>
      </c>
      <c r="C74">
        <v>3882.5689000000002</v>
      </c>
      <c r="D74" s="1">
        <v>1</v>
      </c>
      <c r="E74">
        <f t="shared" si="0"/>
        <v>20393.035866691251</v>
      </c>
      <c r="G74">
        <v>35.133699999999997</v>
      </c>
    </row>
    <row r="75" spans="1:7" x14ac:dyDescent="0.4">
      <c r="A75">
        <f t="shared" si="1"/>
        <v>35.156700000000001</v>
      </c>
      <c r="B75">
        <v>13123</v>
      </c>
      <c r="C75">
        <v>3887.5592000000001</v>
      </c>
      <c r="D75" s="1">
        <v>1</v>
      </c>
      <c r="E75">
        <f t="shared" si="0"/>
        <v>16256.570749533537</v>
      </c>
      <c r="G75">
        <v>35.134700000000002</v>
      </c>
    </row>
    <row r="76" spans="1:7" x14ac:dyDescent="0.4">
      <c r="A76">
        <f t="shared" si="1"/>
        <v>35.157699999999998</v>
      </c>
      <c r="B76">
        <v>10103</v>
      </c>
      <c r="C76">
        <v>3889.8031999999998</v>
      </c>
      <c r="D76" s="1">
        <v>1</v>
      </c>
      <c r="E76">
        <f t="shared" si="0"/>
        <v>12508.221085786552</v>
      </c>
      <c r="G76">
        <v>35.1357</v>
      </c>
    </row>
    <row r="77" spans="1:7" x14ac:dyDescent="0.4">
      <c r="A77">
        <f t="shared" si="1"/>
        <v>35.158699999999996</v>
      </c>
      <c r="B77">
        <v>7764</v>
      </c>
      <c r="C77">
        <v>3880.3694999999998</v>
      </c>
      <c r="D77" s="1">
        <v>1</v>
      </c>
      <c r="E77">
        <f t="shared" si="0"/>
        <v>9635.7443615614447</v>
      </c>
      <c r="G77">
        <v>35.136699999999998</v>
      </c>
    </row>
    <row r="78" spans="1:7" x14ac:dyDescent="0.4">
      <c r="A78">
        <f t="shared" si="1"/>
        <v>35.159700000000001</v>
      </c>
      <c r="B78">
        <v>6071</v>
      </c>
      <c r="C78">
        <v>3869.2111</v>
      </c>
      <c r="D78" s="1">
        <v>1</v>
      </c>
      <c r="E78">
        <f t="shared" si="0"/>
        <v>7556.3250737598682</v>
      </c>
      <c r="G78">
        <v>35.137700000000002</v>
      </c>
    </row>
    <row r="79" spans="1:7" x14ac:dyDescent="0.4">
      <c r="A79">
        <f t="shared" si="1"/>
        <v>35.160699999999999</v>
      </c>
      <c r="B79">
        <v>4755</v>
      </c>
      <c r="C79">
        <v>3877.5931</v>
      </c>
      <c r="D79" s="1">
        <v>1</v>
      </c>
      <c r="E79">
        <f t="shared" si="0"/>
        <v>5905.5603572742075</v>
      </c>
      <c r="G79">
        <v>35.1387</v>
      </c>
    </row>
    <row r="80" spans="1:7" x14ac:dyDescent="0.4">
      <c r="A80">
        <f t="shared" si="1"/>
        <v>35.161699999999996</v>
      </c>
      <c r="B80">
        <v>3795</v>
      </c>
      <c r="C80">
        <v>3881.2217999999998</v>
      </c>
      <c r="D80" s="1">
        <v>1</v>
      </c>
      <c r="E80">
        <f t="shared" si="0"/>
        <v>4708.8639554173387</v>
      </c>
      <c r="G80">
        <v>35.139699999999998</v>
      </c>
    </row>
    <row r="81" spans="1:7" x14ac:dyDescent="0.4">
      <c r="A81">
        <f t="shared" si="1"/>
        <v>35.162700000000001</v>
      </c>
      <c r="B81">
        <v>3038</v>
      </c>
      <c r="C81">
        <v>3879.3013999999998</v>
      </c>
      <c r="D81" s="1">
        <v>1</v>
      </c>
      <c r="E81">
        <f t="shared" si="0"/>
        <v>3771.4388592750233</v>
      </c>
      <c r="G81">
        <v>35.140700000000002</v>
      </c>
    </row>
    <row r="82" spans="1:7" x14ac:dyDescent="0.4">
      <c r="A82">
        <f t="shared" si="1"/>
        <v>35.163699999999999</v>
      </c>
      <c r="B82">
        <v>2403</v>
      </c>
      <c r="C82">
        <v>3873.4005999999999</v>
      </c>
      <c r="D82" s="1">
        <v>1</v>
      </c>
      <c r="E82">
        <f t="shared" si="0"/>
        <v>2987.6806922062233</v>
      </c>
      <c r="G82">
        <v>35.1417</v>
      </c>
    </row>
    <row r="83" spans="1:7" x14ac:dyDescent="0.4">
      <c r="A83">
        <f t="shared" si="1"/>
        <v>35.164699999999996</v>
      </c>
      <c r="B83">
        <v>2031</v>
      </c>
      <c r="C83">
        <v>3875.3047999999999</v>
      </c>
      <c r="D83" s="1">
        <v>1</v>
      </c>
      <c r="E83">
        <f t="shared" si="0"/>
        <v>2523.9275389641612</v>
      </c>
      <c r="G83">
        <v>35.142699999999998</v>
      </c>
    </row>
    <row r="84" spans="1:7" x14ac:dyDescent="0.4">
      <c r="A84">
        <f t="shared" si="1"/>
        <v>35.165700000000001</v>
      </c>
      <c r="B84">
        <v>1664</v>
      </c>
      <c r="C84">
        <v>3871.5189999999998</v>
      </c>
      <c r="D84" s="1">
        <v>1</v>
      </c>
      <c r="E84">
        <f t="shared" si="0"/>
        <v>2069.8780169747329</v>
      </c>
      <c r="G84">
        <v>35.143700000000003</v>
      </c>
    </row>
    <row r="85" spans="1:7" x14ac:dyDescent="0.4">
      <c r="A85">
        <f t="shared" si="1"/>
        <v>35.166699999999999</v>
      </c>
      <c r="B85">
        <v>1396</v>
      </c>
      <c r="C85">
        <v>3866.7112000000002</v>
      </c>
      <c r="D85" s="1">
        <v>1</v>
      </c>
      <c r="E85">
        <f t="shared" si="0"/>
        <v>1738.6673836928912</v>
      </c>
      <c r="G85">
        <v>35.1447</v>
      </c>
    </row>
    <row r="86" spans="1:7" x14ac:dyDescent="0.4">
      <c r="A86">
        <f t="shared" si="1"/>
        <v>35.167699999999996</v>
      </c>
      <c r="B86">
        <v>1251</v>
      </c>
      <c r="C86">
        <v>3862.1907999999999</v>
      </c>
      <c r="D86" s="1">
        <v>1</v>
      </c>
      <c r="E86">
        <f t="shared" ref="E86:E102" si="2">$A$1*B86/C86</f>
        <v>1559.8987493315972</v>
      </c>
      <c r="G86">
        <v>35.145699999999998</v>
      </c>
    </row>
    <row r="87" spans="1:7" x14ac:dyDescent="0.4">
      <c r="A87">
        <f t="shared" ref="A87:A102" si="3">G87+$B$1</f>
        <v>35.168700000000001</v>
      </c>
      <c r="B87">
        <v>1079</v>
      </c>
      <c r="C87">
        <v>3860.8883000000001</v>
      </c>
      <c r="D87" s="1">
        <v>1</v>
      </c>
      <c r="E87">
        <f t="shared" si="2"/>
        <v>1345.8821482610622</v>
      </c>
      <c r="G87">
        <v>35.146700000000003</v>
      </c>
    </row>
    <row r="88" spans="1:7" x14ac:dyDescent="0.4">
      <c r="A88">
        <f t="shared" si="3"/>
        <v>35.169699999999999</v>
      </c>
      <c r="B88">
        <v>954</v>
      </c>
      <c r="C88">
        <v>3864.0520000000001</v>
      </c>
      <c r="D88" s="1">
        <v>1</v>
      </c>
      <c r="E88">
        <f t="shared" si="2"/>
        <v>1188.9900975452713</v>
      </c>
      <c r="G88">
        <v>35.1477</v>
      </c>
    </row>
    <row r="89" spans="1:7" x14ac:dyDescent="0.4">
      <c r="A89">
        <f t="shared" si="3"/>
        <v>35.170699999999997</v>
      </c>
      <c r="B89">
        <v>867</v>
      </c>
      <c r="C89">
        <v>3870.9371999999998</v>
      </c>
      <c r="D89" s="1">
        <v>1</v>
      </c>
      <c r="E89">
        <f t="shared" si="2"/>
        <v>1078.6382006404031</v>
      </c>
      <c r="G89">
        <v>35.148699999999998</v>
      </c>
    </row>
    <row r="90" spans="1:7" x14ac:dyDescent="0.4">
      <c r="A90">
        <f t="shared" si="3"/>
        <v>35.171700000000001</v>
      </c>
      <c r="B90">
        <v>694</v>
      </c>
      <c r="C90">
        <v>3871.2136</v>
      </c>
      <c r="D90" s="1">
        <v>1</v>
      </c>
      <c r="E90">
        <f t="shared" si="2"/>
        <v>863.34655581908476</v>
      </c>
      <c r="G90">
        <v>35.149700000000003</v>
      </c>
    </row>
    <row r="91" spans="1:7" x14ac:dyDescent="0.4">
      <c r="A91">
        <f t="shared" si="3"/>
        <v>35.172699999999999</v>
      </c>
      <c r="B91">
        <v>635</v>
      </c>
      <c r="C91">
        <v>3862.5230999999999</v>
      </c>
      <c r="D91" s="1">
        <v>1</v>
      </c>
      <c r="E91">
        <f t="shared" si="2"/>
        <v>791.72700895950629</v>
      </c>
      <c r="G91">
        <v>35.150700000000001</v>
      </c>
    </row>
    <row r="92" spans="1:7" x14ac:dyDescent="0.4">
      <c r="A92">
        <f t="shared" si="3"/>
        <v>35.173699999999997</v>
      </c>
      <c r="B92">
        <v>622</v>
      </c>
      <c r="C92">
        <v>3851.6401999999998</v>
      </c>
      <c r="D92" s="1">
        <v>1</v>
      </c>
      <c r="E92">
        <f t="shared" si="2"/>
        <v>777.70967007769832</v>
      </c>
      <c r="G92">
        <v>35.151699999999998</v>
      </c>
    </row>
    <row r="93" spans="1:7" x14ac:dyDescent="0.4">
      <c r="A93">
        <f t="shared" si="3"/>
        <v>35.174700000000001</v>
      </c>
      <c r="B93">
        <v>578</v>
      </c>
      <c r="C93">
        <v>3844.7046</v>
      </c>
      <c r="D93" s="1">
        <v>1</v>
      </c>
      <c r="E93">
        <f t="shared" si="2"/>
        <v>723.99853315128564</v>
      </c>
      <c r="G93">
        <v>35.152700000000003</v>
      </c>
    </row>
    <row r="94" spans="1:7" x14ac:dyDescent="0.4">
      <c r="A94">
        <f t="shared" si="3"/>
        <v>35.175699999999999</v>
      </c>
      <c r="B94">
        <v>534</v>
      </c>
      <c r="C94">
        <v>3839.0518999999999</v>
      </c>
      <c r="D94" s="1">
        <v>1</v>
      </c>
      <c r="E94">
        <f t="shared" si="2"/>
        <v>669.86933737467837</v>
      </c>
      <c r="G94">
        <v>35.153700000000001</v>
      </c>
    </row>
    <row r="95" spans="1:7" x14ac:dyDescent="0.4">
      <c r="A95">
        <f t="shared" si="3"/>
        <v>35.176699999999997</v>
      </c>
      <c r="B95">
        <v>489</v>
      </c>
      <c r="C95">
        <v>3844.8173000000002</v>
      </c>
      <c r="D95" s="1">
        <v>1</v>
      </c>
      <c r="E95">
        <f t="shared" si="2"/>
        <v>612.49983592198259</v>
      </c>
      <c r="G95">
        <v>35.154699999999998</v>
      </c>
    </row>
    <row r="96" spans="1:7" x14ac:dyDescent="0.4">
      <c r="A96">
        <f t="shared" si="3"/>
        <v>35.177700000000002</v>
      </c>
      <c r="B96">
        <v>458</v>
      </c>
      <c r="C96">
        <v>3842.5654</v>
      </c>
      <c r="D96" s="1">
        <v>1</v>
      </c>
      <c r="E96">
        <f t="shared" si="2"/>
        <v>574.0067973338854</v>
      </c>
      <c r="G96">
        <v>35.155700000000003</v>
      </c>
    </row>
    <row r="97" spans="1:7" x14ac:dyDescent="0.4">
      <c r="A97">
        <f t="shared" si="3"/>
        <v>35.178699999999999</v>
      </c>
      <c r="B97">
        <v>478</v>
      </c>
      <c r="C97">
        <v>3831.8998000000001</v>
      </c>
      <c r="D97" s="1">
        <v>1</v>
      </c>
      <c r="E97">
        <f t="shared" si="2"/>
        <v>600.7400378266675</v>
      </c>
      <c r="G97">
        <v>35.156700000000001</v>
      </c>
    </row>
    <row r="98" spans="1:7" x14ac:dyDescent="0.4">
      <c r="A98">
        <f t="shared" si="3"/>
        <v>35.179699999999997</v>
      </c>
      <c r="B98">
        <v>440</v>
      </c>
      <c r="C98">
        <v>3828.5830999999998</v>
      </c>
      <c r="D98" s="1">
        <v>1</v>
      </c>
      <c r="E98">
        <f t="shared" si="2"/>
        <v>553.46151008188906</v>
      </c>
      <c r="G98">
        <v>35.157699999999998</v>
      </c>
    </row>
    <row r="99" spans="1:7" x14ac:dyDescent="0.4">
      <c r="A99">
        <f t="shared" si="3"/>
        <v>35.180700000000002</v>
      </c>
      <c r="B99">
        <v>379</v>
      </c>
      <c r="C99">
        <v>3826.6068</v>
      </c>
      <c r="D99" s="1">
        <v>1</v>
      </c>
      <c r="E99">
        <f t="shared" si="2"/>
        <v>476.97783305041958</v>
      </c>
      <c r="G99">
        <v>35.158700000000003</v>
      </c>
    </row>
    <row r="100" spans="1:7" x14ac:dyDescent="0.4">
      <c r="A100">
        <f t="shared" si="3"/>
        <v>35.181699999999999</v>
      </c>
      <c r="B100">
        <v>435</v>
      </c>
      <c r="C100">
        <v>3841.8854999999999</v>
      </c>
      <c r="D100" s="1">
        <v>1</v>
      </c>
      <c r="E100">
        <f t="shared" si="2"/>
        <v>545.27760939257564</v>
      </c>
      <c r="G100">
        <v>35.159700000000001</v>
      </c>
    </row>
    <row r="101" spans="1:7" x14ac:dyDescent="0.4">
      <c r="A101">
        <f t="shared" si="3"/>
        <v>35.182699999999997</v>
      </c>
      <c r="B101">
        <v>373</v>
      </c>
      <c r="C101">
        <v>3851.8141000000001</v>
      </c>
      <c r="D101" s="1">
        <v>1</v>
      </c>
      <c r="E101">
        <f t="shared" si="2"/>
        <v>466.35467890311736</v>
      </c>
      <c r="G101">
        <v>35.160699999999999</v>
      </c>
    </row>
    <row r="102" spans="1:7" x14ac:dyDescent="0.4">
      <c r="A102">
        <f t="shared" si="3"/>
        <v>35.183700000000002</v>
      </c>
      <c r="B102">
        <v>327</v>
      </c>
      <c r="C102">
        <v>3843.0762</v>
      </c>
      <c r="D102" s="1">
        <v>1</v>
      </c>
      <c r="E102">
        <f t="shared" si="2"/>
        <v>409.77134208267847</v>
      </c>
      <c r="G102">
        <v>35.161700000000003</v>
      </c>
    </row>
  </sheetData>
  <phoneticPr fontId="2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FE42-4B9A-4811-80EB-C28EF5569BA4}">
  <dimension ref="A1:J102"/>
  <sheetViews>
    <sheetView workbookViewId="0">
      <selection activeCell="B6" sqref="B6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2" x14ac:dyDescent="0.4">
      <c r="A1">
        <v>4815.8486000000003</v>
      </c>
      <c r="B1">
        <v>0.61399999999999999</v>
      </c>
    </row>
    <row r="3" spans="1:2" x14ac:dyDescent="0.4">
      <c r="A3" t="s">
        <v>58</v>
      </c>
    </row>
    <row r="4" spans="1:2" x14ac:dyDescent="0.4">
      <c r="A4" t="s">
        <v>55</v>
      </c>
    </row>
    <row r="5" spans="1:2" x14ac:dyDescent="0.4">
      <c r="A5" t="s">
        <v>45</v>
      </c>
    </row>
    <row r="6" spans="1:2" x14ac:dyDescent="0.4">
      <c r="A6" t="s">
        <v>46</v>
      </c>
    </row>
    <row r="7" spans="1:2" x14ac:dyDescent="0.4">
      <c r="A7" t="s">
        <v>47</v>
      </c>
    </row>
    <row r="8" spans="1:2" x14ac:dyDescent="0.4">
      <c r="A8" t="s">
        <v>5</v>
      </c>
    </row>
    <row r="9" spans="1:2" x14ac:dyDescent="0.4">
      <c r="A9" t="s">
        <v>48</v>
      </c>
    </row>
    <row r="10" spans="1:2" x14ac:dyDescent="0.4">
      <c r="A10" t="s">
        <v>7</v>
      </c>
    </row>
    <row r="11" spans="1:2" x14ac:dyDescent="0.4">
      <c r="A11" t="s">
        <v>49</v>
      </c>
    </row>
    <row r="12" spans="1:2" x14ac:dyDescent="0.4">
      <c r="A12" t="s">
        <v>9</v>
      </c>
    </row>
    <row r="13" spans="1:2" x14ac:dyDescent="0.4">
      <c r="A13" t="s">
        <v>10</v>
      </c>
    </row>
    <row r="14" spans="1:2" x14ac:dyDescent="0.4">
      <c r="A14" t="s">
        <v>11</v>
      </c>
    </row>
    <row r="15" spans="1:2" x14ac:dyDescent="0.4">
      <c r="A15" t="s">
        <v>12</v>
      </c>
    </row>
    <row r="16" spans="1:2" x14ac:dyDescent="0.4">
      <c r="A16" t="s">
        <v>13</v>
      </c>
    </row>
    <row r="17" spans="1:10" x14ac:dyDescent="0.4">
      <c r="A17" t="s">
        <v>14</v>
      </c>
    </row>
    <row r="18" spans="1:10" x14ac:dyDescent="0.4">
      <c r="A18" t="s">
        <v>26</v>
      </c>
    </row>
    <row r="19" spans="1:10" x14ac:dyDescent="0.4">
      <c r="A19" t="s">
        <v>56</v>
      </c>
      <c r="B19" t="s">
        <v>57</v>
      </c>
    </row>
    <row r="20" spans="1:10" x14ac:dyDescent="0.4">
      <c r="A20" t="s">
        <v>29</v>
      </c>
      <c r="B20" t="s">
        <v>19</v>
      </c>
    </row>
    <row r="21" spans="1:10" x14ac:dyDescent="0.4">
      <c r="A21" t="s">
        <v>20</v>
      </c>
      <c r="B21" t="s">
        <v>21</v>
      </c>
      <c r="C21" t="s">
        <v>22</v>
      </c>
      <c r="D21" t="s">
        <v>23</v>
      </c>
      <c r="J21">
        <v>35.14</v>
      </c>
    </row>
    <row r="22" spans="1:10" x14ac:dyDescent="0.4">
      <c r="A22">
        <f>G22+$B$1</f>
        <v>35.0991</v>
      </c>
      <c r="B22">
        <v>153494</v>
      </c>
      <c r="C22">
        <v>3097.4823999999999</v>
      </c>
      <c r="D22" s="1">
        <v>1</v>
      </c>
      <c r="E22">
        <f t="shared" ref="E22:E85" si="0">$A$1*B22/C22</f>
        <v>238646.67157056328</v>
      </c>
      <c r="G22">
        <v>34.485100000000003</v>
      </c>
      <c r="J22">
        <v>34.525100000000002</v>
      </c>
    </row>
    <row r="23" spans="1:10" x14ac:dyDescent="0.4">
      <c r="A23">
        <f t="shared" ref="A23:A86" si="1">G23+$B$1</f>
        <v>35.100099999999998</v>
      </c>
      <c r="B23">
        <v>162988</v>
      </c>
      <c r="C23">
        <v>3099.4931999999999</v>
      </c>
      <c r="D23" s="1">
        <v>1</v>
      </c>
      <c r="E23">
        <f t="shared" si="0"/>
        <v>253243.18556878914</v>
      </c>
      <c r="G23">
        <v>34.4861</v>
      </c>
      <c r="J23">
        <f>J21-J22</f>
        <v>0.61489999999999867</v>
      </c>
    </row>
    <row r="24" spans="1:10" x14ac:dyDescent="0.4">
      <c r="A24">
        <f t="shared" si="1"/>
        <v>35.101099999999995</v>
      </c>
      <c r="B24">
        <v>173360</v>
      </c>
      <c r="C24">
        <v>3094.0475999999999</v>
      </c>
      <c r="D24" s="1">
        <v>1</v>
      </c>
      <c r="E24">
        <f t="shared" si="0"/>
        <v>269832.79549286835</v>
      </c>
      <c r="G24">
        <v>34.487099999999998</v>
      </c>
    </row>
    <row r="25" spans="1:10" x14ac:dyDescent="0.4">
      <c r="A25">
        <f t="shared" si="1"/>
        <v>35.1021</v>
      </c>
      <c r="B25">
        <v>183947</v>
      </c>
      <c r="C25">
        <v>3084.4322999999999</v>
      </c>
      <c r="D25" s="1">
        <v>1</v>
      </c>
      <c r="E25">
        <f>$A$1*B25/C25</f>
        <v>287203.87295393064</v>
      </c>
      <c r="G25">
        <v>34.488100000000003</v>
      </c>
    </row>
    <row r="26" spans="1:10" x14ac:dyDescent="0.4">
      <c r="A26">
        <f t="shared" si="1"/>
        <v>35.103099999999998</v>
      </c>
      <c r="B26">
        <v>196584</v>
      </c>
      <c r="C26">
        <v>3080.3404</v>
      </c>
      <c r="D26" s="1">
        <v>1</v>
      </c>
      <c r="E26">
        <f t="shared" si="0"/>
        <v>307342.26034966786</v>
      </c>
      <c r="G26">
        <v>34.489100000000001</v>
      </c>
    </row>
    <row r="27" spans="1:10" x14ac:dyDescent="0.4">
      <c r="A27">
        <f t="shared" si="1"/>
        <v>35.104099999999995</v>
      </c>
      <c r="B27">
        <v>211116</v>
      </c>
      <c r="C27">
        <v>3080.4994000000002</v>
      </c>
      <c r="D27" s="1">
        <v>1</v>
      </c>
      <c r="E27">
        <f t="shared" si="0"/>
        <v>330044.76255947328</v>
      </c>
      <c r="G27">
        <v>34.490099999999998</v>
      </c>
    </row>
    <row r="28" spans="1:10" x14ac:dyDescent="0.4">
      <c r="A28">
        <f t="shared" si="1"/>
        <v>35.1051</v>
      </c>
      <c r="B28">
        <v>226308</v>
      </c>
      <c r="C28">
        <v>3079.8105999999998</v>
      </c>
      <c r="D28" s="1">
        <v>1</v>
      </c>
      <c r="E28">
        <f t="shared" si="0"/>
        <v>353874.05477752438</v>
      </c>
      <c r="G28">
        <v>34.491100000000003</v>
      </c>
    </row>
    <row r="29" spans="1:10" x14ac:dyDescent="0.4">
      <c r="A29">
        <f t="shared" si="1"/>
        <v>35.106099999999998</v>
      </c>
      <c r="B29">
        <v>243330</v>
      </c>
      <c r="C29">
        <v>3078.9078</v>
      </c>
      <c r="D29" s="1">
        <v>1</v>
      </c>
      <c r="E29">
        <f t="shared" si="0"/>
        <v>380602.64092286234</v>
      </c>
      <c r="G29">
        <v>34.492100000000001</v>
      </c>
    </row>
    <row r="30" spans="1:10" x14ac:dyDescent="0.4">
      <c r="A30">
        <f t="shared" si="1"/>
        <v>35.107099999999996</v>
      </c>
      <c r="B30">
        <v>263013</v>
      </c>
      <c r="C30">
        <v>3082.6704</v>
      </c>
      <c r="D30" s="1">
        <v>1</v>
      </c>
      <c r="E30">
        <f t="shared" si="0"/>
        <v>410887.51746920461</v>
      </c>
      <c r="G30">
        <v>34.493099999999998</v>
      </c>
    </row>
    <row r="31" spans="1:10" x14ac:dyDescent="0.4">
      <c r="A31">
        <f t="shared" si="1"/>
        <v>35.1081</v>
      </c>
      <c r="B31">
        <v>284059</v>
      </c>
      <c r="C31">
        <v>3083.8568</v>
      </c>
      <c r="D31" s="1">
        <v>1</v>
      </c>
      <c r="E31">
        <f t="shared" si="0"/>
        <v>443595.54486038396</v>
      </c>
      <c r="G31">
        <v>34.494100000000003</v>
      </c>
    </row>
    <row r="32" spans="1:10" x14ac:dyDescent="0.4">
      <c r="A32">
        <f t="shared" si="1"/>
        <v>35.109099999999998</v>
      </c>
      <c r="B32">
        <v>307536</v>
      </c>
      <c r="C32">
        <v>3084.8811000000001</v>
      </c>
      <c r="D32" s="1">
        <v>1</v>
      </c>
      <c r="E32">
        <f t="shared" si="0"/>
        <v>480098.50851288892</v>
      </c>
      <c r="G32">
        <v>34.495100000000001</v>
      </c>
    </row>
    <row r="33" spans="1:7" x14ac:dyDescent="0.4">
      <c r="A33">
        <f t="shared" si="1"/>
        <v>35.110099999999996</v>
      </c>
      <c r="B33">
        <v>333330</v>
      </c>
      <c r="C33">
        <v>3081.0101</v>
      </c>
      <c r="D33" s="1">
        <v>1</v>
      </c>
      <c r="E33">
        <f t="shared" si="0"/>
        <v>521019.65320983535</v>
      </c>
      <c r="G33">
        <v>34.496099999999998</v>
      </c>
    </row>
    <row r="34" spans="1:7" x14ac:dyDescent="0.4">
      <c r="A34">
        <f t="shared" si="1"/>
        <v>35.1111</v>
      </c>
      <c r="B34">
        <v>360811</v>
      </c>
      <c r="C34">
        <v>3074.78</v>
      </c>
      <c r="D34" s="1">
        <v>1</v>
      </c>
      <c r="E34">
        <f t="shared" si="0"/>
        <v>565117.22764379892</v>
      </c>
      <c r="G34">
        <v>34.497100000000003</v>
      </c>
    </row>
    <row r="35" spans="1:7" x14ac:dyDescent="0.4">
      <c r="A35">
        <f t="shared" si="1"/>
        <v>35.112099999999998</v>
      </c>
      <c r="B35">
        <v>392613</v>
      </c>
      <c r="C35">
        <v>3068.2523000000001</v>
      </c>
      <c r="D35" s="1">
        <v>1</v>
      </c>
      <c r="E35">
        <f t="shared" si="0"/>
        <v>616235.10113291536</v>
      </c>
      <c r="G35">
        <v>34.498100000000001</v>
      </c>
    </row>
    <row r="36" spans="1:7" x14ac:dyDescent="0.4">
      <c r="A36">
        <f t="shared" si="1"/>
        <v>35.113099999999996</v>
      </c>
      <c r="B36">
        <v>429107</v>
      </c>
      <c r="C36">
        <v>3064.9897999999998</v>
      </c>
      <c r="D36" s="1">
        <v>1</v>
      </c>
      <c r="E36">
        <f t="shared" si="0"/>
        <v>674232.04644929001</v>
      </c>
      <c r="G36">
        <v>34.499099999999999</v>
      </c>
    </row>
    <row r="37" spans="1:7" x14ac:dyDescent="0.4">
      <c r="A37">
        <f t="shared" si="1"/>
        <v>35.114100000000001</v>
      </c>
      <c r="B37">
        <v>473247</v>
      </c>
      <c r="C37">
        <v>3068.8604999999998</v>
      </c>
      <c r="D37" s="1">
        <v>1</v>
      </c>
      <c r="E37">
        <f t="shared" si="0"/>
        <v>742648.90906712774</v>
      </c>
      <c r="G37">
        <v>34.500100000000003</v>
      </c>
    </row>
    <row r="38" spans="1:7" x14ac:dyDescent="0.4">
      <c r="A38">
        <f t="shared" si="1"/>
        <v>35.115099999999998</v>
      </c>
      <c r="B38">
        <v>521977</v>
      </c>
      <c r="C38">
        <v>3073.9146000000001</v>
      </c>
      <c r="D38" s="1">
        <v>1</v>
      </c>
      <c r="E38">
        <f t="shared" si="0"/>
        <v>817772.29747443204</v>
      </c>
      <c r="G38">
        <v>34.501100000000001</v>
      </c>
    </row>
    <row r="39" spans="1:7" x14ac:dyDescent="0.4">
      <c r="A39">
        <f t="shared" si="1"/>
        <v>35.116099999999996</v>
      </c>
      <c r="B39">
        <v>578793</v>
      </c>
      <c r="C39">
        <v>3079.5398</v>
      </c>
      <c r="D39" s="1">
        <v>1</v>
      </c>
      <c r="E39">
        <f t="shared" si="0"/>
        <v>905128.57107409358</v>
      </c>
      <c r="G39">
        <v>34.502099999999999</v>
      </c>
    </row>
    <row r="40" spans="1:7" x14ac:dyDescent="0.4">
      <c r="A40">
        <f t="shared" si="1"/>
        <v>35.117100000000001</v>
      </c>
      <c r="B40">
        <v>642494</v>
      </c>
      <c r="C40">
        <v>3078.2955000000002</v>
      </c>
      <c r="D40" s="1">
        <v>1</v>
      </c>
      <c r="E40">
        <f t="shared" si="0"/>
        <v>1005151.6595493837</v>
      </c>
      <c r="G40">
        <v>34.503100000000003</v>
      </c>
    </row>
    <row r="41" spans="1:7" x14ac:dyDescent="0.4">
      <c r="A41">
        <f t="shared" si="1"/>
        <v>35.118099999999998</v>
      </c>
      <c r="B41">
        <v>715168</v>
      </c>
      <c r="C41">
        <v>3079.3537999999999</v>
      </c>
      <c r="D41" s="1">
        <v>1</v>
      </c>
      <c r="E41">
        <f t="shared" si="0"/>
        <v>1118462.1954011263</v>
      </c>
      <c r="G41">
        <v>34.504100000000001</v>
      </c>
    </row>
    <row r="42" spans="1:7" x14ac:dyDescent="0.4">
      <c r="A42">
        <f t="shared" si="1"/>
        <v>35.119099999999996</v>
      </c>
      <c r="B42">
        <v>801795</v>
      </c>
      <c r="C42">
        <v>3076.0016000000001</v>
      </c>
      <c r="D42" s="1">
        <v>1</v>
      </c>
      <c r="E42">
        <f t="shared" si="0"/>
        <v>1255306.0207241115</v>
      </c>
      <c r="G42">
        <v>34.505099999999999</v>
      </c>
    </row>
    <row r="43" spans="1:7" x14ac:dyDescent="0.4">
      <c r="A43">
        <f t="shared" si="1"/>
        <v>35.120100000000001</v>
      </c>
      <c r="B43">
        <v>900133</v>
      </c>
      <c r="C43">
        <v>3063.8344000000002</v>
      </c>
      <c r="D43" s="1">
        <v>1</v>
      </c>
      <c r="E43">
        <f t="shared" si="0"/>
        <v>1414862.4507459672</v>
      </c>
      <c r="G43">
        <v>34.506100000000004</v>
      </c>
    </row>
    <row r="44" spans="1:7" x14ac:dyDescent="0.4">
      <c r="A44">
        <f t="shared" si="1"/>
        <v>35.121099999999998</v>
      </c>
      <c r="B44">
        <v>1023483</v>
      </c>
      <c r="C44">
        <v>3058.4178000000002</v>
      </c>
      <c r="D44" s="1">
        <v>1</v>
      </c>
      <c r="E44">
        <f t="shared" si="0"/>
        <v>1611597.7263386971</v>
      </c>
      <c r="G44">
        <v>34.507100000000001</v>
      </c>
    </row>
    <row r="45" spans="1:7" x14ac:dyDescent="0.4">
      <c r="A45">
        <f t="shared" si="1"/>
        <v>35.122099999999996</v>
      </c>
      <c r="B45">
        <v>1175983</v>
      </c>
      <c r="C45">
        <v>3063.5898999999999</v>
      </c>
      <c r="D45" s="1">
        <v>1</v>
      </c>
      <c r="E45">
        <f t="shared" si="0"/>
        <v>1848601.2387538557</v>
      </c>
      <c r="G45">
        <v>34.508099999999999</v>
      </c>
    </row>
    <row r="46" spans="1:7" x14ac:dyDescent="0.4">
      <c r="A46">
        <f t="shared" si="1"/>
        <v>35.123099999999994</v>
      </c>
      <c r="B46">
        <v>1358975</v>
      </c>
      <c r="C46">
        <v>3069.1963999999998</v>
      </c>
      <c r="D46" s="1">
        <v>1</v>
      </c>
      <c r="E46">
        <f t="shared" si="0"/>
        <v>2132355.508818204</v>
      </c>
      <c r="G46">
        <v>34.509099999999997</v>
      </c>
    </row>
    <row r="47" spans="1:7" x14ac:dyDescent="0.4">
      <c r="A47">
        <f t="shared" si="1"/>
        <v>35.124099999999999</v>
      </c>
      <c r="B47">
        <v>1575283</v>
      </c>
      <c r="C47">
        <v>3070.6345000000001</v>
      </c>
      <c r="D47" s="1">
        <v>1</v>
      </c>
      <c r="E47">
        <f t="shared" si="0"/>
        <v>2470604.8310711677</v>
      </c>
      <c r="G47">
        <v>34.510100000000001</v>
      </c>
    </row>
    <row r="48" spans="1:7" x14ac:dyDescent="0.4">
      <c r="A48">
        <f t="shared" si="1"/>
        <v>35.125099999999996</v>
      </c>
      <c r="B48">
        <v>1833967</v>
      </c>
      <c r="C48">
        <v>3065.9766</v>
      </c>
      <c r="D48" s="1">
        <v>1</v>
      </c>
      <c r="E48">
        <f t="shared" si="0"/>
        <v>2880683.2411559178</v>
      </c>
      <c r="G48">
        <v>34.511099999999999</v>
      </c>
    </row>
    <row r="49" spans="1:7" x14ac:dyDescent="0.4">
      <c r="A49">
        <f t="shared" si="1"/>
        <v>35.126099999999994</v>
      </c>
      <c r="B49">
        <v>2150612</v>
      </c>
      <c r="C49">
        <v>3057.7125999999998</v>
      </c>
      <c r="D49" s="1">
        <v>1</v>
      </c>
      <c r="E49">
        <f t="shared" si="0"/>
        <v>3387179.6156850061</v>
      </c>
      <c r="G49">
        <v>34.512099999999997</v>
      </c>
    </row>
    <row r="50" spans="1:7" x14ac:dyDescent="0.4">
      <c r="A50">
        <f t="shared" si="1"/>
        <v>35.127099999999999</v>
      </c>
      <c r="B50">
        <v>2553985</v>
      </c>
      <c r="C50">
        <v>3057.2496999999998</v>
      </c>
      <c r="D50" s="1">
        <v>1</v>
      </c>
      <c r="E50">
        <f t="shared" si="0"/>
        <v>4023094.707203995</v>
      </c>
      <c r="G50">
        <v>34.513100000000001</v>
      </c>
    </row>
    <row r="51" spans="1:7" x14ac:dyDescent="0.4">
      <c r="A51">
        <f t="shared" si="1"/>
        <v>35.128099999999996</v>
      </c>
      <c r="B51">
        <v>3066415</v>
      </c>
      <c r="C51">
        <v>3060.6219999999998</v>
      </c>
      <c r="D51" s="1">
        <v>1</v>
      </c>
      <c r="E51">
        <f t="shared" si="0"/>
        <v>4824963.809568448</v>
      </c>
      <c r="G51">
        <v>34.514099999999999</v>
      </c>
    </row>
    <row r="52" spans="1:7" x14ac:dyDescent="0.4">
      <c r="A52">
        <f t="shared" si="1"/>
        <v>35.129099999999994</v>
      </c>
      <c r="B52">
        <v>3721108</v>
      </c>
      <c r="C52">
        <v>3065.0337</v>
      </c>
      <c r="D52" s="1">
        <v>1</v>
      </c>
      <c r="E52">
        <f t="shared" si="0"/>
        <v>5846687.0208470477</v>
      </c>
      <c r="G52">
        <v>34.515099999999997</v>
      </c>
    </row>
    <row r="53" spans="1:7" x14ac:dyDescent="0.4">
      <c r="A53">
        <f t="shared" si="1"/>
        <v>35.130099999999999</v>
      </c>
      <c r="B53">
        <v>4527323</v>
      </c>
      <c r="C53">
        <v>3066.4522999999999</v>
      </c>
      <c r="D53" s="1">
        <v>1</v>
      </c>
      <c r="E53">
        <f t="shared" si="0"/>
        <v>7110139.013510108</v>
      </c>
      <c r="G53">
        <v>34.516100000000002</v>
      </c>
    </row>
    <row r="54" spans="1:7" x14ac:dyDescent="0.4">
      <c r="A54">
        <f t="shared" si="1"/>
        <v>35.131099999999996</v>
      </c>
      <c r="B54">
        <v>5563866</v>
      </c>
      <c r="C54">
        <v>3063.7588000000001</v>
      </c>
      <c r="D54" s="1">
        <v>1</v>
      </c>
      <c r="E54">
        <f t="shared" si="0"/>
        <v>8745706.8378514666</v>
      </c>
      <c r="G54">
        <v>34.517099999999999</v>
      </c>
    </row>
    <row r="55" spans="1:7" x14ac:dyDescent="0.4">
      <c r="A55">
        <f t="shared" si="1"/>
        <v>35.132099999999994</v>
      </c>
      <c r="B55">
        <v>6962339</v>
      </c>
      <c r="C55">
        <v>3060.6505000000002</v>
      </c>
      <c r="D55" s="1">
        <v>1</v>
      </c>
      <c r="E55">
        <f t="shared" si="0"/>
        <v>10955047.146309387</v>
      </c>
      <c r="G55">
        <v>34.518099999999997</v>
      </c>
    </row>
    <row r="56" spans="1:7" x14ac:dyDescent="0.4">
      <c r="A56">
        <f t="shared" si="1"/>
        <v>35.133099999999999</v>
      </c>
      <c r="B56">
        <v>8758212</v>
      </c>
      <c r="C56">
        <v>3057.5740000000001</v>
      </c>
      <c r="D56" s="1">
        <v>1</v>
      </c>
      <c r="E56">
        <f t="shared" si="0"/>
        <v>13794669.564400796</v>
      </c>
      <c r="G56">
        <v>34.519100000000002</v>
      </c>
    </row>
    <row r="57" spans="1:7" x14ac:dyDescent="0.4">
      <c r="A57">
        <f t="shared" si="1"/>
        <v>35.134099999999997</v>
      </c>
      <c r="B57">
        <v>10933965</v>
      </c>
      <c r="C57">
        <v>3049.1725000000001</v>
      </c>
      <c r="D57" s="1">
        <v>1</v>
      </c>
      <c r="E57">
        <f t="shared" si="0"/>
        <v>17269052.51759256</v>
      </c>
      <c r="G57">
        <v>34.520099999999999</v>
      </c>
    </row>
    <row r="58" spans="1:7" x14ac:dyDescent="0.4">
      <c r="A58">
        <f t="shared" si="1"/>
        <v>35.135099999999994</v>
      </c>
      <c r="B58">
        <v>13395715</v>
      </c>
      <c r="C58">
        <v>3047.0810999999999</v>
      </c>
      <c r="D58" s="1">
        <v>1</v>
      </c>
      <c r="E58">
        <f t="shared" si="0"/>
        <v>21171650.248741001</v>
      </c>
      <c r="G58">
        <v>34.521099999999997</v>
      </c>
    </row>
    <row r="59" spans="1:7" x14ac:dyDescent="0.4">
      <c r="A59">
        <f t="shared" si="1"/>
        <v>35.136099999999999</v>
      </c>
      <c r="B59">
        <v>15940135</v>
      </c>
      <c r="C59">
        <v>3044.0814</v>
      </c>
      <c r="D59" s="1">
        <v>1</v>
      </c>
      <c r="E59">
        <f t="shared" si="0"/>
        <v>25217879.135413725</v>
      </c>
      <c r="G59">
        <v>34.522100000000002</v>
      </c>
    </row>
    <row r="60" spans="1:7" x14ac:dyDescent="0.4">
      <c r="A60">
        <f t="shared" si="1"/>
        <v>35.137099999999997</v>
      </c>
      <c r="B60">
        <v>18315083</v>
      </c>
      <c r="C60">
        <v>3048.1559999999999</v>
      </c>
      <c r="D60" s="1">
        <v>1</v>
      </c>
      <c r="E60">
        <f t="shared" si="0"/>
        <v>28936401.819471776</v>
      </c>
      <c r="G60">
        <v>34.523099999999999</v>
      </c>
    </row>
    <row r="61" spans="1:7" x14ac:dyDescent="0.4">
      <c r="A61">
        <f t="shared" si="1"/>
        <v>35.138099999999994</v>
      </c>
      <c r="B61">
        <v>20057419</v>
      </c>
      <c r="C61">
        <v>3053.94</v>
      </c>
      <c r="D61" s="1">
        <v>1</v>
      </c>
      <c r="E61">
        <f t="shared" si="0"/>
        <v>31629139.148366835</v>
      </c>
      <c r="G61">
        <v>34.524099999999997</v>
      </c>
    </row>
    <row r="62" spans="1:7" x14ac:dyDescent="0.4">
      <c r="A62">
        <f t="shared" si="1"/>
        <v>35.139099999999999</v>
      </c>
      <c r="B62">
        <v>18506638</v>
      </c>
      <c r="C62">
        <v>3050.7345999999998</v>
      </c>
      <c r="D62" s="1">
        <v>1</v>
      </c>
      <c r="E62">
        <f t="shared" si="0"/>
        <v>29214329.788965192</v>
      </c>
      <c r="G62">
        <v>34.525100000000002</v>
      </c>
    </row>
    <row r="63" spans="1:7" x14ac:dyDescent="0.4">
      <c r="A63">
        <f t="shared" si="1"/>
        <v>35.140099999999997</v>
      </c>
      <c r="B63">
        <v>18630696</v>
      </c>
      <c r="C63">
        <v>3042.6678000000002</v>
      </c>
      <c r="D63" s="1">
        <v>1</v>
      </c>
      <c r="E63">
        <f t="shared" si="0"/>
        <v>29488139.076052144</v>
      </c>
      <c r="G63">
        <v>34.5261</v>
      </c>
    </row>
    <row r="64" spans="1:7" x14ac:dyDescent="0.4">
      <c r="A64">
        <f t="shared" si="1"/>
        <v>35.141099999999994</v>
      </c>
      <c r="B64">
        <v>17287436</v>
      </c>
      <c r="C64">
        <v>3042.424</v>
      </c>
      <c r="D64" s="1">
        <v>1</v>
      </c>
      <c r="E64">
        <f t="shared" si="0"/>
        <v>27364257.729425486</v>
      </c>
      <c r="G64">
        <v>34.527099999999997</v>
      </c>
    </row>
    <row r="65" spans="1:7" x14ac:dyDescent="0.4">
      <c r="A65">
        <f t="shared" si="1"/>
        <v>35.142099999999999</v>
      </c>
      <c r="B65">
        <v>14015113</v>
      </c>
      <c r="C65">
        <v>3045.3795</v>
      </c>
      <c r="D65" s="1">
        <v>1</v>
      </c>
      <c r="E65">
        <f t="shared" si="0"/>
        <v>22162972.568736278</v>
      </c>
      <c r="G65">
        <v>34.528100000000002</v>
      </c>
    </row>
    <row r="66" spans="1:7" x14ac:dyDescent="0.4">
      <c r="A66">
        <f t="shared" si="1"/>
        <v>35.143099999999997</v>
      </c>
      <c r="B66">
        <v>10958447</v>
      </c>
      <c r="C66">
        <v>3047.9544999999998</v>
      </c>
      <c r="D66" s="1">
        <v>1</v>
      </c>
      <c r="E66">
        <f t="shared" si="0"/>
        <v>17314635.649293389</v>
      </c>
      <c r="G66">
        <v>34.5291</v>
      </c>
    </row>
    <row r="67" spans="1:7" x14ac:dyDescent="0.4">
      <c r="A67">
        <f t="shared" si="1"/>
        <v>35.144099999999995</v>
      </c>
      <c r="B67">
        <v>8438127</v>
      </c>
      <c r="C67">
        <v>3047.9585000000002</v>
      </c>
      <c r="D67" s="1">
        <v>1</v>
      </c>
      <c r="E67">
        <f t="shared" si="0"/>
        <v>13332445.99608958</v>
      </c>
      <c r="G67">
        <v>34.530099999999997</v>
      </c>
    </row>
    <row r="68" spans="1:7" x14ac:dyDescent="0.4">
      <c r="A68">
        <f t="shared" si="1"/>
        <v>35.145099999999999</v>
      </c>
      <c r="B68">
        <v>6499369</v>
      </c>
      <c r="C68">
        <v>3044.5070999999998</v>
      </c>
      <c r="D68" s="1">
        <v>1</v>
      </c>
      <c r="E68">
        <f t="shared" si="0"/>
        <v>10280802.793835957</v>
      </c>
      <c r="G68">
        <v>34.531100000000002</v>
      </c>
    </row>
    <row r="69" spans="1:7" x14ac:dyDescent="0.4">
      <c r="A69">
        <f t="shared" si="1"/>
        <v>35.146099999999997</v>
      </c>
      <c r="B69">
        <v>5060853</v>
      </c>
      <c r="C69">
        <v>3041.5315999999998</v>
      </c>
      <c r="D69" s="1">
        <v>1</v>
      </c>
      <c r="E69">
        <f t="shared" si="0"/>
        <v>8013167.3906842861</v>
      </c>
      <c r="G69">
        <v>34.5321</v>
      </c>
    </row>
    <row r="70" spans="1:7" x14ac:dyDescent="0.4">
      <c r="A70">
        <f t="shared" si="1"/>
        <v>35.147099999999995</v>
      </c>
      <c r="B70">
        <v>4013995</v>
      </c>
      <c r="C70">
        <v>3038.7384000000002</v>
      </c>
      <c r="D70" s="1">
        <v>1</v>
      </c>
      <c r="E70">
        <f t="shared" si="0"/>
        <v>6361453.2271540714</v>
      </c>
      <c r="G70">
        <v>34.533099999999997</v>
      </c>
    </row>
    <row r="71" spans="1:7" x14ac:dyDescent="0.4">
      <c r="A71">
        <f t="shared" si="1"/>
        <v>35.148099999999999</v>
      </c>
      <c r="B71">
        <v>3260462</v>
      </c>
      <c r="C71">
        <v>3040.6500999999998</v>
      </c>
      <c r="D71" s="1">
        <v>1</v>
      </c>
      <c r="E71">
        <f t="shared" si="0"/>
        <v>5163991.5286711883</v>
      </c>
      <c r="G71">
        <v>34.534100000000002</v>
      </c>
    </row>
    <row r="72" spans="1:7" x14ac:dyDescent="0.4">
      <c r="A72">
        <f t="shared" si="1"/>
        <v>35.149099999999997</v>
      </c>
      <c r="B72">
        <v>2687433</v>
      </c>
      <c r="C72">
        <v>3039.2628</v>
      </c>
      <c r="D72" s="1">
        <v>1</v>
      </c>
      <c r="E72">
        <f t="shared" si="0"/>
        <v>4258358.4580589086</v>
      </c>
      <c r="G72">
        <v>34.5351</v>
      </c>
    </row>
    <row r="73" spans="1:7" x14ac:dyDescent="0.4">
      <c r="A73">
        <f t="shared" si="1"/>
        <v>35.150099999999995</v>
      </c>
      <c r="B73">
        <v>2242883</v>
      </c>
      <c r="C73">
        <v>3038.4612000000002</v>
      </c>
      <c r="D73" s="1">
        <v>1</v>
      </c>
      <c r="E73">
        <f t="shared" si="0"/>
        <v>3554886.5838779835</v>
      </c>
      <c r="G73">
        <v>34.536099999999998</v>
      </c>
    </row>
    <row r="74" spans="1:7" x14ac:dyDescent="0.4">
      <c r="A74">
        <f t="shared" si="1"/>
        <v>35.1511</v>
      </c>
      <c r="B74">
        <v>1897024</v>
      </c>
      <c r="C74">
        <v>3037.4373999999998</v>
      </c>
      <c r="D74" s="1">
        <v>1</v>
      </c>
      <c r="E74">
        <f t="shared" si="0"/>
        <v>3007726.3072372787</v>
      </c>
      <c r="G74">
        <v>34.537100000000002</v>
      </c>
    </row>
    <row r="75" spans="1:7" x14ac:dyDescent="0.4">
      <c r="A75">
        <f t="shared" si="1"/>
        <v>35.152099999999997</v>
      </c>
      <c r="B75">
        <v>1621547</v>
      </c>
      <c r="C75">
        <v>3031.0562</v>
      </c>
      <c r="D75" s="1">
        <v>1</v>
      </c>
      <c r="E75">
        <f t="shared" si="0"/>
        <v>2576370.8537585679</v>
      </c>
      <c r="G75">
        <v>34.5381</v>
      </c>
    </row>
    <row r="76" spans="1:7" x14ac:dyDescent="0.4">
      <c r="A76">
        <f t="shared" si="1"/>
        <v>35.153099999999995</v>
      </c>
      <c r="B76">
        <v>1394619</v>
      </c>
      <c r="C76">
        <v>3028.9861000000001</v>
      </c>
      <c r="D76" s="1">
        <v>1</v>
      </c>
      <c r="E76">
        <f t="shared" si="0"/>
        <v>2217334.0309100132</v>
      </c>
      <c r="G76">
        <v>34.539099999999998</v>
      </c>
    </row>
    <row r="77" spans="1:7" x14ac:dyDescent="0.4">
      <c r="A77">
        <f t="shared" si="1"/>
        <v>35.1541</v>
      </c>
      <c r="B77">
        <v>1207897</v>
      </c>
      <c r="C77">
        <v>3031.7820000000002</v>
      </c>
      <c r="D77" s="1">
        <v>1</v>
      </c>
      <c r="E77">
        <f t="shared" si="0"/>
        <v>1918689.7594860713</v>
      </c>
      <c r="G77">
        <v>34.540100000000002</v>
      </c>
    </row>
    <row r="78" spans="1:7" x14ac:dyDescent="0.4">
      <c r="A78">
        <f t="shared" si="1"/>
        <v>35.155099999999997</v>
      </c>
      <c r="B78">
        <v>1049502</v>
      </c>
      <c r="C78">
        <v>3031.6433999999999</v>
      </c>
      <c r="D78" s="1">
        <v>1</v>
      </c>
      <c r="E78">
        <f t="shared" si="0"/>
        <v>1667162.6806098635</v>
      </c>
      <c r="G78">
        <v>34.5411</v>
      </c>
    </row>
    <row r="79" spans="1:7" x14ac:dyDescent="0.4">
      <c r="A79">
        <f t="shared" si="1"/>
        <v>35.156099999999995</v>
      </c>
      <c r="B79">
        <v>917261</v>
      </c>
      <c r="C79">
        <v>3028.9540999999999</v>
      </c>
      <c r="D79" s="1">
        <v>1</v>
      </c>
      <c r="E79">
        <f t="shared" si="0"/>
        <v>1458387.9308981935</v>
      </c>
      <c r="G79">
        <v>34.542099999999998</v>
      </c>
    </row>
    <row r="80" spans="1:7" x14ac:dyDescent="0.4">
      <c r="A80">
        <f t="shared" si="1"/>
        <v>35.1571</v>
      </c>
      <c r="B80">
        <v>808018</v>
      </c>
      <c r="C80">
        <v>3023.8287</v>
      </c>
      <c r="D80" s="1">
        <v>1</v>
      </c>
      <c r="E80">
        <f t="shared" si="0"/>
        <v>1286875.9245769444</v>
      </c>
      <c r="G80">
        <v>34.543100000000003</v>
      </c>
    </row>
    <row r="81" spans="1:7" x14ac:dyDescent="0.4">
      <c r="A81">
        <f t="shared" si="1"/>
        <v>35.158099999999997</v>
      </c>
      <c r="B81">
        <v>715435</v>
      </c>
      <c r="C81">
        <v>3027.3346000000001</v>
      </c>
      <c r="D81" s="1">
        <v>1</v>
      </c>
      <c r="E81">
        <f t="shared" si="0"/>
        <v>1138105.6600552183</v>
      </c>
      <c r="G81">
        <v>34.5441</v>
      </c>
    </row>
    <row r="82" spans="1:7" x14ac:dyDescent="0.4">
      <c r="A82">
        <f t="shared" si="1"/>
        <v>35.159099999999995</v>
      </c>
      <c r="B82">
        <v>643015</v>
      </c>
      <c r="C82">
        <v>3032.2483000000002</v>
      </c>
      <c r="D82" s="1">
        <v>1</v>
      </c>
      <c r="E82">
        <f t="shared" si="0"/>
        <v>1021243.1770607309</v>
      </c>
      <c r="G82">
        <v>34.545099999999998</v>
      </c>
    </row>
    <row r="83" spans="1:7" x14ac:dyDescent="0.4">
      <c r="A83">
        <f t="shared" si="1"/>
        <v>35.1601</v>
      </c>
      <c r="B83">
        <v>575692</v>
      </c>
      <c r="C83">
        <v>3027.8429999999998</v>
      </c>
      <c r="D83" s="1">
        <v>1</v>
      </c>
      <c r="E83">
        <f t="shared" si="0"/>
        <v>915650.35314948636</v>
      </c>
      <c r="G83">
        <v>34.546100000000003</v>
      </c>
    </row>
    <row r="84" spans="1:7" x14ac:dyDescent="0.4">
      <c r="A84">
        <f t="shared" si="1"/>
        <v>35.161099999999998</v>
      </c>
      <c r="B84">
        <v>517570</v>
      </c>
      <c r="C84">
        <v>3026.8290999999999</v>
      </c>
      <c r="D84" s="1">
        <v>1</v>
      </c>
      <c r="E84">
        <f t="shared" si="0"/>
        <v>823481.82786467858</v>
      </c>
      <c r="G84">
        <v>34.5471</v>
      </c>
    </row>
    <row r="85" spans="1:7" x14ac:dyDescent="0.4">
      <c r="A85">
        <f t="shared" si="1"/>
        <v>35.162099999999995</v>
      </c>
      <c r="B85">
        <v>465681</v>
      </c>
      <c r="C85">
        <v>3020.87</v>
      </c>
      <c r="D85" s="1">
        <v>1</v>
      </c>
      <c r="E85">
        <f t="shared" si="0"/>
        <v>742385.20422811981</v>
      </c>
      <c r="G85">
        <v>34.548099999999998</v>
      </c>
    </row>
    <row r="86" spans="1:7" x14ac:dyDescent="0.4">
      <c r="A86">
        <f t="shared" si="1"/>
        <v>35.1631</v>
      </c>
      <c r="B86">
        <v>418632</v>
      </c>
      <c r="C86">
        <v>3007.3679999999999</v>
      </c>
      <c r="D86" s="1">
        <v>1</v>
      </c>
      <c r="E86">
        <f t="shared" ref="E86:E102" si="2">$A$1*B86/C86</f>
        <v>670376.33276512893</v>
      </c>
      <c r="G86">
        <v>34.549100000000003</v>
      </c>
    </row>
    <row r="87" spans="1:7" x14ac:dyDescent="0.4">
      <c r="A87">
        <f t="shared" ref="A87:A102" si="3">G87+$B$1</f>
        <v>35.164099999999998</v>
      </c>
      <c r="B87">
        <v>380491</v>
      </c>
      <c r="C87">
        <v>3005.3445999999999</v>
      </c>
      <c r="D87" s="1">
        <v>1</v>
      </c>
      <c r="E87">
        <f t="shared" si="2"/>
        <v>609709.46548445732</v>
      </c>
      <c r="G87">
        <v>34.5501</v>
      </c>
    </row>
    <row r="88" spans="1:7" x14ac:dyDescent="0.4">
      <c r="A88">
        <f t="shared" si="3"/>
        <v>35.165099999999995</v>
      </c>
      <c r="B88">
        <v>346849</v>
      </c>
      <c r="C88">
        <v>3005.9803000000002</v>
      </c>
      <c r="D88" s="1">
        <v>1</v>
      </c>
      <c r="E88">
        <f t="shared" si="2"/>
        <v>555683.03992591042</v>
      </c>
      <c r="G88">
        <v>34.551099999999998</v>
      </c>
    </row>
    <row r="89" spans="1:7" x14ac:dyDescent="0.4">
      <c r="A89">
        <f t="shared" si="3"/>
        <v>35.1661</v>
      </c>
      <c r="B89">
        <v>320097</v>
      </c>
      <c r="C89">
        <v>3008.7296999999999</v>
      </c>
      <c r="D89" s="1">
        <v>1</v>
      </c>
      <c r="E89">
        <f t="shared" si="2"/>
        <v>512355.32700534724</v>
      </c>
      <c r="G89">
        <v>34.552100000000003</v>
      </c>
    </row>
    <row r="90" spans="1:7" x14ac:dyDescent="0.4">
      <c r="A90">
        <f t="shared" si="3"/>
        <v>35.167099999999998</v>
      </c>
      <c r="B90">
        <v>294825</v>
      </c>
      <c r="C90">
        <v>3018.4812000000002</v>
      </c>
      <c r="D90" s="1">
        <v>1</v>
      </c>
      <c r="E90">
        <f t="shared" si="2"/>
        <v>470379.79348521371</v>
      </c>
      <c r="G90">
        <v>34.553100000000001</v>
      </c>
    </row>
    <row r="91" spans="1:7" x14ac:dyDescent="0.4">
      <c r="A91">
        <f t="shared" si="3"/>
        <v>35.168099999999995</v>
      </c>
      <c r="B91">
        <v>272243</v>
      </c>
      <c r="C91">
        <v>3023.6633000000002</v>
      </c>
      <c r="D91" s="1">
        <v>1</v>
      </c>
      <c r="E91">
        <f t="shared" si="2"/>
        <v>433606.83393875236</v>
      </c>
      <c r="G91">
        <v>34.554099999999998</v>
      </c>
    </row>
    <row r="92" spans="1:7" x14ac:dyDescent="0.4">
      <c r="A92">
        <f t="shared" si="3"/>
        <v>35.1691</v>
      </c>
      <c r="B92">
        <v>250717</v>
      </c>
      <c r="C92">
        <v>3021.1768999999999</v>
      </c>
      <c r="D92" s="1">
        <v>1</v>
      </c>
      <c r="E92">
        <f t="shared" si="2"/>
        <v>399650.58432897466</v>
      </c>
      <c r="G92">
        <v>34.555100000000003</v>
      </c>
    </row>
    <row r="93" spans="1:7" x14ac:dyDescent="0.4">
      <c r="A93">
        <f t="shared" si="3"/>
        <v>35.170099999999998</v>
      </c>
      <c r="B93">
        <v>231186</v>
      </c>
      <c r="C93">
        <v>3016.0391</v>
      </c>
      <c r="D93" s="1">
        <v>1</v>
      </c>
      <c r="E93">
        <f t="shared" si="2"/>
        <v>369145.33848039305</v>
      </c>
      <c r="G93">
        <v>34.556100000000001</v>
      </c>
    </row>
    <row r="94" spans="1:7" x14ac:dyDescent="0.4">
      <c r="A94">
        <f t="shared" si="3"/>
        <v>35.171099999999996</v>
      </c>
      <c r="B94">
        <v>216219</v>
      </c>
      <c r="C94">
        <v>3018.0439999999999</v>
      </c>
      <c r="D94" s="1">
        <v>1</v>
      </c>
      <c r="E94">
        <f t="shared" si="2"/>
        <v>345017.49094559258</v>
      </c>
      <c r="G94">
        <v>34.557099999999998</v>
      </c>
    </row>
    <row r="95" spans="1:7" x14ac:dyDescent="0.4">
      <c r="A95">
        <f t="shared" si="3"/>
        <v>35.1721</v>
      </c>
      <c r="B95">
        <v>200281</v>
      </c>
      <c r="C95">
        <v>3013.1253000000002</v>
      </c>
      <c r="D95" s="1">
        <v>1</v>
      </c>
      <c r="E95">
        <f t="shared" si="2"/>
        <v>320107.15699629218</v>
      </c>
      <c r="G95">
        <v>34.558100000000003</v>
      </c>
    </row>
    <row r="96" spans="1:7" x14ac:dyDescent="0.4">
      <c r="A96">
        <f t="shared" si="3"/>
        <v>35.173099999999998</v>
      </c>
      <c r="B96">
        <v>185496</v>
      </c>
      <c r="C96">
        <v>3003.0113999999999</v>
      </c>
      <c r="D96" s="1">
        <v>1</v>
      </c>
      <c r="E96">
        <f t="shared" si="2"/>
        <v>297474.94528512284</v>
      </c>
      <c r="G96">
        <v>34.559100000000001</v>
      </c>
    </row>
    <row r="97" spans="1:7" x14ac:dyDescent="0.4">
      <c r="A97">
        <f t="shared" si="3"/>
        <v>35.174099999999996</v>
      </c>
      <c r="B97">
        <v>173471</v>
      </c>
      <c r="C97">
        <v>3000.1370000000002</v>
      </c>
      <c r="D97" s="1">
        <v>1</v>
      </c>
      <c r="E97">
        <f t="shared" si="2"/>
        <v>278457.30794647045</v>
      </c>
      <c r="G97">
        <v>34.560099999999998</v>
      </c>
    </row>
    <row r="98" spans="1:7" x14ac:dyDescent="0.4">
      <c r="A98">
        <f t="shared" si="3"/>
        <v>35.1751</v>
      </c>
      <c r="B98">
        <v>162631</v>
      </c>
      <c r="C98">
        <v>3004.2995999999998</v>
      </c>
      <c r="D98" s="1">
        <v>1</v>
      </c>
      <c r="E98">
        <f t="shared" si="2"/>
        <v>260695.12962908228</v>
      </c>
      <c r="G98">
        <v>34.561100000000003</v>
      </c>
    </row>
    <row r="99" spans="1:7" x14ac:dyDescent="0.4">
      <c r="A99">
        <f t="shared" si="3"/>
        <v>35.176099999999998</v>
      </c>
      <c r="B99">
        <v>152838</v>
      </c>
      <c r="C99">
        <v>3010.1170000000002</v>
      </c>
      <c r="D99" s="1">
        <v>1</v>
      </c>
      <c r="E99">
        <f t="shared" si="2"/>
        <v>244523.60766269217</v>
      </c>
      <c r="G99">
        <v>34.562100000000001</v>
      </c>
    </row>
    <row r="100" spans="1:7" x14ac:dyDescent="0.4">
      <c r="A100">
        <f t="shared" si="3"/>
        <v>35.177099999999996</v>
      </c>
      <c r="B100">
        <v>142891</v>
      </c>
      <c r="C100">
        <v>3009.3856999999998</v>
      </c>
      <c r="D100" s="1">
        <v>1</v>
      </c>
      <c r="E100">
        <f t="shared" si="2"/>
        <v>228665.0801532685</v>
      </c>
      <c r="G100">
        <v>34.563099999999999</v>
      </c>
    </row>
    <row r="101" spans="1:7" x14ac:dyDescent="0.4">
      <c r="A101">
        <f t="shared" si="3"/>
        <v>35.178100000000001</v>
      </c>
      <c r="B101">
        <v>132907</v>
      </c>
      <c r="C101">
        <v>3001.7433999999998</v>
      </c>
      <c r="D101" s="1">
        <v>1</v>
      </c>
      <c r="E101">
        <f t="shared" si="2"/>
        <v>213229.41523922401</v>
      </c>
      <c r="G101">
        <v>34.564100000000003</v>
      </c>
    </row>
    <row r="102" spans="1:7" x14ac:dyDescent="0.4">
      <c r="A102">
        <f t="shared" si="3"/>
        <v>35.179099999999998</v>
      </c>
      <c r="B102">
        <v>125595</v>
      </c>
      <c r="C102">
        <v>2998.6151</v>
      </c>
      <c r="D102" s="1">
        <v>1</v>
      </c>
      <c r="E102">
        <f t="shared" si="2"/>
        <v>201708.61706025561</v>
      </c>
      <c r="G102">
        <v>34.565100000000001</v>
      </c>
    </row>
  </sheetData>
  <phoneticPr fontId="2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38E2-13A8-48BC-8EFF-9AAD91FC964E}">
  <dimension ref="A1:E102"/>
  <sheetViews>
    <sheetView workbookViewId="0">
      <selection activeCell="H25" sqref="H25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1" x14ac:dyDescent="0.4">
      <c r="A1">
        <v>4815.8486000000003</v>
      </c>
    </row>
    <row r="3" spans="1:1" x14ac:dyDescent="0.4">
      <c r="A3" t="s">
        <v>30</v>
      </c>
    </row>
    <row r="4" spans="1:1" x14ac:dyDescent="0.4">
      <c r="A4" t="s">
        <v>25</v>
      </c>
    </row>
    <row r="5" spans="1:1" x14ac:dyDescent="0.4">
      <c r="A5" t="s">
        <v>2</v>
      </c>
    </row>
    <row r="6" spans="1:1" x14ac:dyDescent="0.4">
      <c r="A6" t="s">
        <v>3</v>
      </c>
    </row>
    <row r="7" spans="1:1" x14ac:dyDescent="0.4">
      <c r="A7" t="s">
        <v>4</v>
      </c>
    </row>
    <row r="8" spans="1:1" x14ac:dyDescent="0.4">
      <c r="A8" t="s">
        <v>5</v>
      </c>
    </row>
    <row r="9" spans="1:1" x14ac:dyDescent="0.4">
      <c r="A9" t="s">
        <v>6</v>
      </c>
    </row>
    <row r="10" spans="1:1" x14ac:dyDescent="0.4">
      <c r="A10" t="s">
        <v>7</v>
      </c>
    </row>
    <row r="11" spans="1:1" x14ac:dyDescent="0.4">
      <c r="A11" t="s">
        <v>8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6" spans="1:1" x14ac:dyDescent="0.4">
      <c r="A16" t="s">
        <v>13</v>
      </c>
    </row>
    <row r="17" spans="1:5" x14ac:dyDescent="0.4">
      <c r="A17" t="s">
        <v>14</v>
      </c>
    </row>
    <row r="18" spans="1:5" x14ac:dyDescent="0.4">
      <c r="A18" t="s">
        <v>26</v>
      </c>
    </row>
    <row r="19" spans="1:5" x14ac:dyDescent="0.4">
      <c r="A19" t="s">
        <v>27</v>
      </c>
      <c r="B19" t="s">
        <v>28</v>
      </c>
    </row>
    <row r="20" spans="1:5" x14ac:dyDescent="0.4">
      <c r="A20" t="s">
        <v>29</v>
      </c>
      <c r="B20" t="s">
        <v>19</v>
      </c>
    </row>
    <row r="21" spans="1:5" x14ac:dyDescent="0.4">
      <c r="A21" t="s">
        <v>20</v>
      </c>
      <c r="B21" t="s">
        <v>21</v>
      </c>
      <c r="C21" t="s">
        <v>22</v>
      </c>
      <c r="D21" t="s">
        <v>23</v>
      </c>
    </row>
    <row r="22" spans="1:5" x14ac:dyDescent="0.4">
      <c r="A22">
        <v>35.0974</v>
      </c>
      <c r="B22">
        <v>439</v>
      </c>
      <c r="C22">
        <v>5342.4463999999998</v>
      </c>
      <c r="D22" s="1">
        <v>1</v>
      </c>
      <c r="E22">
        <f t="shared" ref="E22:E85" si="0">$A$1*B22/C22</f>
        <v>395.72835684416037</v>
      </c>
    </row>
    <row r="23" spans="1:5" x14ac:dyDescent="0.4">
      <c r="A23">
        <v>35.098399999999998</v>
      </c>
      <c r="B23">
        <v>426</v>
      </c>
      <c r="C23">
        <v>5333.7735000000002</v>
      </c>
      <c r="D23" s="1">
        <v>1</v>
      </c>
      <c r="E23">
        <f t="shared" si="0"/>
        <v>384.63416258676904</v>
      </c>
    </row>
    <row r="24" spans="1:5" x14ac:dyDescent="0.4">
      <c r="A24">
        <v>35.099400000000003</v>
      </c>
      <c r="B24">
        <v>436</v>
      </c>
      <c r="C24">
        <v>5326.3680000000004</v>
      </c>
      <c r="D24" s="1">
        <v>1</v>
      </c>
      <c r="E24">
        <f t="shared" si="0"/>
        <v>394.21046191325865</v>
      </c>
    </row>
    <row r="25" spans="1:5" x14ac:dyDescent="0.4">
      <c r="A25">
        <v>35.1004</v>
      </c>
      <c r="B25">
        <v>458</v>
      </c>
      <c r="C25">
        <v>5320.9814999999999</v>
      </c>
      <c r="D25" s="1">
        <v>1</v>
      </c>
      <c r="E25">
        <f>$A$1*B25/C25</f>
        <v>414.52101624484135</v>
      </c>
    </row>
    <row r="26" spans="1:5" x14ac:dyDescent="0.4">
      <c r="A26">
        <v>35.101399999999998</v>
      </c>
      <c r="B26">
        <v>501</v>
      </c>
      <c r="C26">
        <v>5318.1611000000003</v>
      </c>
      <c r="D26" s="1">
        <v>1</v>
      </c>
      <c r="E26">
        <f t="shared" si="0"/>
        <v>453.67940219035484</v>
      </c>
    </row>
    <row r="27" spans="1:5" x14ac:dyDescent="0.4">
      <c r="A27">
        <v>35.102400000000003</v>
      </c>
      <c r="B27">
        <v>501</v>
      </c>
      <c r="C27">
        <v>5302.3604999999998</v>
      </c>
      <c r="D27" s="1">
        <v>1</v>
      </c>
      <c r="E27">
        <f t="shared" si="0"/>
        <v>455.03132965025674</v>
      </c>
    </row>
    <row r="28" spans="1:5" x14ac:dyDescent="0.4">
      <c r="A28">
        <v>35.103400000000001</v>
      </c>
      <c r="B28">
        <v>513</v>
      </c>
      <c r="C28">
        <v>5298.1138000000001</v>
      </c>
      <c r="D28" s="1">
        <v>1</v>
      </c>
      <c r="E28">
        <f t="shared" si="0"/>
        <v>466.30374979865479</v>
      </c>
    </row>
    <row r="29" spans="1:5" x14ac:dyDescent="0.4">
      <c r="A29">
        <v>35.104399999999998</v>
      </c>
      <c r="B29">
        <v>525</v>
      </c>
      <c r="C29">
        <v>5297.6302999999998</v>
      </c>
      <c r="D29" s="1">
        <v>1</v>
      </c>
      <c r="E29">
        <f t="shared" si="0"/>
        <v>477.25499361478666</v>
      </c>
    </row>
    <row r="30" spans="1:5" x14ac:dyDescent="0.4">
      <c r="A30">
        <v>35.105400000000003</v>
      </c>
      <c r="B30">
        <v>565</v>
      </c>
      <c r="C30">
        <v>5296.8791000000001</v>
      </c>
      <c r="D30" s="1">
        <v>1</v>
      </c>
      <c r="E30">
        <f t="shared" si="0"/>
        <v>513.69011971596638</v>
      </c>
    </row>
    <row r="31" spans="1:5" x14ac:dyDescent="0.4">
      <c r="A31">
        <v>35.106400000000001</v>
      </c>
      <c r="B31">
        <v>580</v>
      </c>
      <c r="C31">
        <v>5286.0473000000002</v>
      </c>
      <c r="D31" s="1">
        <v>1</v>
      </c>
      <c r="E31">
        <f t="shared" si="0"/>
        <v>528.40847413529571</v>
      </c>
    </row>
    <row r="32" spans="1:5" x14ac:dyDescent="0.4">
      <c r="A32">
        <v>35.107399999999998</v>
      </c>
      <c r="B32">
        <v>587</v>
      </c>
      <c r="C32">
        <v>5285.9317000000001</v>
      </c>
      <c r="D32" s="1">
        <v>1</v>
      </c>
      <c r="E32">
        <f t="shared" si="0"/>
        <v>534.79751321796311</v>
      </c>
    </row>
    <row r="33" spans="1:5" x14ac:dyDescent="0.4">
      <c r="A33">
        <v>35.108400000000003</v>
      </c>
      <c r="B33">
        <v>567</v>
      </c>
      <c r="C33">
        <v>5277.3972999999996</v>
      </c>
      <c r="D33" s="1">
        <v>1</v>
      </c>
      <c r="E33">
        <f t="shared" si="0"/>
        <v>517.41151953823908</v>
      </c>
    </row>
    <row r="34" spans="1:5" x14ac:dyDescent="0.4">
      <c r="A34">
        <v>35.109400000000001</v>
      </c>
      <c r="B34">
        <v>577</v>
      </c>
      <c r="C34">
        <v>5274.0668999999998</v>
      </c>
      <c r="D34" s="1">
        <v>1</v>
      </c>
      <c r="E34">
        <f t="shared" si="0"/>
        <v>526.86943394669493</v>
      </c>
    </row>
    <row r="35" spans="1:5" x14ac:dyDescent="0.4">
      <c r="A35">
        <v>35.110399999999998</v>
      </c>
      <c r="B35">
        <v>663</v>
      </c>
      <c r="C35">
        <v>5273.2617</v>
      </c>
      <c r="D35" s="1">
        <v>1</v>
      </c>
      <c r="E35">
        <f t="shared" si="0"/>
        <v>605.49007491890654</v>
      </c>
    </row>
    <row r="36" spans="1:5" x14ac:dyDescent="0.4">
      <c r="A36">
        <v>35.111400000000003</v>
      </c>
      <c r="B36">
        <v>701</v>
      </c>
      <c r="C36">
        <v>5272.9380000000001</v>
      </c>
      <c r="D36" s="1">
        <v>1</v>
      </c>
      <c r="E36">
        <f t="shared" si="0"/>
        <v>640.2331809325276</v>
      </c>
    </row>
    <row r="37" spans="1:5" x14ac:dyDescent="0.4">
      <c r="A37">
        <v>35.112400000000001</v>
      </c>
      <c r="B37">
        <v>648</v>
      </c>
      <c r="C37">
        <v>5271.9705999999996</v>
      </c>
      <c r="D37" s="1">
        <v>1</v>
      </c>
      <c r="E37">
        <f t="shared" si="0"/>
        <v>591.93613348299027</v>
      </c>
    </row>
    <row r="38" spans="1:5" x14ac:dyDescent="0.4">
      <c r="A38">
        <v>35.113399999999999</v>
      </c>
      <c r="B38">
        <v>705</v>
      </c>
      <c r="C38">
        <v>5270.9687000000004</v>
      </c>
      <c r="D38" s="1">
        <v>1</v>
      </c>
      <c r="E38">
        <f t="shared" si="0"/>
        <v>644.12700136124886</v>
      </c>
    </row>
    <row r="39" spans="1:5" x14ac:dyDescent="0.4">
      <c r="A39">
        <v>35.114400000000003</v>
      </c>
      <c r="B39">
        <v>691</v>
      </c>
      <c r="C39">
        <v>5261.5645000000004</v>
      </c>
      <c r="D39" s="1">
        <v>1</v>
      </c>
      <c r="E39">
        <f t="shared" si="0"/>
        <v>632.46423807975748</v>
      </c>
    </row>
    <row r="40" spans="1:5" x14ac:dyDescent="0.4">
      <c r="A40">
        <v>35.115400000000001</v>
      </c>
      <c r="B40">
        <v>799</v>
      </c>
      <c r="C40">
        <v>5248.5775000000003</v>
      </c>
      <c r="D40" s="1">
        <v>1</v>
      </c>
      <c r="E40">
        <f t="shared" si="0"/>
        <v>733.12493364154386</v>
      </c>
    </row>
    <row r="41" spans="1:5" x14ac:dyDescent="0.4">
      <c r="A41">
        <v>35.116399999999999</v>
      </c>
      <c r="B41">
        <v>822</v>
      </c>
      <c r="C41">
        <v>5244.9101000000001</v>
      </c>
      <c r="D41" s="1">
        <v>1</v>
      </c>
      <c r="E41">
        <f t="shared" si="0"/>
        <v>754.75603465538904</v>
      </c>
    </row>
    <row r="42" spans="1:5" x14ac:dyDescent="0.4">
      <c r="A42">
        <v>35.117400000000004</v>
      </c>
      <c r="B42">
        <v>858</v>
      </c>
      <c r="C42">
        <v>5238.9524000000001</v>
      </c>
      <c r="D42" s="1">
        <v>1</v>
      </c>
      <c r="E42">
        <f t="shared" si="0"/>
        <v>788.70693667688226</v>
      </c>
    </row>
    <row r="43" spans="1:5" x14ac:dyDescent="0.4">
      <c r="A43">
        <v>35.118400000000001</v>
      </c>
      <c r="B43">
        <v>890</v>
      </c>
      <c r="C43">
        <v>5233.4205000000002</v>
      </c>
      <c r="D43" s="1">
        <v>1</v>
      </c>
      <c r="E43">
        <f t="shared" si="0"/>
        <v>818.98736285379709</v>
      </c>
    </row>
    <row r="44" spans="1:5" x14ac:dyDescent="0.4">
      <c r="A44">
        <v>35.119399999999999</v>
      </c>
      <c r="B44">
        <v>910</v>
      </c>
      <c r="C44">
        <v>5235.5761000000002</v>
      </c>
      <c r="D44" s="1">
        <v>1</v>
      </c>
      <c r="E44">
        <f t="shared" si="0"/>
        <v>837.04680101966233</v>
      </c>
    </row>
    <row r="45" spans="1:5" x14ac:dyDescent="0.4">
      <c r="A45">
        <v>35.120399999999997</v>
      </c>
      <c r="B45">
        <v>950</v>
      </c>
      <c r="C45">
        <v>5234.4648999999999</v>
      </c>
      <c r="D45" s="1">
        <v>1</v>
      </c>
      <c r="E45">
        <f t="shared" si="0"/>
        <v>874.02557040739737</v>
      </c>
    </row>
    <row r="46" spans="1:5" x14ac:dyDescent="0.4">
      <c r="A46">
        <v>35.121400000000001</v>
      </c>
      <c r="B46">
        <v>945</v>
      </c>
      <c r="C46">
        <v>5232.6145999999999</v>
      </c>
      <c r="D46" s="1">
        <v>1</v>
      </c>
      <c r="E46">
        <f t="shared" si="0"/>
        <v>869.7328725490313</v>
      </c>
    </row>
    <row r="47" spans="1:5" x14ac:dyDescent="0.4">
      <c r="A47">
        <v>35.122399999999999</v>
      </c>
      <c r="B47">
        <v>1118</v>
      </c>
      <c r="C47">
        <v>5229.1679999999997</v>
      </c>
      <c r="D47" s="1">
        <v>1</v>
      </c>
      <c r="E47">
        <f t="shared" si="0"/>
        <v>1029.6320054739112</v>
      </c>
    </row>
    <row r="48" spans="1:5" x14ac:dyDescent="0.4">
      <c r="A48">
        <v>35.123399999999997</v>
      </c>
      <c r="B48">
        <v>1121</v>
      </c>
      <c r="C48">
        <v>5224.9256999999998</v>
      </c>
      <c r="D48" s="1">
        <v>1</v>
      </c>
      <c r="E48">
        <f t="shared" si="0"/>
        <v>1033.2331195829254</v>
      </c>
    </row>
    <row r="49" spans="1:5" x14ac:dyDescent="0.4">
      <c r="A49">
        <v>35.124400000000001</v>
      </c>
      <c r="B49">
        <v>1262</v>
      </c>
      <c r="C49">
        <v>5219.5294000000004</v>
      </c>
      <c r="D49" s="1">
        <v>1</v>
      </c>
      <c r="E49">
        <f t="shared" si="0"/>
        <v>1164.3963406356138</v>
      </c>
    </row>
    <row r="50" spans="1:5" x14ac:dyDescent="0.4">
      <c r="A50">
        <v>35.125399999999999</v>
      </c>
      <c r="B50">
        <v>1309</v>
      </c>
      <c r="C50">
        <v>5218.0963000000002</v>
      </c>
      <c r="D50" s="1">
        <v>1</v>
      </c>
      <c r="E50">
        <f t="shared" si="0"/>
        <v>1208.0930391031686</v>
      </c>
    </row>
    <row r="51" spans="1:5" x14ac:dyDescent="0.4">
      <c r="A51">
        <v>35.126399999999997</v>
      </c>
      <c r="B51">
        <v>1414</v>
      </c>
      <c r="C51">
        <v>5205.1373999999996</v>
      </c>
      <c r="D51" s="1">
        <v>1</v>
      </c>
      <c r="E51">
        <f t="shared" si="0"/>
        <v>1308.2478707286384</v>
      </c>
    </row>
    <row r="52" spans="1:5" x14ac:dyDescent="0.4">
      <c r="A52">
        <v>35.127400000000002</v>
      </c>
      <c r="B52">
        <v>1579</v>
      </c>
      <c r="C52">
        <v>5204.5855000000001</v>
      </c>
      <c r="D52" s="1">
        <v>1</v>
      </c>
      <c r="E52">
        <f t="shared" si="0"/>
        <v>1461.0625455956099</v>
      </c>
    </row>
    <row r="53" spans="1:5" x14ac:dyDescent="0.4">
      <c r="A53">
        <v>35.128399999999999</v>
      </c>
      <c r="B53">
        <v>1759</v>
      </c>
      <c r="C53">
        <v>5204.7569999999996</v>
      </c>
      <c r="D53" s="1">
        <v>1</v>
      </c>
      <c r="E53">
        <f t="shared" si="0"/>
        <v>1627.5644929052405</v>
      </c>
    </row>
    <row r="54" spans="1:5" x14ac:dyDescent="0.4">
      <c r="A54">
        <v>35.129399999999997</v>
      </c>
      <c r="B54">
        <v>2412</v>
      </c>
      <c r="C54">
        <v>5199.2984999999999</v>
      </c>
      <c r="D54" s="1">
        <v>1</v>
      </c>
      <c r="E54">
        <f t="shared" si="0"/>
        <v>2234.1142412192721</v>
      </c>
    </row>
    <row r="55" spans="1:5" x14ac:dyDescent="0.4">
      <c r="A55">
        <v>35.130400000000002</v>
      </c>
      <c r="B55">
        <v>3473</v>
      </c>
      <c r="C55">
        <v>5187.7709000000004</v>
      </c>
      <c r="D55" s="1">
        <v>1</v>
      </c>
      <c r="E55">
        <f t="shared" si="0"/>
        <v>3224.0132631531587</v>
      </c>
    </row>
    <row r="56" spans="1:5" x14ac:dyDescent="0.4">
      <c r="A56">
        <v>35.131399999999999</v>
      </c>
      <c r="B56">
        <v>6039</v>
      </c>
      <c r="C56">
        <v>5182.1781000000001</v>
      </c>
      <c r="D56" s="1">
        <v>1</v>
      </c>
      <c r="E56">
        <f t="shared" si="0"/>
        <v>5612.101539968301</v>
      </c>
    </row>
    <row r="57" spans="1:5" x14ac:dyDescent="0.4">
      <c r="A57">
        <v>35.132399999999997</v>
      </c>
      <c r="B57">
        <v>13143</v>
      </c>
      <c r="C57">
        <v>5178.7514000000001</v>
      </c>
      <c r="D57" s="1">
        <v>1</v>
      </c>
      <c r="E57">
        <f t="shared" si="0"/>
        <v>12221.999717885667</v>
      </c>
    </row>
    <row r="58" spans="1:5" x14ac:dyDescent="0.4">
      <c r="A58">
        <v>35.133400000000002</v>
      </c>
      <c r="B58">
        <v>33659</v>
      </c>
      <c r="C58">
        <v>5171.6869999999999</v>
      </c>
      <c r="D58" s="1">
        <v>1</v>
      </c>
      <c r="E58">
        <f t="shared" si="0"/>
        <v>31343.089407266918</v>
      </c>
    </row>
    <row r="59" spans="1:5" x14ac:dyDescent="0.4">
      <c r="A59">
        <v>35.134399999999999</v>
      </c>
      <c r="B59">
        <v>405991</v>
      </c>
      <c r="C59">
        <v>5170.2655000000004</v>
      </c>
      <c r="D59" s="1">
        <v>1</v>
      </c>
      <c r="E59">
        <f t="shared" si="0"/>
        <v>378160.69386815821</v>
      </c>
    </row>
    <row r="60" spans="1:5" x14ac:dyDescent="0.4">
      <c r="A60">
        <v>35.135399999999997</v>
      </c>
      <c r="B60">
        <v>2992774</v>
      </c>
      <c r="C60">
        <v>5171.0357000000004</v>
      </c>
      <c r="D60" s="1">
        <v>1</v>
      </c>
      <c r="E60">
        <f t="shared" si="0"/>
        <v>2787206.9183386997</v>
      </c>
    </row>
    <row r="61" spans="1:5" x14ac:dyDescent="0.4">
      <c r="A61">
        <v>35.136400000000002</v>
      </c>
      <c r="B61">
        <v>3244243</v>
      </c>
      <c r="C61">
        <v>5163.1414000000004</v>
      </c>
      <c r="D61" s="1">
        <v>1</v>
      </c>
      <c r="E61">
        <f t="shared" si="0"/>
        <v>3026022.705791052</v>
      </c>
    </row>
    <row r="62" spans="1:5" x14ac:dyDescent="0.4">
      <c r="A62">
        <v>35.1374</v>
      </c>
      <c r="B62">
        <v>4855873</v>
      </c>
      <c r="C62">
        <v>5160.0240999999996</v>
      </c>
      <c r="D62" s="1">
        <v>1</v>
      </c>
      <c r="E62">
        <f t="shared" si="0"/>
        <v>4531984.4899227899</v>
      </c>
    </row>
    <row r="63" spans="1:5" x14ac:dyDescent="0.4">
      <c r="A63">
        <v>35.138399999999997</v>
      </c>
      <c r="B63">
        <v>8005845</v>
      </c>
      <c r="C63">
        <v>5156.4602999999997</v>
      </c>
      <c r="D63" s="1">
        <v>1</v>
      </c>
      <c r="E63">
        <f t="shared" si="0"/>
        <v>7477016.2460219087</v>
      </c>
    </row>
    <row r="64" spans="1:5" x14ac:dyDescent="0.4">
      <c r="A64">
        <v>35.139400000000002</v>
      </c>
      <c r="B64">
        <v>9194438</v>
      </c>
      <c r="C64">
        <v>5155.4014999999999</v>
      </c>
      <c r="D64" s="1">
        <v>1</v>
      </c>
      <c r="E64">
        <f t="shared" si="0"/>
        <v>8588859.9307128266</v>
      </c>
    </row>
    <row r="65" spans="1:5" x14ac:dyDescent="0.4">
      <c r="A65">
        <v>35.1404</v>
      </c>
      <c r="B65">
        <v>9686879</v>
      </c>
      <c r="C65">
        <v>5152.0743000000002</v>
      </c>
      <c r="D65" s="1">
        <v>1</v>
      </c>
      <c r="E65">
        <f t="shared" si="0"/>
        <v>9054710.7735848054</v>
      </c>
    </row>
    <row r="66" spans="1:5" x14ac:dyDescent="0.4">
      <c r="A66">
        <v>35.141399999999997</v>
      </c>
      <c r="B66">
        <v>7747027</v>
      </c>
      <c r="C66">
        <v>5143.6392999999998</v>
      </c>
      <c r="D66" s="1">
        <v>1</v>
      </c>
      <c r="E66">
        <f t="shared" si="0"/>
        <v>7253329.2006133106</v>
      </c>
    </row>
    <row r="67" spans="1:5" x14ac:dyDescent="0.4">
      <c r="A67">
        <v>35.142400000000002</v>
      </c>
      <c r="B67">
        <v>6368539</v>
      </c>
      <c r="C67">
        <v>5142.3602000000001</v>
      </c>
      <c r="D67" s="1">
        <v>1</v>
      </c>
      <c r="E67">
        <f t="shared" si="0"/>
        <v>5964171.7877319055</v>
      </c>
    </row>
    <row r="68" spans="1:5" x14ac:dyDescent="0.4">
      <c r="A68">
        <v>35.1434</v>
      </c>
      <c r="B68">
        <v>4389144</v>
      </c>
      <c r="C68">
        <v>5138.8555999999999</v>
      </c>
      <c r="D68" s="1">
        <v>1</v>
      </c>
      <c r="E68">
        <f t="shared" si="0"/>
        <v>4113260.7399200709</v>
      </c>
    </row>
    <row r="69" spans="1:5" x14ac:dyDescent="0.4">
      <c r="A69">
        <v>35.144399999999997</v>
      </c>
      <c r="B69">
        <v>1633584</v>
      </c>
      <c r="C69">
        <v>5132.8010999999997</v>
      </c>
      <c r="D69" s="1">
        <v>1</v>
      </c>
      <c r="E69">
        <f t="shared" si="0"/>
        <v>1532709.5412643987</v>
      </c>
    </row>
    <row r="70" spans="1:5" x14ac:dyDescent="0.4">
      <c r="A70">
        <v>35.145400000000002</v>
      </c>
      <c r="B70">
        <v>525849</v>
      </c>
      <c r="C70">
        <v>5129.2681000000002</v>
      </c>
      <c r="D70" s="1">
        <v>1</v>
      </c>
      <c r="E70">
        <f t="shared" si="0"/>
        <v>493717.45073364367</v>
      </c>
    </row>
    <row r="71" spans="1:5" x14ac:dyDescent="0.4">
      <c r="A71">
        <v>35.1464</v>
      </c>
      <c r="B71">
        <v>261050</v>
      </c>
      <c r="C71">
        <v>5122.0995000000003</v>
      </c>
      <c r="D71" s="1">
        <v>1</v>
      </c>
      <c r="E71">
        <f t="shared" si="0"/>
        <v>245441.7914040912</v>
      </c>
    </row>
    <row r="72" spans="1:5" x14ac:dyDescent="0.4">
      <c r="A72">
        <v>35.147399999999998</v>
      </c>
      <c r="B72">
        <v>175829</v>
      </c>
      <c r="C72">
        <v>5118.3759</v>
      </c>
      <c r="D72" s="1">
        <v>1</v>
      </c>
      <c r="E72">
        <f t="shared" si="0"/>
        <v>165436.43140579027</v>
      </c>
    </row>
    <row r="73" spans="1:5" x14ac:dyDescent="0.4">
      <c r="A73">
        <v>35.148400000000002</v>
      </c>
      <c r="B73">
        <v>133242</v>
      </c>
      <c r="C73">
        <v>5117.3217999999997</v>
      </c>
      <c r="D73" s="1">
        <v>1</v>
      </c>
      <c r="E73">
        <f t="shared" si="0"/>
        <v>125392.40724732223</v>
      </c>
    </row>
    <row r="74" spans="1:5" x14ac:dyDescent="0.4">
      <c r="A74">
        <v>35.1494</v>
      </c>
      <c r="B74">
        <v>103061</v>
      </c>
      <c r="C74">
        <v>5104.8743000000004</v>
      </c>
      <c r="D74" s="1">
        <v>1</v>
      </c>
      <c r="E74">
        <f t="shared" si="0"/>
        <v>97225.934155636307</v>
      </c>
    </row>
    <row r="75" spans="1:5" x14ac:dyDescent="0.4">
      <c r="A75">
        <v>35.150399999999998</v>
      </c>
      <c r="B75">
        <v>81899</v>
      </c>
      <c r="C75">
        <v>5097.7780000000002</v>
      </c>
      <c r="D75" s="1">
        <v>1</v>
      </c>
      <c r="E75">
        <f t="shared" si="0"/>
        <v>77369.627412453032</v>
      </c>
    </row>
    <row r="76" spans="1:5" x14ac:dyDescent="0.4">
      <c r="A76">
        <v>35.151400000000002</v>
      </c>
      <c r="B76">
        <v>63384</v>
      </c>
      <c r="C76">
        <v>5094.6131999999998</v>
      </c>
      <c r="D76" s="1">
        <v>1</v>
      </c>
      <c r="E76">
        <f t="shared" si="0"/>
        <v>59915.784708130544</v>
      </c>
    </row>
    <row r="77" spans="1:5" x14ac:dyDescent="0.4">
      <c r="A77">
        <v>35.1524</v>
      </c>
      <c r="B77">
        <v>48978</v>
      </c>
      <c r="C77">
        <v>5088.4512000000004</v>
      </c>
      <c r="D77" s="1">
        <v>1</v>
      </c>
      <c r="E77">
        <f t="shared" si="0"/>
        <v>46354.11119414882</v>
      </c>
    </row>
    <row r="78" spans="1:5" x14ac:dyDescent="0.4">
      <c r="A78">
        <v>35.153399999999998</v>
      </c>
      <c r="B78">
        <v>38046</v>
      </c>
      <c r="C78">
        <v>5088.4768999999997</v>
      </c>
      <c r="D78" s="1">
        <v>1</v>
      </c>
      <c r="E78">
        <f t="shared" si="0"/>
        <v>36007.587228233271</v>
      </c>
    </row>
    <row r="79" spans="1:5" x14ac:dyDescent="0.4">
      <c r="A79">
        <v>35.154400000000003</v>
      </c>
      <c r="B79">
        <v>29691</v>
      </c>
      <c r="C79">
        <v>5089.6369000000004</v>
      </c>
      <c r="D79" s="1">
        <v>1</v>
      </c>
      <c r="E79">
        <f t="shared" si="0"/>
        <v>28093.823506859597</v>
      </c>
    </row>
    <row r="80" spans="1:5" x14ac:dyDescent="0.4">
      <c r="A80">
        <v>35.1554</v>
      </c>
      <c r="B80">
        <v>23391</v>
      </c>
      <c r="C80">
        <v>5084.4522999999999</v>
      </c>
      <c r="D80" s="1">
        <v>1</v>
      </c>
      <c r="E80">
        <f t="shared" si="0"/>
        <v>22155.289882963403</v>
      </c>
    </row>
    <row r="81" spans="1:5" x14ac:dyDescent="0.4">
      <c r="A81">
        <v>35.156399999999998</v>
      </c>
      <c r="B81">
        <v>18547</v>
      </c>
      <c r="C81">
        <v>5083.3998000000001</v>
      </c>
      <c r="D81" s="1">
        <v>1</v>
      </c>
      <c r="E81">
        <f t="shared" si="0"/>
        <v>17570.828087178979</v>
      </c>
    </row>
    <row r="82" spans="1:5" x14ac:dyDescent="0.4">
      <c r="A82">
        <v>35.157400000000003</v>
      </c>
      <c r="B82">
        <v>14622</v>
      </c>
      <c r="C82">
        <v>5074.1226999999999</v>
      </c>
      <c r="D82" s="1">
        <v>1</v>
      </c>
      <c r="E82">
        <f t="shared" si="0"/>
        <v>13877.736584730204</v>
      </c>
    </row>
    <row r="83" spans="1:5" x14ac:dyDescent="0.4">
      <c r="A83">
        <v>35.1584</v>
      </c>
      <c r="B83">
        <v>11983</v>
      </c>
      <c r="C83">
        <v>5071.2488000000003</v>
      </c>
      <c r="D83" s="1">
        <v>1</v>
      </c>
      <c r="E83">
        <f t="shared" si="0"/>
        <v>11379.507503911067</v>
      </c>
    </row>
    <row r="84" spans="1:5" x14ac:dyDescent="0.4">
      <c r="A84">
        <v>35.159399999999998</v>
      </c>
      <c r="B84">
        <v>9728</v>
      </c>
      <c r="C84">
        <v>5071.8770999999997</v>
      </c>
      <c r="D84" s="1">
        <v>1</v>
      </c>
      <c r="E84">
        <f t="shared" si="0"/>
        <v>9236.9302838193798</v>
      </c>
    </row>
    <row r="85" spans="1:5" x14ac:dyDescent="0.4">
      <c r="A85">
        <v>35.160400000000003</v>
      </c>
      <c r="B85">
        <v>8002</v>
      </c>
      <c r="C85">
        <v>5065.9079000000002</v>
      </c>
      <c r="D85" s="1">
        <v>1</v>
      </c>
      <c r="E85">
        <f t="shared" si="0"/>
        <v>7607.011666595834</v>
      </c>
    </row>
    <row r="86" spans="1:5" x14ac:dyDescent="0.4">
      <c r="A86">
        <v>35.1614</v>
      </c>
      <c r="B86">
        <v>6332</v>
      </c>
      <c r="C86">
        <v>5065.3032999999996</v>
      </c>
      <c r="D86" s="1">
        <v>1</v>
      </c>
      <c r="E86">
        <f t="shared" ref="E86:E102" si="1">$A$1*B86/C86</f>
        <v>6020.1633602473521</v>
      </c>
    </row>
    <row r="87" spans="1:5" x14ac:dyDescent="0.4">
      <c r="A87">
        <v>35.162399999999998</v>
      </c>
      <c r="B87">
        <v>5250</v>
      </c>
      <c r="C87">
        <v>5063.4238999999998</v>
      </c>
      <c r="D87" s="1">
        <v>1</v>
      </c>
      <c r="E87">
        <f t="shared" si="1"/>
        <v>4993.3020914958361</v>
      </c>
    </row>
    <row r="88" spans="1:5" x14ac:dyDescent="0.4">
      <c r="A88">
        <v>35.163400000000003</v>
      </c>
      <c r="B88">
        <v>4303</v>
      </c>
      <c r="C88">
        <v>5061.1795000000002</v>
      </c>
      <c r="D88" s="1">
        <v>1</v>
      </c>
      <c r="E88">
        <f t="shared" si="1"/>
        <v>4094.4203867497686</v>
      </c>
    </row>
    <row r="89" spans="1:5" x14ac:dyDescent="0.4">
      <c r="A89">
        <v>35.164400000000001</v>
      </c>
      <c r="B89">
        <v>3397</v>
      </c>
      <c r="C89">
        <v>5053.3321999999998</v>
      </c>
      <c r="D89" s="1">
        <v>1</v>
      </c>
      <c r="E89">
        <f t="shared" si="1"/>
        <v>3237.3564702910294</v>
      </c>
    </row>
    <row r="90" spans="1:5" x14ac:dyDescent="0.4">
      <c r="A90">
        <v>35.165399999999998</v>
      </c>
      <c r="B90">
        <v>2812</v>
      </c>
      <c r="C90">
        <v>5046.9286000000002</v>
      </c>
      <c r="D90" s="1">
        <v>1</v>
      </c>
      <c r="E90">
        <f t="shared" si="1"/>
        <v>2683.2490285675926</v>
      </c>
    </row>
    <row r="91" spans="1:5" x14ac:dyDescent="0.4">
      <c r="A91">
        <v>35.166400000000003</v>
      </c>
      <c r="B91">
        <v>2192</v>
      </c>
      <c r="C91">
        <v>5049.8939</v>
      </c>
      <c r="D91" s="1">
        <v>1</v>
      </c>
      <c r="E91">
        <f t="shared" si="1"/>
        <v>2090.4083016872892</v>
      </c>
    </row>
    <row r="92" spans="1:5" x14ac:dyDescent="0.4">
      <c r="A92">
        <v>35.167400000000001</v>
      </c>
      <c r="B92">
        <v>1809</v>
      </c>
      <c r="C92">
        <v>5040.652</v>
      </c>
      <c r="D92" s="1">
        <v>1</v>
      </c>
      <c r="E92">
        <f t="shared" si="1"/>
        <v>1728.3220736920541</v>
      </c>
    </row>
    <row r="93" spans="1:5" x14ac:dyDescent="0.4">
      <c r="A93">
        <v>35.168399999999998</v>
      </c>
      <c r="B93">
        <v>1551</v>
      </c>
      <c r="C93">
        <v>5032.7864</v>
      </c>
      <c r="D93" s="1">
        <v>1</v>
      </c>
      <c r="E93">
        <f t="shared" si="1"/>
        <v>1484.1442860758009</v>
      </c>
    </row>
    <row r="94" spans="1:5" x14ac:dyDescent="0.4">
      <c r="A94">
        <v>35.169400000000003</v>
      </c>
      <c r="B94">
        <v>1175</v>
      </c>
      <c r="C94">
        <v>5024.3375999999998</v>
      </c>
      <c r="D94" s="1">
        <v>1</v>
      </c>
      <c r="E94">
        <f t="shared" si="1"/>
        <v>1126.2424135273077</v>
      </c>
    </row>
    <row r="95" spans="1:5" x14ac:dyDescent="0.4">
      <c r="A95">
        <v>35.170400000000001</v>
      </c>
      <c r="B95">
        <v>1010</v>
      </c>
      <c r="C95">
        <v>5018.2366000000002</v>
      </c>
      <c r="D95" s="1">
        <v>1</v>
      </c>
      <c r="E95">
        <f t="shared" si="1"/>
        <v>969.26619322811518</v>
      </c>
    </row>
    <row r="96" spans="1:5" x14ac:dyDescent="0.4">
      <c r="A96">
        <v>35.171399999999998</v>
      </c>
      <c r="B96">
        <v>842</v>
      </c>
      <c r="C96">
        <v>5011.3939</v>
      </c>
      <c r="D96" s="1">
        <v>1</v>
      </c>
      <c r="E96">
        <f t="shared" si="1"/>
        <v>809.14504070414432</v>
      </c>
    </row>
    <row r="97" spans="1:5" x14ac:dyDescent="0.4">
      <c r="A97">
        <v>35.172400000000003</v>
      </c>
      <c r="B97">
        <v>746</v>
      </c>
      <c r="C97">
        <v>5008.9227000000001</v>
      </c>
      <c r="D97" s="1">
        <v>1</v>
      </c>
      <c r="E97">
        <f t="shared" si="1"/>
        <v>717.24465933562919</v>
      </c>
    </row>
    <row r="98" spans="1:5" x14ac:dyDescent="0.4">
      <c r="A98">
        <v>35.173400000000001</v>
      </c>
      <c r="B98">
        <v>675</v>
      </c>
      <c r="C98">
        <v>5002.7884999999997</v>
      </c>
      <c r="D98" s="1">
        <v>1</v>
      </c>
      <c r="E98">
        <f t="shared" si="1"/>
        <v>649.77718026656544</v>
      </c>
    </row>
    <row r="99" spans="1:5" x14ac:dyDescent="0.4">
      <c r="A99">
        <v>35.174399999999999</v>
      </c>
      <c r="B99">
        <v>611</v>
      </c>
      <c r="C99">
        <v>4995.8359</v>
      </c>
      <c r="D99" s="1">
        <v>1</v>
      </c>
      <c r="E99">
        <f t="shared" si="1"/>
        <v>588.98721925594077</v>
      </c>
    </row>
    <row r="100" spans="1:5" x14ac:dyDescent="0.4">
      <c r="A100">
        <v>35.175400000000003</v>
      </c>
      <c r="B100">
        <v>565</v>
      </c>
      <c r="C100">
        <v>4986.3771999999999</v>
      </c>
      <c r="D100" s="1">
        <v>1</v>
      </c>
      <c r="E100">
        <f t="shared" si="1"/>
        <v>545.67762322513431</v>
      </c>
    </row>
    <row r="101" spans="1:5" x14ac:dyDescent="0.4">
      <c r="A101">
        <v>35.176400000000001</v>
      </c>
      <c r="B101">
        <v>496</v>
      </c>
      <c r="C101">
        <v>4984.5021999999999</v>
      </c>
      <c r="D101" s="1">
        <v>1</v>
      </c>
      <c r="E101">
        <f t="shared" si="1"/>
        <v>479.21754465270379</v>
      </c>
    </row>
    <row r="102" spans="1:5" x14ac:dyDescent="0.4">
      <c r="A102">
        <v>35.177399999999999</v>
      </c>
      <c r="B102">
        <v>527</v>
      </c>
      <c r="C102">
        <v>5076.2565000000004</v>
      </c>
      <c r="D102" s="1">
        <v>1</v>
      </c>
      <c r="E102">
        <f t="shared" si="1"/>
        <v>499.96532133472761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RoughTEOS_04</vt:lpstr>
      <vt:lpstr>RoughTEOS_03</vt:lpstr>
      <vt:lpstr>RoughTEOS_01</vt:lpstr>
      <vt:lpstr>RoughTEOS_02</vt:lpstr>
      <vt:lpstr>TEOS_01</vt:lpstr>
      <vt:lpstr>Si_Thermo_05</vt:lpstr>
      <vt:lpstr>Si_Thermo_03</vt:lpstr>
      <vt:lpstr>Sheet1</vt:lpstr>
      <vt:lpstr>Si_Thermo_01</vt:lpstr>
      <vt:lpstr>TEOS_01_omega</vt:lpstr>
      <vt:lpstr>RoughTEOS_01_omega</vt:lpstr>
      <vt:lpstr>Si_Thermo_01_omega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2025-06-06T02:24:10Z</dcterms:created>
  <dcterms:modified xsi:type="dcterms:W3CDTF">2025-09-04T07:36:53Z</dcterms:modified>
</cp:coreProperties>
</file>